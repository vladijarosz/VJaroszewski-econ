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Escritorio\Economia\Boletín\Boletin 20251231\1 Documentos Definitivos a Publicar\"/>
    </mc:Choice>
  </mc:AlternateContent>
  <bookViews>
    <workbookView xWindow="0" yWindow="0" windowWidth="23040" windowHeight="9492"/>
  </bookViews>
  <sheets>
    <sheet name="Indice" sheetId="2" r:id="rId1"/>
    <sheet name="A.1" sheetId="1" r:id="rId2"/>
    <sheet name="A.2" sheetId="5" r:id="rId3"/>
    <sheet name="A.3" sheetId="4" r:id="rId4"/>
    <sheet name="A.4" sheetId="9" r:id="rId5"/>
    <sheet name="A.5" sheetId="8"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r" localSheetId="4">#REF!</definedName>
    <definedName name="_xlnm._FilterDatabase" localSheetId="4" hidden="1">A.4!$B$10:$CI$449</definedName>
    <definedName name="_r" localSheetId="4">#REF!</definedName>
    <definedName name="_xlnm.Print_Area" localSheetId="3">A.3!$A$1:$CK$61</definedName>
    <definedName name="Coef">[1]CoefStocks!$A$4:$AT$260</definedName>
    <definedName name="CVAL">[2]Resumen!$A$2:$AU$262</definedName>
    <definedName name="dieferencias" localSheetId="4">#REF!</definedName>
    <definedName name="Diferencia" localSheetId="4">#REF!</definedName>
    <definedName name="e" localSheetId="4">#REF!</definedName>
    <definedName name="eee">#REF!</definedName>
    <definedName name="ESTRUCTU_BONOS_PROVINCIALES_List">#REF!</definedName>
    <definedName name="Final">'[3]Amort Títulos'!$K$1</definedName>
    <definedName name="Kanual">'[4]2005 K'!$A$2:$G$399</definedName>
    <definedName name="Kmens2004">'[5]IV 2004 cap'!$A$3:$E$246</definedName>
    <definedName name="kmens2005">'[6]KAPITIV 2005'!$A$4:$E$248</definedName>
    <definedName name="Kmens2006">'[6]KAPITA 2006'!$A$4:$N$401</definedName>
    <definedName name="kmens2007">'[7]kap. 2007'!$A$3:$N$363</definedName>
    <definedName name="Kmens2008">'[8]kap 2008'!$A$4:$N$332</definedName>
    <definedName name="kmens2009">'[9]KAP 2009'!$A$4:$N$305</definedName>
    <definedName name="kmens2010">[9]KAP2010!$A$5:$N$287</definedName>
    <definedName name="Kresto">'[6]KAPITAL RESTO'!$A$3:$CH$370</definedName>
    <definedName name="p" localSheetId="4">#REF!</definedName>
    <definedName name="POPO" localSheetId="4">#REF!</definedName>
    <definedName name="RESIDENTES">[10]!RESIDENTES</definedName>
    <definedName name="rrr" localSheetId="4">#REF!</definedName>
    <definedName name="SIGADERD">[11]!SIGADERED</definedName>
    <definedName name="TOTAL">[1]SIGADE!$A$2:$AU$306</definedName>
    <definedName name="varrrrrrrr" localSheetId="4">#REF!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J89" i="1" l="1"/>
  <c r="CI89" i="1"/>
  <c r="CJ437" i="9" l="1"/>
  <c r="CJ446" i="9" s="1"/>
  <c r="CJ431" i="9"/>
  <c r="CJ427" i="9"/>
  <c r="CJ418" i="9"/>
  <c r="CJ411" i="9"/>
  <c r="CJ398" i="9"/>
  <c r="CJ256" i="9"/>
  <c r="CJ207" i="9"/>
  <c r="CJ202" i="9"/>
  <c r="CJ190" i="9"/>
  <c r="CJ70" i="9"/>
  <c r="CJ22" i="9"/>
  <c r="CJ14" i="9"/>
  <c r="CJ205" i="9" l="1"/>
  <c r="CJ20" i="9"/>
  <c r="CI71" i="4"/>
  <c r="CI70" i="4"/>
  <c r="CI69" i="4"/>
  <c r="CI67" i="4"/>
  <c r="CI66" i="4"/>
  <c r="CI60" i="4"/>
  <c r="CI59" i="4"/>
  <c r="CI58" i="4"/>
  <c r="CI57" i="4"/>
  <c r="CI56" i="4"/>
  <c r="CI55" i="4"/>
  <c r="CI54" i="4"/>
  <c r="CI52" i="4"/>
  <c r="CI51" i="4"/>
  <c r="CI43" i="4"/>
  <c r="CI40" i="4"/>
  <c r="CI37" i="4"/>
  <c r="CI32" i="4"/>
  <c r="CI27" i="4"/>
  <c r="CI25" i="4"/>
  <c r="CI21" i="4"/>
  <c r="CI16" i="4"/>
  <c r="CI14" i="4"/>
  <c r="CI12" i="4"/>
  <c r="CI31" i="5"/>
  <c r="CI23" i="5"/>
  <c r="CI20" i="5"/>
  <c r="CI18" i="5"/>
  <c r="CI14" i="5" s="1"/>
  <c r="CI16" i="5"/>
  <c r="CI160" i="1"/>
  <c r="CI155" i="1"/>
  <c r="CI150" i="1"/>
  <c r="CI139" i="1"/>
  <c r="CI138" i="1" s="1"/>
  <c r="CI125" i="1" s="1"/>
  <c r="CI131" i="1"/>
  <c r="CI116" i="1"/>
  <c r="CI95" i="1" s="1"/>
  <c r="CI110" i="1"/>
  <c r="CI99" i="1"/>
  <c r="CI84" i="1"/>
  <c r="CI83" i="1" s="1"/>
  <c r="CI78" i="1"/>
  <c r="CI74" i="1"/>
  <c r="CI71" i="1"/>
  <c r="CI70" i="1" s="1"/>
  <c r="CI66" i="1"/>
  <c r="CI60" i="1" s="1"/>
  <c r="CI63" i="1"/>
  <c r="CI56" i="1"/>
  <c r="CI53" i="1"/>
  <c r="CI45" i="1"/>
  <c r="CI40" i="1"/>
  <c r="CI37" i="1"/>
  <c r="CI32" i="1"/>
  <c r="CI22" i="1"/>
  <c r="CI21" i="1" s="1"/>
  <c r="CJ423" i="9" l="1"/>
  <c r="CJ442" i="9" s="1"/>
  <c r="CI44" i="1"/>
  <c r="CI19" i="1" s="1"/>
  <c r="CI17" i="1" s="1"/>
  <c r="CI15" i="1" s="1"/>
  <c r="CI12" i="1" s="1"/>
  <c r="CI10" i="1" s="1"/>
  <c r="CJ42" i="8"/>
  <c r="CI57" i="8"/>
  <c r="CI54" i="8"/>
  <c r="CI51" i="8"/>
  <c r="CI48" i="8"/>
  <c r="CI45" i="8"/>
  <c r="CI42" i="8"/>
  <c r="CI41" i="8"/>
  <c r="CI40" i="8"/>
  <c r="CI39" i="8"/>
  <c r="CI36" i="8"/>
  <c r="CI33" i="8"/>
  <c r="CI30" i="8"/>
  <c r="CI25" i="8" s="1"/>
  <c r="CI28" i="8"/>
  <c r="CI27" i="8"/>
  <c r="CI20" i="8"/>
  <c r="CI16" i="8"/>
  <c r="CI14" i="8"/>
  <c r="CJ57" i="8" l="1"/>
  <c r="CJ54" i="8"/>
  <c r="CJ51" i="8"/>
  <c r="CJ48" i="8"/>
  <c r="CJ45" i="8"/>
  <c r="CJ41" i="8"/>
  <c r="CJ40" i="8"/>
  <c r="CJ36" i="8"/>
  <c r="CJ33" i="8"/>
  <c r="CJ30" i="8"/>
  <c r="CJ20" i="8"/>
  <c r="CJ16" i="8"/>
  <c r="CJ14" i="8" l="1"/>
  <c r="CJ28" i="8"/>
  <c r="CJ39" i="8"/>
  <c r="CJ27" i="8"/>
  <c r="CI437" i="9"/>
  <c r="CI431" i="9"/>
  <c r="CI427" i="9"/>
  <c r="CI418" i="9"/>
  <c r="CI411" i="9"/>
  <c r="CI398" i="9"/>
  <c r="CI256" i="9"/>
  <c r="CI207" i="9"/>
  <c r="CI202" i="9"/>
  <c r="CI190" i="9"/>
  <c r="CI70" i="9"/>
  <c r="CI22" i="9"/>
  <c r="CH57" i="8"/>
  <c r="CH54" i="8"/>
  <c r="CH51" i="8"/>
  <c r="CH48" i="8"/>
  <c r="CH45" i="8"/>
  <c r="CH42" i="8"/>
  <c r="CH41" i="8"/>
  <c r="CH28" i="8" s="1"/>
  <c r="CH40" i="8"/>
  <c r="CH39" i="8" s="1"/>
  <c r="CH36" i="8"/>
  <c r="CH33" i="8"/>
  <c r="CH30" i="8"/>
  <c r="CH20" i="8"/>
  <c r="CH14" i="8" s="1"/>
  <c r="CH16" i="8"/>
  <c r="CH31" i="5"/>
  <c r="CH23" i="5"/>
  <c r="CH20" i="5"/>
  <c r="CH18" i="5"/>
  <c r="CH16" i="5"/>
  <c r="CH160" i="1"/>
  <c r="CH155" i="1"/>
  <c r="CH150" i="1"/>
  <c r="CH139" i="1"/>
  <c r="CH138" i="1" s="1"/>
  <c r="CH125" i="1" s="1"/>
  <c r="CH131" i="1"/>
  <c r="CH116" i="1"/>
  <c r="CH110" i="1"/>
  <c r="CH99" i="1"/>
  <c r="CH89" i="1"/>
  <c r="CH83" i="1" s="1"/>
  <c r="CH84" i="1"/>
  <c r="CH78" i="1"/>
  <c r="CH74" i="1"/>
  <c r="CH70" i="1" s="1"/>
  <c r="CH71" i="1"/>
  <c r="CH66" i="1"/>
  <c r="CH60" i="1" s="1"/>
  <c r="CH63" i="1"/>
  <c r="CH56" i="1"/>
  <c r="CH53" i="1"/>
  <c r="CH45" i="1"/>
  <c r="CH40" i="1"/>
  <c r="CH37" i="1"/>
  <c r="CH32" i="1"/>
  <c r="CH21" i="1" s="1"/>
  <c r="CH22" i="1"/>
  <c r="CH71" i="4"/>
  <c r="CH70" i="4"/>
  <c r="CH69" i="4"/>
  <c r="CH51" i="4"/>
  <c r="CH66" i="4" s="1"/>
  <c r="CH43" i="4"/>
  <c r="CH40" i="4"/>
  <c r="CH59" i="4" s="1"/>
  <c r="CH37" i="4"/>
  <c r="CH58" i="4" s="1"/>
  <c r="CH32" i="4"/>
  <c r="CH57" i="4" s="1"/>
  <c r="CH27" i="4"/>
  <c r="CH21" i="4"/>
  <c r="CH55" i="4" s="1"/>
  <c r="CH16" i="4"/>
  <c r="CH60" i="4" l="1"/>
  <c r="CH67" i="4"/>
  <c r="CH56" i="4"/>
  <c r="CH14" i="4"/>
  <c r="CH14" i="5"/>
  <c r="CH95" i="1"/>
  <c r="CJ25" i="8"/>
  <c r="CH25" i="4"/>
  <c r="CI205" i="9"/>
  <c r="CI20" i="9"/>
  <c r="CH25" i="8"/>
  <c r="CH27" i="8"/>
  <c r="CH44" i="1"/>
  <c r="CH19" i="1" s="1"/>
  <c r="CH54" i="4"/>
  <c r="CG71" i="4"/>
  <c r="CG70" i="4"/>
  <c r="CG69" i="4"/>
  <c r="CG51" i="4"/>
  <c r="CG66" i="4" s="1"/>
  <c r="CG43" i="4"/>
  <c r="CG40" i="4"/>
  <c r="CG59" i="4" s="1"/>
  <c r="CG37" i="4"/>
  <c r="CG58" i="4" s="1"/>
  <c r="CG32" i="4"/>
  <c r="CG57" i="4" s="1"/>
  <c r="CG27" i="4"/>
  <c r="CG21" i="4"/>
  <c r="CG55" i="4" s="1"/>
  <c r="CG16" i="4"/>
  <c r="CH52" i="4" l="1"/>
  <c r="CH12" i="4"/>
  <c r="CH17" i="1"/>
  <c r="CH15" i="1"/>
  <c r="CG60" i="4"/>
  <c r="CG67" i="4"/>
  <c r="CG56" i="4"/>
  <c r="CG54" i="4"/>
  <c r="CI423" i="9"/>
  <c r="CG14" i="4"/>
  <c r="CG25" i="4"/>
  <c r="CG52" i="4" l="1"/>
  <c r="CH12" i="1"/>
  <c r="CG12" i="4"/>
  <c r="CI442" i="9"/>
  <c r="CG31" i="5"/>
  <c r="CG23" i="5"/>
  <c r="CG20" i="5"/>
  <c r="CG18" i="5"/>
  <c r="CG16" i="5"/>
  <c r="CH10" i="1" l="1"/>
  <c r="CG14" i="5"/>
  <c r="CH437" i="9"/>
  <c r="CH431" i="9"/>
  <c r="CH427" i="9"/>
  <c r="CH418" i="9"/>
  <c r="CH411" i="9"/>
  <c r="CH398" i="9"/>
  <c r="CH256" i="9"/>
  <c r="CH207" i="9"/>
  <c r="CH202" i="9"/>
  <c r="CH190" i="9"/>
  <c r="CH70" i="9"/>
  <c r="CH22" i="9"/>
  <c r="CH205" i="9" l="1"/>
  <c r="CH20" i="9"/>
  <c r="CG160" i="1"/>
  <c r="CG155" i="1"/>
  <c r="CG150" i="1"/>
  <c r="CG139" i="1"/>
  <c r="CG138" i="1" s="1"/>
  <c r="CG131" i="1"/>
  <c r="CG116" i="1"/>
  <c r="CG110" i="1"/>
  <c r="CG99" i="1"/>
  <c r="CG89" i="1"/>
  <c r="CG83" i="1" s="1"/>
  <c r="CG84" i="1"/>
  <c r="CG78" i="1"/>
  <c r="CG74" i="1"/>
  <c r="CG71" i="1"/>
  <c r="CG66" i="1"/>
  <c r="CG60" i="1" s="1"/>
  <c r="CG63" i="1"/>
  <c r="CG56" i="1"/>
  <c r="CG45" i="1" s="1"/>
  <c r="CG53" i="1"/>
  <c r="CG40" i="1"/>
  <c r="CG37" i="1"/>
  <c r="CG32" i="1" s="1"/>
  <c r="CG22" i="1"/>
  <c r="CG125" i="1" l="1"/>
  <c r="CG70" i="1"/>
  <c r="CG21" i="1"/>
  <c r="CG95" i="1"/>
  <c r="CH423" i="9"/>
  <c r="CH442" i="9" s="1"/>
  <c r="CG44" i="1"/>
  <c r="CG57" i="8"/>
  <c r="CG54" i="8"/>
  <c r="CG51" i="8"/>
  <c r="CG48" i="8"/>
  <c r="CG45" i="8"/>
  <c r="CG42" i="8"/>
  <c r="CG41" i="8"/>
  <c r="CG40" i="8"/>
  <c r="CG39" i="8"/>
  <c r="CG36" i="8"/>
  <c r="CG33" i="8"/>
  <c r="CG30" i="8"/>
  <c r="CG25" i="8" s="1"/>
  <c r="CG28" i="8"/>
  <c r="CG27" i="8"/>
  <c r="CG20" i="8"/>
  <c r="CG16" i="8"/>
  <c r="CG14" i="8"/>
  <c r="CG19" i="1" l="1"/>
  <c r="CF71" i="4"/>
  <c r="CF70" i="4"/>
  <c r="CF69" i="4"/>
  <c r="CF51" i="4"/>
  <c r="CF66" i="4" s="1"/>
  <c r="CF43" i="4"/>
  <c r="CF40" i="4"/>
  <c r="CF59" i="4" s="1"/>
  <c r="CF37" i="4"/>
  <c r="CF58" i="4" s="1"/>
  <c r="CF32" i="4"/>
  <c r="CF57" i="4" s="1"/>
  <c r="CF27" i="4"/>
  <c r="CF21" i="4"/>
  <c r="CF55" i="4" s="1"/>
  <c r="CF16" i="4"/>
  <c r="CF31" i="5"/>
  <c r="CF23" i="5"/>
  <c r="CF20" i="5"/>
  <c r="CF18" i="5"/>
  <c r="CF16" i="5"/>
  <c r="CF160" i="1"/>
  <c r="CF155" i="1"/>
  <c r="CF150" i="1"/>
  <c r="CF139" i="1"/>
  <c r="CF131" i="1"/>
  <c r="CF116" i="1"/>
  <c r="CF110" i="1"/>
  <c r="CF99" i="1"/>
  <c r="CF89" i="1"/>
  <c r="CF84" i="1"/>
  <c r="CF83" i="1" s="1"/>
  <c r="CF78" i="1"/>
  <c r="CF74" i="1"/>
  <c r="CF71" i="1"/>
  <c r="CF66" i="1"/>
  <c r="CF60" i="1" s="1"/>
  <c r="CF63" i="1"/>
  <c r="CF56" i="1"/>
  <c r="CF53" i="1"/>
  <c r="CF45" i="1"/>
  <c r="CF40" i="1"/>
  <c r="CF32" i="1" s="1"/>
  <c r="CF37" i="1"/>
  <c r="CF22" i="1"/>
  <c r="CG17" i="1" l="1"/>
  <c r="CF60" i="4"/>
  <c r="CF67" i="4"/>
  <c r="CF56" i="4"/>
  <c r="CF14" i="5"/>
  <c r="CF95" i="1"/>
  <c r="CF21" i="1"/>
  <c r="CF70" i="1"/>
  <c r="CF44" i="1"/>
  <c r="CF138" i="1"/>
  <c r="CF125" i="1" s="1"/>
  <c r="CF14" i="4"/>
  <c r="CF25" i="4"/>
  <c r="CF54" i="4"/>
  <c r="CF19" i="1"/>
  <c r="CG437" i="9"/>
  <c r="CG431" i="9"/>
  <c r="CG427" i="9"/>
  <c r="CG418" i="9"/>
  <c r="CG411" i="9"/>
  <c r="CG398" i="9"/>
  <c r="CG256" i="9"/>
  <c r="CG207" i="9"/>
  <c r="CG202" i="9"/>
  <c r="CG190" i="9"/>
  <c r="CG70" i="9"/>
  <c r="CG22" i="9"/>
  <c r="CF52" i="4" l="1"/>
  <c r="CG15" i="1"/>
  <c r="CF12" i="4"/>
  <c r="CF17" i="1"/>
  <c r="CG205" i="9"/>
  <c r="CG20" i="9"/>
  <c r="CF57" i="8"/>
  <c r="CF54" i="8"/>
  <c r="CF51" i="8"/>
  <c r="CF48" i="8"/>
  <c r="CF45" i="8"/>
  <c r="CF42" i="8"/>
  <c r="CF41" i="8"/>
  <c r="CF39" i="8" s="1"/>
  <c r="CF25" i="8" s="1"/>
  <c r="CF40" i="8"/>
  <c r="CF36" i="8"/>
  <c r="CF33" i="8"/>
  <c r="CF30" i="8"/>
  <c r="CF27" i="8"/>
  <c r="CF20" i="8"/>
  <c r="CF16" i="8"/>
  <c r="CF14" i="8"/>
  <c r="CG12" i="1" l="1"/>
  <c r="CF15" i="1"/>
  <c r="CG423" i="9"/>
  <c r="CG442" i="9" s="1"/>
  <c r="CF28" i="8"/>
  <c r="CF22" i="9"/>
  <c r="CG10" i="1" l="1"/>
  <c r="CF12" i="1"/>
  <c r="CF437" i="9"/>
  <c r="CF431" i="9"/>
  <c r="CF427" i="9"/>
  <c r="CF418" i="9"/>
  <c r="CF411" i="9"/>
  <c r="CF398" i="9"/>
  <c r="CF256" i="9"/>
  <c r="CF207" i="9"/>
  <c r="CF202" i="9"/>
  <c r="CF190" i="9"/>
  <c r="CF70" i="9"/>
  <c r="CF10" i="1" l="1"/>
  <c r="CF205" i="9"/>
  <c r="CF20" i="9"/>
  <c r="CE71" i="4"/>
  <c r="CE70" i="4"/>
  <c r="CE69" i="4"/>
  <c r="CE66" i="4"/>
  <c r="CE43" i="4"/>
  <c r="CE60" i="4" s="1"/>
  <c r="CE40" i="4"/>
  <c r="CE59" i="4" s="1"/>
  <c r="CE37" i="4"/>
  <c r="CE58" i="4" s="1"/>
  <c r="CE32" i="4"/>
  <c r="CE57" i="4" s="1"/>
  <c r="CE27" i="4"/>
  <c r="CE56" i="4" s="1"/>
  <c r="CE21" i="4"/>
  <c r="CE55" i="4" s="1"/>
  <c r="CE16" i="4"/>
  <c r="CE54" i="4" s="1"/>
  <c r="CE52" i="4" l="1"/>
  <c r="CE14" i="4"/>
  <c r="CE67" i="4"/>
  <c r="CE25" i="4"/>
  <c r="CF423" i="9"/>
  <c r="CE31" i="5"/>
  <c r="CE23" i="5"/>
  <c r="CE20" i="5"/>
  <c r="CE18" i="5"/>
  <c r="CE16" i="5"/>
  <c r="CE12" i="4" l="1"/>
  <c r="CE14" i="5"/>
  <c r="CF442" i="9"/>
  <c r="CE160" i="1"/>
  <c r="CE155" i="1"/>
  <c r="CE150" i="1"/>
  <c r="CE139" i="1"/>
  <c r="CE138" i="1"/>
  <c r="CE125" i="1" s="1"/>
  <c r="CE131" i="1"/>
  <c r="CE116" i="1"/>
  <c r="CE110" i="1"/>
  <c r="CE99" i="1"/>
  <c r="CE89" i="1"/>
  <c r="CE84" i="1"/>
  <c r="CE83" i="1" s="1"/>
  <c r="CE78" i="1"/>
  <c r="CE74" i="1"/>
  <c r="CE71" i="1"/>
  <c r="CE66" i="1"/>
  <c r="CE63" i="1"/>
  <c r="CE60" i="1"/>
  <c r="CE56" i="1"/>
  <c r="CE53" i="1"/>
  <c r="CE45" i="1"/>
  <c r="CE40" i="1"/>
  <c r="CE32" i="1" s="1"/>
  <c r="CE37" i="1"/>
  <c r="CE22" i="1"/>
  <c r="CE21" i="1" l="1"/>
  <c r="CE70" i="1"/>
  <c r="CE44" i="1" s="1"/>
  <c r="CE19" i="1" s="1"/>
  <c r="CE95" i="1"/>
  <c r="CE57" i="8"/>
  <c r="CE54" i="8"/>
  <c r="CE51" i="8"/>
  <c r="CE48" i="8"/>
  <c r="CE45" i="8"/>
  <c r="CE42" i="8"/>
  <c r="CE41" i="8"/>
  <c r="CE39" i="8" s="1"/>
  <c r="CE25" i="8" s="1"/>
  <c r="CE40" i="8"/>
  <c r="CE36" i="8"/>
  <c r="CE33" i="8"/>
  <c r="CE30" i="8"/>
  <c r="CE27" i="8"/>
  <c r="CE20" i="8"/>
  <c r="CE16" i="8"/>
  <c r="CE14" i="8"/>
  <c r="CE17" i="1" l="1"/>
  <c r="CE28" i="8"/>
  <c r="CJ139" i="1"/>
  <c r="CE15" i="1" l="1"/>
  <c r="CE12" i="1"/>
  <c r="CD71" i="4"/>
  <c r="CD70" i="4"/>
  <c r="CD69" i="4"/>
  <c r="CD51" i="4"/>
  <c r="CD66" i="4" s="1"/>
  <c r="CD43" i="4"/>
  <c r="CD40" i="4"/>
  <c r="CD59" i="4" s="1"/>
  <c r="CD37" i="4"/>
  <c r="CD58" i="4" s="1"/>
  <c r="CD32" i="4"/>
  <c r="CD27" i="4"/>
  <c r="CD21" i="4"/>
  <c r="CD16" i="4"/>
  <c r="CD31" i="5"/>
  <c r="CD23" i="5"/>
  <c r="CD20" i="5"/>
  <c r="CD18" i="5"/>
  <c r="CD16" i="5"/>
  <c r="CD160" i="1"/>
  <c r="CD155" i="1"/>
  <c r="CD150" i="1"/>
  <c r="CD139" i="1"/>
  <c r="CD131" i="1"/>
  <c r="CD116" i="1"/>
  <c r="CD110" i="1"/>
  <c r="CD99" i="1"/>
  <c r="CD89" i="1"/>
  <c r="CD84" i="1"/>
  <c r="CD83" i="1" s="1"/>
  <c r="CD78" i="1"/>
  <c r="CD74" i="1"/>
  <c r="CD71" i="1"/>
  <c r="CD70" i="1" s="1"/>
  <c r="CD66" i="1"/>
  <c r="CD60" i="1" s="1"/>
  <c r="CD63" i="1"/>
  <c r="CD56" i="1"/>
  <c r="CD45" i="1" s="1"/>
  <c r="CD53" i="1"/>
  <c r="CD40" i="1"/>
  <c r="CD37" i="1"/>
  <c r="CD22" i="1"/>
  <c r="CD44" i="1" l="1"/>
  <c r="CD32" i="1"/>
  <c r="CD21" i="1" s="1"/>
  <c r="CD138" i="1"/>
  <c r="CD125" i="1" s="1"/>
  <c r="CD60" i="4"/>
  <c r="CD57" i="4"/>
  <c r="CD67" i="4"/>
  <c r="CD54" i="4"/>
  <c r="CD14" i="5"/>
  <c r="CE10" i="1"/>
  <c r="CD95" i="1"/>
  <c r="CD14" i="4"/>
  <c r="CD25" i="4"/>
  <c r="CD55" i="4"/>
  <c r="CD56" i="4"/>
  <c r="CD19" i="1"/>
  <c r="CE437" i="9"/>
  <c r="CE431" i="9"/>
  <c r="CE427" i="9"/>
  <c r="CE418" i="9"/>
  <c r="CE411" i="9"/>
  <c r="CE398" i="9"/>
  <c r="CE256" i="9"/>
  <c r="CE207" i="9"/>
  <c r="CE202" i="9"/>
  <c r="CE190" i="9"/>
  <c r="CE70" i="9"/>
  <c r="CE22" i="9"/>
  <c r="CD52" i="4" l="1"/>
  <c r="CD12" i="4"/>
  <c r="CD17" i="1"/>
  <c r="CE205" i="9"/>
  <c r="CE20" i="9"/>
  <c r="CD40" i="8"/>
  <c r="CD57" i="8"/>
  <c r="CD54" i="8"/>
  <c r="CD51" i="8"/>
  <c r="CD48" i="8"/>
  <c r="CD45" i="8"/>
  <c r="CD42" i="8"/>
  <c r="CD41" i="8"/>
  <c r="CD39" i="8"/>
  <c r="CD36" i="8"/>
  <c r="CD33" i="8"/>
  <c r="CD30" i="8"/>
  <c r="CD25" i="8" s="1"/>
  <c r="CD28" i="8"/>
  <c r="CD27" i="8"/>
  <c r="CD20" i="8"/>
  <c r="CD16" i="8"/>
  <c r="CD14" i="8"/>
  <c r="CD15" i="1" l="1"/>
  <c r="CE423" i="9"/>
  <c r="BZ22" i="9"/>
  <c r="CA22" i="9"/>
  <c r="CB22" i="9"/>
  <c r="BZ70" i="9"/>
  <c r="CA70" i="9"/>
  <c r="CB70" i="9"/>
  <c r="BZ190" i="9"/>
  <c r="CA190" i="9"/>
  <c r="CB190" i="9"/>
  <c r="BZ202" i="9"/>
  <c r="CA202" i="9"/>
  <c r="CB202" i="9"/>
  <c r="BZ207" i="9"/>
  <c r="CA207" i="9"/>
  <c r="CB207" i="9"/>
  <c r="BZ256" i="9"/>
  <c r="CA256" i="9"/>
  <c r="CB256" i="9"/>
  <c r="BZ398" i="9"/>
  <c r="CA398" i="9"/>
  <c r="CB398" i="9"/>
  <c r="BZ411" i="9"/>
  <c r="CA411" i="9"/>
  <c r="CB411" i="9"/>
  <c r="BZ418" i="9"/>
  <c r="CA418" i="9"/>
  <c r="CB418" i="9"/>
  <c r="BZ427" i="9"/>
  <c r="CA427" i="9"/>
  <c r="CB427" i="9"/>
  <c r="BZ431" i="9"/>
  <c r="CA431" i="9"/>
  <c r="CB431" i="9"/>
  <c r="BZ437" i="9"/>
  <c r="CA437" i="9"/>
  <c r="CB437" i="9"/>
  <c r="CC22" i="9"/>
  <c r="CD22" i="9"/>
  <c r="CD12" i="1" l="1"/>
  <c r="CE442" i="9"/>
  <c r="CA205" i="9"/>
  <c r="CB205" i="9"/>
  <c r="BZ205" i="9"/>
  <c r="CD10" i="1" l="1"/>
  <c r="CD437" i="9" l="1"/>
  <c r="CD431" i="9"/>
  <c r="CD427" i="9"/>
  <c r="CD418" i="9"/>
  <c r="CD411" i="9"/>
  <c r="CD398" i="9"/>
  <c r="CD256" i="9"/>
  <c r="CD207" i="9"/>
  <c r="CD202" i="9"/>
  <c r="CD190" i="9"/>
  <c r="CD70" i="9"/>
  <c r="CD205" i="9" l="1"/>
  <c r="CD20" i="9"/>
  <c r="CC71" i="4"/>
  <c r="CC70" i="4"/>
  <c r="CC69" i="4"/>
  <c r="CC51" i="4"/>
  <c r="CC66" i="4" s="1"/>
  <c r="CC43" i="4"/>
  <c r="CC40" i="4"/>
  <c r="CC59" i="4" s="1"/>
  <c r="CC37" i="4"/>
  <c r="CC58" i="4" s="1"/>
  <c r="CC32" i="4"/>
  <c r="CC27" i="4"/>
  <c r="CC21" i="4"/>
  <c r="CC55" i="4" s="1"/>
  <c r="CC16" i="4"/>
  <c r="CC31" i="5"/>
  <c r="CC23" i="5"/>
  <c r="CC20" i="5"/>
  <c r="CC18" i="5"/>
  <c r="CC16" i="5"/>
  <c r="CC160" i="1"/>
  <c r="CC155" i="1"/>
  <c r="CC150" i="1"/>
  <c r="CC139" i="1"/>
  <c r="CC138" i="1" s="1"/>
  <c r="CC125" i="1" s="1"/>
  <c r="CC131" i="1"/>
  <c r="CC116" i="1"/>
  <c r="CC110" i="1"/>
  <c r="CC99" i="1"/>
  <c r="CC89" i="1"/>
  <c r="CC84" i="1"/>
  <c r="CC83" i="1" s="1"/>
  <c r="CC78" i="1"/>
  <c r="CC74" i="1"/>
  <c r="CC71" i="1"/>
  <c r="CC66" i="1"/>
  <c r="CC63" i="1"/>
  <c r="CC56" i="1"/>
  <c r="CC53" i="1"/>
  <c r="CC45" i="1"/>
  <c r="CC40" i="1"/>
  <c r="CC37" i="1"/>
  <c r="CC32" i="1"/>
  <c r="CC22" i="1"/>
  <c r="CC21" i="1" s="1"/>
  <c r="CC70" i="1" l="1"/>
  <c r="CC60" i="1"/>
  <c r="CC54" i="4"/>
  <c r="CC56" i="4"/>
  <c r="CC67" i="4"/>
  <c r="CC60" i="4"/>
  <c r="CC14" i="5"/>
  <c r="CC95" i="1"/>
  <c r="CC25" i="4"/>
  <c r="CC14" i="4"/>
  <c r="CC57" i="4"/>
  <c r="CD423" i="9"/>
  <c r="CD442" i="9" s="1"/>
  <c r="CC44" i="1"/>
  <c r="CC19" i="1" s="1"/>
  <c r="CC57" i="8"/>
  <c r="CC54" i="8"/>
  <c r="CC51" i="8"/>
  <c r="CC48" i="8"/>
  <c r="CC45" i="8"/>
  <c r="CC42" i="8"/>
  <c r="CC41" i="8"/>
  <c r="CC28" i="8" s="1"/>
  <c r="CC40" i="8"/>
  <c r="CC39" i="8" s="1"/>
  <c r="CC36" i="8"/>
  <c r="CC33" i="8"/>
  <c r="CC30" i="8"/>
  <c r="CC20" i="8"/>
  <c r="CC14" i="8" s="1"/>
  <c r="CC16" i="8"/>
  <c r="CC52" i="4" l="1"/>
  <c r="CC12" i="4"/>
  <c r="CC17" i="1"/>
  <c r="CC25" i="8"/>
  <c r="CC27" i="8"/>
  <c r="CC437" i="9"/>
  <c r="CC431" i="9"/>
  <c r="CC427" i="9"/>
  <c r="CC418" i="9"/>
  <c r="CC411" i="9"/>
  <c r="CC398" i="9"/>
  <c r="CC256" i="9"/>
  <c r="CC207" i="9"/>
  <c r="CC202" i="9"/>
  <c r="CC190" i="9"/>
  <c r="CC70" i="9"/>
  <c r="CC15" i="1" l="1"/>
  <c r="CC205" i="9"/>
  <c r="CC20" i="9"/>
  <c r="CB71" i="4"/>
  <c r="CB70" i="4"/>
  <c r="CB69" i="4"/>
  <c r="CJ71" i="4"/>
  <c r="CJ70" i="4"/>
  <c r="CJ69" i="4"/>
  <c r="CB51" i="4"/>
  <c r="CB66" i="4" s="1"/>
  <c r="CB43" i="4"/>
  <c r="CB40" i="4"/>
  <c r="CB59" i="4" s="1"/>
  <c r="CB37" i="4"/>
  <c r="CB58" i="4" s="1"/>
  <c r="CB32" i="4"/>
  <c r="CB27" i="4"/>
  <c r="CB21" i="4"/>
  <c r="CB55" i="4" s="1"/>
  <c r="CB16" i="4"/>
  <c r="CB31" i="5"/>
  <c r="CB23" i="5"/>
  <c r="CB20" i="5"/>
  <c r="CB18" i="5"/>
  <c r="CB16" i="5"/>
  <c r="CB160" i="1"/>
  <c r="CB155" i="1"/>
  <c r="CB150" i="1"/>
  <c r="CB139" i="1"/>
  <c r="CB138" i="1" s="1"/>
  <c r="CB131" i="1"/>
  <c r="CB116" i="1"/>
  <c r="CB110" i="1"/>
  <c r="CB99" i="1"/>
  <c r="CB89" i="1"/>
  <c r="CB83" i="1" s="1"/>
  <c r="CB84" i="1"/>
  <c r="CB78" i="1"/>
  <c r="CB74" i="1"/>
  <c r="CB71" i="1"/>
  <c r="CB66" i="1"/>
  <c r="CB60" i="1" s="1"/>
  <c r="CB63" i="1"/>
  <c r="CB56" i="1"/>
  <c r="CB53" i="1"/>
  <c r="CB45" i="1" s="1"/>
  <c r="CB40" i="1"/>
  <c r="CB37" i="1"/>
  <c r="CB32" i="1"/>
  <c r="CB21" i="1" s="1"/>
  <c r="CB22" i="1"/>
  <c r="CB125" i="1" l="1"/>
  <c r="CB70" i="1"/>
  <c r="CC12" i="1"/>
  <c r="CB60" i="4"/>
  <c r="CB67" i="4"/>
  <c r="CB56" i="4"/>
  <c r="CB14" i="5"/>
  <c r="CB95" i="1"/>
  <c r="CB25" i="4"/>
  <c r="CB14" i="4"/>
  <c r="CB57" i="4"/>
  <c r="CB54" i="4"/>
  <c r="CC423" i="9"/>
  <c r="CC442" i="9" s="1"/>
  <c r="CJ67" i="4"/>
  <c r="CB44" i="1"/>
  <c r="CB19" i="1"/>
  <c r="CB16" i="8"/>
  <c r="CC10" i="1" l="1"/>
  <c r="CB52" i="4"/>
  <c r="CB17" i="1"/>
  <c r="CB15" i="1" s="1"/>
  <c r="CB12" i="4"/>
  <c r="CA71" i="4"/>
  <c r="CA70" i="4"/>
  <c r="CA69" i="4"/>
  <c r="CA51" i="4"/>
  <c r="CA66" i="4" s="1"/>
  <c r="CA43" i="4"/>
  <c r="CA40" i="4"/>
  <c r="CA59" i="4" s="1"/>
  <c r="CA37" i="4"/>
  <c r="CA58" i="4" s="1"/>
  <c r="CA32" i="4"/>
  <c r="CA27" i="4"/>
  <c r="CA21" i="4"/>
  <c r="CA55" i="4" s="1"/>
  <c r="CA16" i="4"/>
  <c r="CA31" i="5"/>
  <c r="CA23" i="5"/>
  <c r="CA20" i="5"/>
  <c r="CA18" i="5"/>
  <c r="CA16" i="5"/>
  <c r="CA14" i="5"/>
  <c r="CA160" i="1"/>
  <c r="CA155" i="1"/>
  <c r="CA150" i="1"/>
  <c r="CA139" i="1"/>
  <c r="CA138" i="1" s="1"/>
  <c r="CA131" i="1"/>
  <c r="CA116" i="1"/>
  <c r="CA110" i="1"/>
  <c r="CA99" i="1"/>
  <c r="CA89" i="1"/>
  <c r="CA83" i="1" s="1"/>
  <c r="CA84" i="1"/>
  <c r="CA78" i="1"/>
  <c r="CA74" i="1"/>
  <c r="CA71" i="1"/>
  <c r="CA66" i="1"/>
  <c r="CA63" i="1"/>
  <c r="CA56" i="1"/>
  <c r="CA53" i="1"/>
  <c r="CA45" i="1" s="1"/>
  <c r="CA40" i="1"/>
  <c r="CA37" i="1"/>
  <c r="CA32" i="1"/>
  <c r="CA21" i="1" s="1"/>
  <c r="CA22" i="1"/>
  <c r="CA70" i="1" l="1"/>
  <c r="CA125" i="1"/>
  <c r="CA60" i="1"/>
  <c r="CA44" i="1" s="1"/>
  <c r="CA19" i="1" s="1"/>
  <c r="CA60" i="4"/>
  <c r="CA57" i="4"/>
  <c r="CA67" i="4"/>
  <c r="CA56" i="4"/>
  <c r="CA14" i="4"/>
  <c r="CB12" i="1"/>
  <c r="CA95" i="1"/>
  <c r="CA54" i="4"/>
  <c r="CA25" i="4"/>
  <c r="CA52" i="4" l="1"/>
  <c r="CA12" i="4"/>
  <c r="CA17" i="1"/>
  <c r="CA15" i="1" s="1"/>
  <c r="CB10" i="1"/>
  <c r="CB20" i="9"/>
  <c r="CB423" i="9" s="1"/>
  <c r="CA57" i="8"/>
  <c r="CA54" i="8"/>
  <c r="CA51" i="8"/>
  <c r="CA48" i="8"/>
  <c r="CA45" i="8"/>
  <c r="CA42" i="8"/>
  <c r="CA41" i="8"/>
  <c r="CA28" i="8" s="1"/>
  <c r="CA40" i="8"/>
  <c r="CA39" i="8" s="1"/>
  <c r="CA36" i="8"/>
  <c r="CA33" i="8"/>
  <c r="CA30" i="8"/>
  <c r="CA20" i="8"/>
  <c r="CA14" i="8" s="1"/>
  <c r="CA16" i="8"/>
  <c r="CA12" i="1" l="1"/>
  <c r="CB442" i="9"/>
  <c r="CA25" i="8"/>
  <c r="CA27" i="8"/>
  <c r="BZ71" i="4"/>
  <c r="BZ70" i="4"/>
  <c r="BZ69" i="4"/>
  <c r="BZ51" i="4"/>
  <c r="BZ66" i="4" s="1"/>
  <c r="BZ43" i="4"/>
  <c r="BZ40" i="4"/>
  <c r="BZ59" i="4" s="1"/>
  <c r="BZ37" i="4"/>
  <c r="BZ58" i="4" s="1"/>
  <c r="BZ32" i="4"/>
  <c r="BZ27" i="4"/>
  <c r="BZ21" i="4"/>
  <c r="BZ55" i="4" s="1"/>
  <c r="BZ16" i="4"/>
  <c r="BZ31" i="5"/>
  <c r="BZ23" i="5"/>
  <c r="BZ20" i="5"/>
  <c r="BZ18" i="5"/>
  <c r="BZ16" i="5"/>
  <c r="BZ160" i="1"/>
  <c r="BZ155" i="1"/>
  <c r="BZ150" i="1"/>
  <c r="BZ139" i="1"/>
  <c r="BZ131" i="1"/>
  <c r="BZ116" i="1"/>
  <c r="BZ110" i="1"/>
  <c r="BZ99" i="1"/>
  <c r="BZ89" i="1"/>
  <c r="BZ84" i="1"/>
  <c r="BZ83" i="1"/>
  <c r="BZ78" i="1"/>
  <c r="BZ74" i="1"/>
  <c r="BZ71" i="1"/>
  <c r="BZ70" i="1"/>
  <c r="BZ66" i="1"/>
  <c r="BZ60" i="1" s="1"/>
  <c r="BZ63" i="1"/>
  <c r="BZ56" i="1"/>
  <c r="BZ53" i="1"/>
  <c r="BZ40" i="1"/>
  <c r="BZ32" i="1" s="1"/>
  <c r="BZ21" i="1" s="1"/>
  <c r="BZ37" i="1"/>
  <c r="BZ22" i="1"/>
  <c r="BZ138" i="1" l="1"/>
  <c r="BZ125" i="1" s="1"/>
  <c r="BZ45" i="1"/>
  <c r="BZ44" i="1" s="1"/>
  <c r="BZ67" i="4"/>
  <c r="BZ60" i="4"/>
  <c r="BZ57" i="4"/>
  <c r="BZ56" i="4"/>
  <c r="BZ14" i="5"/>
  <c r="CA10" i="1"/>
  <c r="BZ95" i="1"/>
  <c r="BZ14" i="4"/>
  <c r="BZ25" i="4"/>
  <c r="BZ54" i="4"/>
  <c r="BZ19" i="1"/>
  <c r="BZ52" i="4" l="1"/>
  <c r="BZ17" i="1"/>
  <c r="BZ15" i="1" s="1"/>
  <c r="BZ12" i="4"/>
  <c r="CA20" i="9"/>
  <c r="CA423" i="9" s="1"/>
  <c r="BZ57" i="8"/>
  <c r="BZ54" i="8"/>
  <c r="BZ51" i="8"/>
  <c r="BZ48" i="8"/>
  <c r="BZ45" i="8"/>
  <c r="BZ42" i="8"/>
  <c r="BZ41" i="8"/>
  <c r="BZ40" i="8"/>
  <c r="BZ39" i="8"/>
  <c r="BZ36" i="8"/>
  <c r="BZ33" i="8"/>
  <c r="BZ30" i="8"/>
  <c r="BZ25" i="8" s="1"/>
  <c r="BZ28" i="8"/>
  <c r="BZ27" i="8"/>
  <c r="BZ20" i="8"/>
  <c r="BZ16" i="8"/>
  <c r="BZ14" i="8"/>
  <c r="BZ12" i="1" l="1"/>
  <c r="CA442" i="9"/>
  <c r="BZ10" i="1" l="1"/>
  <c r="BZ20" i="9"/>
  <c r="BZ423" i="9" s="1"/>
  <c r="BY71" i="4"/>
  <c r="BY70" i="4"/>
  <c r="BY69" i="4"/>
  <c r="BY51" i="4"/>
  <c r="BY66" i="4" s="1"/>
  <c r="BY43" i="4"/>
  <c r="BY40" i="4"/>
  <c r="BY59" i="4" s="1"/>
  <c r="BY37" i="4"/>
  <c r="BY58" i="4" s="1"/>
  <c r="BY32" i="4"/>
  <c r="BY57" i="4" s="1"/>
  <c r="BY27" i="4"/>
  <c r="BY21" i="4"/>
  <c r="BY55" i="4" s="1"/>
  <c r="BY16" i="4"/>
  <c r="BY31" i="5"/>
  <c r="BY23" i="5"/>
  <c r="BY20" i="5"/>
  <c r="BY18" i="5"/>
  <c r="BY16" i="5"/>
  <c r="BY160" i="1"/>
  <c r="BY155" i="1"/>
  <c r="BY150" i="1"/>
  <c r="BY139" i="1"/>
  <c r="BY131" i="1"/>
  <c r="BY116" i="1"/>
  <c r="BY110" i="1"/>
  <c r="BY99" i="1"/>
  <c r="BY89" i="1"/>
  <c r="BY84" i="1"/>
  <c r="BY78" i="1"/>
  <c r="BY74" i="1"/>
  <c r="BY71" i="1"/>
  <c r="BY70" i="1" s="1"/>
  <c r="BY66" i="1"/>
  <c r="BY60" i="1" s="1"/>
  <c r="BY63" i="1"/>
  <c r="BY56" i="1"/>
  <c r="BY53" i="1"/>
  <c r="BY45" i="1" s="1"/>
  <c r="BY44" i="1" s="1"/>
  <c r="BY40" i="1"/>
  <c r="BY37" i="1"/>
  <c r="BY32" i="1"/>
  <c r="BY22" i="1"/>
  <c r="BY21" i="1" l="1"/>
  <c r="BY83" i="1"/>
  <c r="BY138" i="1"/>
  <c r="BY125" i="1" s="1"/>
  <c r="BY19" i="1"/>
  <c r="BY67" i="4"/>
  <c r="BY60" i="4"/>
  <c r="BY25" i="4"/>
  <c r="BY14" i="4"/>
  <c r="BY14" i="5"/>
  <c r="BY95" i="1"/>
  <c r="BY56" i="4"/>
  <c r="BY54" i="4"/>
  <c r="BZ442" i="9"/>
  <c r="BY57" i="8"/>
  <c r="BY54" i="8"/>
  <c r="BY51" i="8"/>
  <c r="BY48" i="8"/>
  <c r="BY45" i="8"/>
  <c r="BY42" i="8"/>
  <c r="BY41" i="8"/>
  <c r="BY39" i="8" s="1"/>
  <c r="BY25" i="8" s="1"/>
  <c r="BY40" i="8"/>
  <c r="BY36" i="8"/>
  <c r="BY33" i="8"/>
  <c r="BY30" i="8"/>
  <c r="BY27" i="8"/>
  <c r="BY20" i="8"/>
  <c r="BY16" i="8"/>
  <c r="BY14" i="8"/>
  <c r="BY52" i="4" l="1"/>
  <c r="BY12" i="4"/>
  <c r="BY17" i="1"/>
  <c r="BY28" i="8"/>
  <c r="P438" i="9"/>
  <c r="P437" i="9" s="1"/>
  <c r="BY437" i="9"/>
  <c r="BX437" i="9"/>
  <c r="BW437" i="9"/>
  <c r="BV437" i="9"/>
  <c r="BU437" i="9"/>
  <c r="BT437" i="9"/>
  <c r="BS437" i="9"/>
  <c r="BR437" i="9"/>
  <c r="BQ437" i="9"/>
  <c r="BP437" i="9"/>
  <c r="BO437" i="9"/>
  <c r="BN437" i="9"/>
  <c r="BM437" i="9"/>
  <c r="BL437" i="9"/>
  <c r="BK437" i="9"/>
  <c r="BJ437" i="9"/>
  <c r="BI437" i="9"/>
  <c r="BH437" i="9"/>
  <c r="BG437" i="9"/>
  <c r="BF437" i="9"/>
  <c r="BE437" i="9"/>
  <c r="BD437" i="9"/>
  <c r="BC437" i="9"/>
  <c r="BB437" i="9"/>
  <c r="BA437" i="9"/>
  <c r="AZ437" i="9"/>
  <c r="AY437" i="9"/>
  <c r="AX437" i="9"/>
  <c r="AW437" i="9"/>
  <c r="AV437" i="9"/>
  <c r="AU437" i="9"/>
  <c r="AT437" i="9"/>
  <c r="AS437" i="9"/>
  <c r="AR437" i="9"/>
  <c r="AQ437" i="9"/>
  <c r="AP437" i="9"/>
  <c r="AO437" i="9"/>
  <c r="AN437" i="9"/>
  <c r="AM437" i="9"/>
  <c r="AL437" i="9"/>
  <c r="AK437" i="9"/>
  <c r="AJ437" i="9"/>
  <c r="AI437" i="9"/>
  <c r="AH437" i="9"/>
  <c r="AG437" i="9"/>
  <c r="AF437" i="9"/>
  <c r="AE437" i="9"/>
  <c r="AD437" i="9"/>
  <c r="AC437" i="9"/>
  <c r="AB437" i="9"/>
  <c r="AA437" i="9"/>
  <c r="Z437" i="9"/>
  <c r="Y437" i="9"/>
  <c r="X437" i="9"/>
  <c r="W437" i="9"/>
  <c r="V437" i="9"/>
  <c r="U437" i="9"/>
  <c r="T437" i="9"/>
  <c r="S437" i="9"/>
  <c r="R437" i="9"/>
  <c r="Q437" i="9"/>
  <c r="O437" i="9"/>
  <c r="N437" i="9"/>
  <c r="M437" i="9"/>
  <c r="L437" i="9"/>
  <c r="K437" i="9"/>
  <c r="J437" i="9"/>
  <c r="I437" i="9"/>
  <c r="H437" i="9"/>
  <c r="G437" i="9"/>
  <c r="F437" i="9"/>
  <c r="E437" i="9"/>
  <c r="D437" i="9"/>
  <c r="C437" i="9"/>
  <c r="C446" i="9" s="1"/>
  <c r="D14" i="9" s="1"/>
  <c r="O435" i="9"/>
  <c r="Q434" i="9"/>
  <c r="Q431" i="9" s="1"/>
  <c r="P434" i="9"/>
  <c r="P431" i="9" s="1"/>
  <c r="O434" i="9"/>
  <c r="BY431" i="9"/>
  <c r="BX431" i="9"/>
  <c r="BW431" i="9"/>
  <c r="BV431" i="9"/>
  <c r="BU431" i="9"/>
  <c r="BT431" i="9"/>
  <c r="BS431" i="9"/>
  <c r="BR431" i="9"/>
  <c r="BQ431" i="9"/>
  <c r="BP431" i="9"/>
  <c r="BO431" i="9"/>
  <c r="BN431" i="9"/>
  <c r="BM431" i="9"/>
  <c r="BL431" i="9"/>
  <c r="BK431" i="9"/>
  <c r="BJ431" i="9"/>
  <c r="BI431" i="9"/>
  <c r="BH431" i="9"/>
  <c r="BG431" i="9"/>
  <c r="BF431" i="9"/>
  <c r="BE431" i="9"/>
  <c r="BD431" i="9"/>
  <c r="BC431" i="9"/>
  <c r="BB431" i="9"/>
  <c r="BA431" i="9"/>
  <c r="AZ431" i="9"/>
  <c r="AY431" i="9"/>
  <c r="AX431" i="9"/>
  <c r="AW431" i="9"/>
  <c r="AV431" i="9"/>
  <c r="AU431" i="9"/>
  <c r="AT431" i="9"/>
  <c r="AS431" i="9"/>
  <c r="AR431" i="9"/>
  <c r="AQ431" i="9"/>
  <c r="AP431" i="9"/>
  <c r="AO431" i="9"/>
  <c r="AN431" i="9"/>
  <c r="AM431" i="9"/>
  <c r="AL431" i="9"/>
  <c r="AK431" i="9"/>
  <c r="AJ431" i="9"/>
  <c r="AI431" i="9"/>
  <c r="AH431" i="9"/>
  <c r="AG431" i="9"/>
  <c r="AF431" i="9"/>
  <c r="AE431" i="9"/>
  <c r="AD431" i="9"/>
  <c r="AC431" i="9"/>
  <c r="AB431" i="9"/>
  <c r="AA431" i="9"/>
  <c r="Z431" i="9"/>
  <c r="Y431" i="9"/>
  <c r="X431" i="9"/>
  <c r="W431" i="9"/>
  <c r="V431" i="9"/>
  <c r="U431" i="9"/>
  <c r="T431" i="9"/>
  <c r="S431" i="9"/>
  <c r="R431" i="9"/>
  <c r="N431" i="9"/>
  <c r="M431" i="9"/>
  <c r="L431" i="9"/>
  <c r="K431" i="9"/>
  <c r="J431" i="9"/>
  <c r="I431" i="9"/>
  <c r="H431" i="9"/>
  <c r="G431" i="9"/>
  <c r="F431" i="9"/>
  <c r="E431" i="9"/>
  <c r="D431" i="9"/>
  <c r="C431" i="9"/>
  <c r="BY427" i="9"/>
  <c r="BX427" i="9"/>
  <c r="BW427" i="9"/>
  <c r="BV427" i="9"/>
  <c r="BU427" i="9"/>
  <c r="BT427" i="9"/>
  <c r="BS427" i="9"/>
  <c r="BR427" i="9"/>
  <c r="BQ427" i="9"/>
  <c r="BP427" i="9"/>
  <c r="BO427" i="9"/>
  <c r="BN427" i="9"/>
  <c r="BM427" i="9"/>
  <c r="BL427" i="9"/>
  <c r="BK427" i="9"/>
  <c r="BJ427" i="9"/>
  <c r="BI427" i="9"/>
  <c r="BH427" i="9"/>
  <c r="BG427" i="9"/>
  <c r="BF427" i="9"/>
  <c r="BE427" i="9"/>
  <c r="BD427" i="9"/>
  <c r="BC427" i="9"/>
  <c r="BB427" i="9"/>
  <c r="BA427" i="9"/>
  <c r="AZ427" i="9"/>
  <c r="AY427" i="9"/>
  <c r="AX427" i="9"/>
  <c r="AW427" i="9"/>
  <c r="AV427" i="9"/>
  <c r="AU427" i="9"/>
  <c r="AT427" i="9"/>
  <c r="AS427" i="9"/>
  <c r="AR427" i="9"/>
  <c r="AQ427" i="9"/>
  <c r="AP427" i="9"/>
  <c r="AO427" i="9"/>
  <c r="AN427" i="9"/>
  <c r="AM427" i="9"/>
  <c r="AL427" i="9"/>
  <c r="AK427" i="9"/>
  <c r="AJ427" i="9"/>
  <c r="AI427" i="9"/>
  <c r="AH427" i="9"/>
  <c r="AG427" i="9"/>
  <c r="AF427" i="9"/>
  <c r="AE427" i="9"/>
  <c r="AD427" i="9"/>
  <c r="AC427" i="9"/>
  <c r="AB427" i="9"/>
  <c r="AA427" i="9"/>
  <c r="Z427" i="9"/>
  <c r="Y427" i="9"/>
  <c r="X427" i="9"/>
  <c r="W427" i="9"/>
  <c r="V427" i="9"/>
  <c r="U427" i="9"/>
  <c r="T427" i="9"/>
  <c r="S427" i="9"/>
  <c r="R427" i="9"/>
  <c r="Q427" i="9"/>
  <c r="P427" i="9"/>
  <c r="O427" i="9"/>
  <c r="BY418" i="9"/>
  <c r="BX418" i="9"/>
  <c r="BW418" i="9"/>
  <c r="BV418" i="9"/>
  <c r="BU418" i="9"/>
  <c r="BT418" i="9"/>
  <c r="BS418" i="9"/>
  <c r="BR418" i="9"/>
  <c r="BQ418" i="9"/>
  <c r="BP418" i="9"/>
  <c r="BO418" i="9"/>
  <c r="BN418" i="9"/>
  <c r="BM418" i="9"/>
  <c r="BL418" i="9"/>
  <c r="BK418" i="9"/>
  <c r="BJ418" i="9"/>
  <c r="BI418" i="9"/>
  <c r="BH418" i="9"/>
  <c r="BG418" i="9"/>
  <c r="BF418" i="9"/>
  <c r="BE418" i="9"/>
  <c r="BD418" i="9"/>
  <c r="BC418" i="9"/>
  <c r="BB418" i="9"/>
  <c r="BA418" i="9"/>
  <c r="AZ418" i="9"/>
  <c r="AY418" i="9"/>
  <c r="AX418" i="9"/>
  <c r="AW418" i="9"/>
  <c r="AV418" i="9"/>
  <c r="AU418" i="9"/>
  <c r="AT418" i="9"/>
  <c r="AS418" i="9"/>
  <c r="AR418" i="9"/>
  <c r="AQ418" i="9"/>
  <c r="AP418" i="9"/>
  <c r="AO418" i="9"/>
  <c r="AN418" i="9"/>
  <c r="AM418" i="9"/>
  <c r="AL418" i="9"/>
  <c r="AK418" i="9"/>
  <c r="AJ418" i="9"/>
  <c r="AI418" i="9"/>
  <c r="AH418" i="9"/>
  <c r="AG418" i="9"/>
  <c r="AF418" i="9"/>
  <c r="AE418" i="9"/>
  <c r="AD418" i="9"/>
  <c r="AC418" i="9"/>
  <c r="AB418" i="9"/>
  <c r="AA418" i="9"/>
  <c r="Z418" i="9"/>
  <c r="Y418" i="9"/>
  <c r="X418" i="9"/>
  <c r="W418" i="9"/>
  <c r="V418" i="9"/>
  <c r="U418" i="9"/>
  <c r="T418" i="9"/>
  <c r="S418" i="9"/>
  <c r="R418" i="9"/>
  <c r="Q418" i="9"/>
  <c r="P418" i="9"/>
  <c r="O418" i="9"/>
  <c r="BY411" i="9"/>
  <c r="BX411" i="9"/>
  <c r="BW411" i="9"/>
  <c r="BV411" i="9"/>
  <c r="BU411" i="9"/>
  <c r="BT411" i="9"/>
  <c r="BS411" i="9"/>
  <c r="BR411" i="9"/>
  <c r="BQ411" i="9"/>
  <c r="BP411" i="9"/>
  <c r="BO411" i="9"/>
  <c r="BN411" i="9"/>
  <c r="BM411" i="9"/>
  <c r="BL411" i="9"/>
  <c r="BK411" i="9"/>
  <c r="BJ411" i="9"/>
  <c r="BI411" i="9"/>
  <c r="BH411" i="9"/>
  <c r="BG411" i="9"/>
  <c r="BF411" i="9"/>
  <c r="BE411" i="9"/>
  <c r="BD411" i="9"/>
  <c r="BC411" i="9"/>
  <c r="BB411" i="9"/>
  <c r="BA411" i="9"/>
  <c r="AZ411" i="9"/>
  <c r="AY411" i="9"/>
  <c r="AX411" i="9"/>
  <c r="AW411" i="9"/>
  <c r="AV411" i="9"/>
  <c r="AU411" i="9"/>
  <c r="AT411" i="9"/>
  <c r="AS411" i="9"/>
  <c r="AR411" i="9"/>
  <c r="AQ411" i="9"/>
  <c r="AP411" i="9"/>
  <c r="AO411" i="9"/>
  <c r="AN411" i="9"/>
  <c r="AM411" i="9"/>
  <c r="AL411" i="9"/>
  <c r="AK411" i="9"/>
  <c r="AJ411" i="9"/>
  <c r="AI411" i="9"/>
  <c r="AH411" i="9"/>
  <c r="AG411" i="9"/>
  <c r="AF411" i="9"/>
  <c r="AE411" i="9"/>
  <c r="AD411" i="9"/>
  <c r="AC411" i="9"/>
  <c r="AB411" i="9"/>
  <c r="AA411" i="9"/>
  <c r="Z411" i="9"/>
  <c r="Y411" i="9"/>
  <c r="X411" i="9"/>
  <c r="W411" i="9"/>
  <c r="V411" i="9"/>
  <c r="U411" i="9"/>
  <c r="T411" i="9"/>
  <c r="S411" i="9"/>
  <c r="R411" i="9"/>
  <c r="Q411" i="9"/>
  <c r="P411" i="9"/>
  <c r="O411" i="9"/>
  <c r="BY398" i="9"/>
  <c r="BX398" i="9"/>
  <c r="BW398" i="9"/>
  <c r="BV398" i="9"/>
  <c r="BU398" i="9"/>
  <c r="BT398" i="9"/>
  <c r="BS398" i="9"/>
  <c r="BR398" i="9"/>
  <c r="BQ398" i="9"/>
  <c r="BP398" i="9"/>
  <c r="BO398" i="9"/>
  <c r="BN398" i="9"/>
  <c r="BM398" i="9"/>
  <c r="BL398" i="9"/>
  <c r="BK398" i="9"/>
  <c r="BJ398" i="9"/>
  <c r="BI398" i="9"/>
  <c r="BH398" i="9"/>
  <c r="BG398" i="9"/>
  <c r="BF398" i="9"/>
  <c r="BE398" i="9"/>
  <c r="BD398" i="9"/>
  <c r="BC398" i="9"/>
  <c r="BB398" i="9"/>
  <c r="BA398" i="9"/>
  <c r="AZ398" i="9"/>
  <c r="AY398" i="9"/>
  <c r="AX398" i="9"/>
  <c r="AW398" i="9"/>
  <c r="AV398" i="9"/>
  <c r="AU398" i="9"/>
  <c r="AT398" i="9"/>
  <c r="AS398" i="9"/>
  <c r="AR398" i="9"/>
  <c r="AQ398" i="9"/>
  <c r="AP398" i="9"/>
  <c r="AO398" i="9"/>
  <c r="AN398" i="9"/>
  <c r="AM398" i="9"/>
  <c r="AL398" i="9"/>
  <c r="AK398" i="9"/>
  <c r="AJ398" i="9"/>
  <c r="AI398" i="9"/>
  <c r="AH398" i="9"/>
  <c r="AG398" i="9"/>
  <c r="AF398" i="9"/>
  <c r="AE398" i="9"/>
  <c r="AD398" i="9"/>
  <c r="AC398" i="9"/>
  <c r="AB398" i="9"/>
  <c r="AA398" i="9"/>
  <c r="Z398" i="9"/>
  <c r="Y398" i="9"/>
  <c r="X398" i="9"/>
  <c r="W398" i="9"/>
  <c r="V398" i="9"/>
  <c r="U398" i="9"/>
  <c r="T398" i="9"/>
  <c r="S398" i="9"/>
  <c r="R398" i="9"/>
  <c r="Q398" i="9"/>
  <c r="P398" i="9"/>
  <c r="O398" i="9"/>
  <c r="BY256" i="9"/>
  <c r="BX256" i="9"/>
  <c r="BW256" i="9"/>
  <c r="BV256" i="9"/>
  <c r="BU256" i="9"/>
  <c r="BT256" i="9"/>
  <c r="BS256" i="9"/>
  <c r="BR256" i="9"/>
  <c r="BQ256" i="9"/>
  <c r="BP256" i="9"/>
  <c r="BO256" i="9"/>
  <c r="BN256" i="9"/>
  <c r="BM256" i="9"/>
  <c r="BL256" i="9"/>
  <c r="BK256" i="9"/>
  <c r="BJ256" i="9"/>
  <c r="BI256" i="9"/>
  <c r="BH256" i="9"/>
  <c r="BG256" i="9"/>
  <c r="BF256" i="9"/>
  <c r="BE256" i="9"/>
  <c r="BD256" i="9"/>
  <c r="BC256" i="9"/>
  <c r="BB256" i="9"/>
  <c r="BA256" i="9"/>
  <c r="AZ256" i="9"/>
  <c r="AY256" i="9"/>
  <c r="AX256" i="9"/>
  <c r="AW256" i="9"/>
  <c r="AV256" i="9"/>
  <c r="AU256" i="9"/>
  <c r="AT256" i="9"/>
  <c r="AS256" i="9"/>
  <c r="AR256" i="9"/>
  <c r="AQ256" i="9"/>
  <c r="AP256" i="9"/>
  <c r="AO256" i="9"/>
  <c r="AN256" i="9"/>
  <c r="AM256" i="9"/>
  <c r="AL256" i="9"/>
  <c r="AK256" i="9"/>
  <c r="AJ256" i="9"/>
  <c r="AI256" i="9"/>
  <c r="AH256" i="9"/>
  <c r="AG256" i="9"/>
  <c r="AF256" i="9"/>
  <c r="AE256" i="9"/>
  <c r="AD256" i="9"/>
  <c r="AC256" i="9"/>
  <c r="AB256" i="9"/>
  <c r="AA256" i="9"/>
  <c r="Z256" i="9"/>
  <c r="Y256" i="9"/>
  <c r="X256" i="9"/>
  <c r="W256" i="9"/>
  <c r="V256" i="9"/>
  <c r="U256" i="9"/>
  <c r="T256" i="9"/>
  <c r="S256" i="9"/>
  <c r="R256" i="9"/>
  <c r="Q256" i="9"/>
  <c r="P256" i="9"/>
  <c r="O256" i="9"/>
  <c r="BY207" i="9"/>
  <c r="BX207" i="9"/>
  <c r="BW207" i="9"/>
  <c r="BV207" i="9"/>
  <c r="BU207" i="9"/>
  <c r="BT207" i="9"/>
  <c r="BS207" i="9"/>
  <c r="BR207" i="9"/>
  <c r="BQ207" i="9"/>
  <c r="BP207" i="9"/>
  <c r="BO207" i="9"/>
  <c r="BN207" i="9"/>
  <c r="BM207" i="9"/>
  <c r="BL207" i="9"/>
  <c r="BK207" i="9"/>
  <c r="BJ207" i="9"/>
  <c r="BI207" i="9"/>
  <c r="BH207" i="9"/>
  <c r="BG207" i="9"/>
  <c r="BF207" i="9"/>
  <c r="BE207" i="9"/>
  <c r="BD207" i="9"/>
  <c r="BC207" i="9"/>
  <c r="BB207" i="9"/>
  <c r="BA207" i="9"/>
  <c r="AZ207" i="9"/>
  <c r="AY207" i="9"/>
  <c r="AX207" i="9"/>
  <c r="AW207" i="9"/>
  <c r="AV207" i="9"/>
  <c r="AU207" i="9"/>
  <c r="AT207" i="9"/>
  <c r="AS207" i="9"/>
  <c r="AR207" i="9"/>
  <c r="AQ207" i="9"/>
  <c r="AP207" i="9"/>
  <c r="AO207" i="9"/>
  <c r="AN207" i="9"/>
  <c r="AM207" i="9"/>
  <c r="AL207" i="9"/>
  <c r="AK207" i="9"/>
  <c r="AJ207" i="9"/>
  <c r="AI207" i="9"/>
  <c r="AH207" i="9"/>
  <c r="AG207" i="9"/>
  <c r="AF207" i="9"/>
  <c r="AE207" i="9"/>
  <c r="AD207" i="9"/>
  <c r="AC207" i="9"/>
  <c r="AB207" i="9"/>
  <c r="AA207" i="9"/>
  <c r="Z207" i="9"/>
  <c r="Y207" i="9"/>
  <c r="X207" i="9"/>
  <c r="W207" i="9"/>
  <c r="V207" i="9"/>
  <c r="U207" i="9"/>
  <c r="T207" i="9"/>
  <c r="S207" i="9"/>
  <c r="R207" i="9"/>
  <c r="Q207" i="9"/>
  <c r="P207" i="9"/>
  <c r="O207" i="9"/>
  <c r="N205" i="9"/>
  <c r="M205" i="9"/>
  <c r="L205" i="9"/>
  <c r="K205" i="9"/>
  <c r="J205" i="9"/>
  <c r="I205" i="9"/>
  <c r="H205" i="9"/>
  <c r="G205" i="9"/>
  <c r="F205" i="9"/>
  <c r="E205" i="9"/>
  <c r="D205" i="9"/>
  <c r="C205" i="9"/>
  <c r="BY202" i="9"/>
  <c r="BX202" i="9"/>
  <c r="BW202" i="9"/>
  <c r="BV202" i="9"/>
  <c r="BU202" i="9"/>
  <c r="BT202" i="9"/>
  <c r="BS202" i="9"/>
  <c r="BR202" i="9"/>
  <c r="BQ202" i="9"/>
  <c r="BP202" i="9"/>
  <c r="BO202" i="9"/>
  <c r="BN202" i="9"/>
  <c r="BM202" i="9"/>
  <c r="BL202" i="9"/>
  <c r="BK202" i="9"/>
  <c r="BJ202" i="9"/>
  <c r="BI202" i="9"/>
  <c r="BH202" i="9"/>
  <c r="BG202" i="9"/>
  <c r="BF202" i="9"/>
  <c r="BE202" i="9"/>
  <c r="BD202" i="9"/>
  <c r="BC202" i="9"/>
  <c r="BB202" i="9"/>
  <c r="BA202" i="9"/>
  <c r="AZ202" i="9"/>
  <c r="AY202" i="9"/>
  <c r="AX202" i="9"/>
  <c r="AW202" i="9"/>
  <c r="AV202" i="9"/>
  <c r="AU202" i="9"/>
  <c r="AT202" i="9"/>
  <c r="AS202" i="9"/>
  <c r="AR202" i="9"/>
  <c r="AQ202" i="9"/>
  <c r="AP202" i="9"/>
  <c r="AO202" i="9"/>
  <c r="AN202" i="9"/>
  <c r="AM202" i="9"/>
  <c r="AL202" i="9"/>
  <c r="AK202" i="9"/>
  <c r="AJ202" i="9"/>
  <c r="AI202" i="9"/>
  <c r="AH202" i="9"/>
  <c r="AG202" i="9"/>
  <c r="AF202" i="9"/>
  <c r="AE202" i="9"/>
  <c r="AD202" i="9"/>
  <c r="AC202" i="9"/>
  <c r="AB202" i="9"/>
  <c r="AA202" i="9"/>
  <c r="Z202" i="9"/>
  <c r="Y202" i="9"/>
  <c r="X202" i="9"/>
  <c r="W202" i="9"/>
  <c r="V202" i="9"/>
  <c r="U202" i="9"/>
  <c r="T202" i="9"/>
  <c r="S202" i="9"/>
  <c r="R202" i="9"/>
  <c r="Q202" i="9"/>
  <c r="P202" i="9"/>
  <c r="BY190" i="9"/>
  <c r="BX190" i="9"/>
  <c r="BW190" i="9"/>
  <c r="BV190" i="9"/>
  <c r="BU190" i="9"/>
  <c r="BT190" i="9"/>
  <c r="BS190" i="9"/>
  <c r="BR190" i="9"/>
  <c r="BQ190" i="9"/>
  <c r="BP190" i="9"/>
  <c r="BO190" i="9"/>
  <c r="BN190" i="9"/>
  <c r="BM190" i="9"/>
  <c r="BL190" i="9"/>
  <c r="BK190" i="9"/>
  <c r="BJ190" i="9"/>
  <c r="BI190" i="9"/>
  <c r="BH190" i="9"/>
  <c r="BG190" i="9"/>
  <c r="BF190" i="9"/>
  <c r="BE190" i="9"/>
  <c r="BD190" i="9"/>
  <c r="BC190" i="9"/>
  <c r="BB190" i="9"/>
  <c r="BA190" i="9"/>
  <c r="AZ190" i="9"/>
  <c r="AY190" i="9"/>
  <c r="AX190" i="9"/>
  <c r="AW190" i="9"/>
  <c r="AV190" i="9"/>
  <c r="AU190" i="9"/>
  <c r="AT190" i="9"/>
  <c r="AS190" i="9"/>
  <c r="AR190" i="9"/>
  <c r="AQ190" i="9"/>
  <c r="AP190" i="9"/>
  <c r="AO190" i="9"/>
  <c r="AN190" i="9"/>
  <c r="AM190" i="9"/>
  <c r="AL190" i="9"/>
  <c r="AK190" i="9"/>
  <c r="AJ190" i="9"/>
  <c r="AI190" i="9"/>
  <c r="AH190" i="9"/>
  <c r="AG190" i="9"/>
  <c r="AF190" i="9"/>
  <c r="AE190" i="9"/>
  <c r="AD190" i="9"/>
  <c r="AC190" i="9"/>
  <c r="AB190" i="9"/>
  <c r="AA190" i="9"/>
  <c r="Z190" i="9"/>
  <c r="Y190" i="9"/>
  <c r="X190" i="9"/>
  <c r="W190" i="9"/>
  <c r="V190" i="9"/>
  <c r="U190" i="9"/>
  <c r="T190" i="9"/>
  <c r="S190" i="9"/>
  <c r="R190" i="9"/>
  <c r="Q190" i="9"/>
  <c r="P190" i="9"/>
  <c r="O190" i="9"/>
  <c r="BY70" i="9"/>
  <c r="BX70" i="9"/>
  <c r="BW70" i="9"/>
  <c r="BV70" i="9"/>
  <c r="BU70" i="9"/>
  <c r="BT70" i="9"/>
  <c r="BS70" i="9"/>
  <c r="BR70" i="9"/>
  <c r="BQ70" i="9"/>
  <c r="BP70" i="9"/>
  <c r="BO70" i="9"/>
  <c r="BN70" i="9"/>
  <c r="BM70" i="9"/>
  <c r="BL70" i="9"/>
  <c r="BK70" i="9"/>
  <c r="BJ70" i="9"/>
  <c r="BI70" i="9"/>
  <c r="BH70" i="9"/>
  <c r="BG70" i="9"/>
  <c r="BF70" i="9"/>
  <c r="BE70" i="9"/>
  <c r="BD70" i="9"/>
  <c r="BC70" i="9"/>
  <c r="BB70" i="9"/>
  <c r="BA70" i="9"/>
  <c r="AZ70" i="9"/>
  <c r="AY70" i="9"/>
  <c r="AX70" i="9"/>
  <c r="AW70" i="9"/>
  <c r="AV70" i="9"/>
  <c r="AU70" i="9"/>
  <c r="AT70" i="9"/>
  <c r="AS70" i="9"/>
  <c r="AR70" i="9"/>
  <c r="AQ70" i="9"/>
  <c r="AP70" i="9"/>
  <c r="AO70" i="9"/>
  <c r="AN70" i="9"/>
  <c r="AM70" i="9"/>
  <c r="AL70" i="9"/>
  <c r="AK70" i="9"/>
  <c r="AJ70" i="9"/>
  <c r="AI70" i="9"/>
  <c r="AH70" i="9"/>
  <c r="AG70" i="9"/>
  <c r="AF70" i="9"/>
  <c r="AE70" i="9"/>
  <c r="AD70" i="9"/>
  <c r="AC70" i="9"/>
  <c r="AB70" i="9"/>
  <c r="AA70" i="9"/>
  <c r="Z70" i="9"/>
  <c r="Y70" i="9"/>
  <c r="X70" i="9"/>
  <c r="W70" i="9"/>
  <c r="V70" i="9"/>
  <c r="U70" i="9"/>
  <c r="T70" i="9"/>
  <c r="S70" i="9"/>
  <c r="R70" i="9"/>
  <c r="Q70" i="9"/>
  <c r="P70" i="9"/>
  <c r="O70" i="9"/>
  <c r="BY22" i="9"/>
  <c r="BX22" i="9"/>
  <c r="BW22" i="9"/>
  <c r="BV22" i="9"/>
  <c r="BU22" i="9"/>
  <c r="BT22" i="9"/>
  <c r="BS22" i="9"/>
  <c r="BR22" i="9"/>
  <c r="BQ22" i="9"/>
  <c r="BP22" i="9"/>
  <c r="BO22" i="9"/>
  <c r="BN22" i="9"/>
  <c r="BM22" i="9"/>
  <c r="BL22" i="9"/>
  <c r="BK22" i="9"/>
  <c r="BJ22" i="9"/>
  <c r="BI22" i="9"/>
  <c r="BH22" i="9"/>
  <c r="BG22" i="9"/>
  <c r="BF22" i="9"/>
  <c r="BE22" i="9"/>
  <c r="BD22" i="9"/>
  <c r="BC22" i="9"/>
  <c r="BB22" i="9"/>
  <c r="BA22" i="9"/>
  <c r="AZ22" i="9"/>
  <c r="AY22"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V22" i="9"/>
  <c r="U22" i="9"/>
  <c r="T22" i="9"/>
  <c r="S22" i="9"/>
  <c r="R22" i="9"/>
  <c r="Q22" i="9"/>
  <c r="P22" i="9"/>
  <c r="O22" i="9"/>
  <c r="N20" i="9"/>
  <c r="M20" i="9"/>
  <c r="L20" i="9"/>
  <c r="K20" i="9"/>
  <c r="J20" i="9"/>
  <c r="I20" i="9"/>
  <c r="H20" i="9"/>
  <c r="G20" i="9"/>
  <c r="F20" i="9"/>
  <c r="E20" i="9"/>
  <c r="D20" i="9"/>
  <c r="C20" i="9"/>
  <c r="C16" i="9"/>
  <c r="Q205" i="9" l="1"/>
  <c r="AG205" i="9"/>
  <c r="BF205" i="9"/>
  <c r="BV205" i="9"/>
  <c r="AP205" i="9"/>
  <c r="F423" i="9"/>
  <c r="F442" i="9" s="1"/>
  <c r="J423" i="9"/>
  <c r="J442" i="9" s="1"/>
  <c r="N423" i="9"/>
  <c r="N442" i="9" s="1"/>
  <c r="D423" i="9"/>
  <c r="D442" i="9" s="1"/>
  <c r="H423" i="9"/>
  <c r="H442" i="9" s="1"/>
  <c r="L423" i="9"/>
  <c r="L442" i="9" s="1"/>
  <c r="AO20" i="9"/>
  <c r="BE20" i="9"/>
  <c r="BU20" i="9"/>
  <c r="W20" i="9"/>
  <c r="AI20" i="9"/>
  <c r="AU20" i="9"/>
  <c r="BO20" i="9"/>
  <c r="R205" i="9"/>
  <c r="V205" i="9"/>
  <c r="Z205" i="9"/>
  <c r="AD205" i="9"/>
  <c r="AH205" i="9"/>
  <c r="AL205" i="9"/>
  <c r="AT205" i="9"/>
  <c r="AX205" i="9"/>
  <c r="BB205" i="9"/>
  <c r="BJ205" i="9"/>
  <c r="BN205" i="9"/>
  <c r="BR205" i="9"/>
  <c r="W205" i="9"/>
  <c r="AE205" i="9"/>
  <c r="Q20" i="9"/>
  <c r="Q423" i="9" s="1"/>
  <c r="Q442" i="9" s="1"/>
  <c r="BY15" i="1"/>
  <c r="E423" i="9"/>
  <c r="E442" i="9" s="1"/>
  <c r="I423" i="9"/>
  <c r="I442" i="9" s="1"/>
  <c r="M423" i="9"/>
  <c r="M442" i="9" s="1"/>
  <c r="Y20" i="9"/>
  <c r="AG20" i="9"/>
  <c r="AG423" i="9" s="1"/>
  <c r="AG442" i="9" s="1"/>
  <c r="AW20" i="9"/>
  <c r="BM20" i="9"/>
  <c r="C423" i="9"/>
  <c r="C442" i="9" s="1"/>
  <c r="C444" i="9" s="1"/>
  <c r="G423" i="9"/>
  <c r="G442" i="9" s="1"/>
  <c r="K423" i="9"/>
  <c r="K442" i="9" s="1"/>
  <c r="O20" i="9"/>
  <c r="S20" i="9"/>
  <c r="AA20" i="9"/>
  <c r="AE20" i="9"/>
  <c r="AE423" i="9" s="1"/>
  <c r="AE442" i="9" s="1"/>
  <c r="AM20" i="9"/>
  <c r="AQ20" i="9"/>
  <c r="AY20" i="9"/>
  <c r="BC20" i="9"/>
  <c r="BG20" i="9"/>
  <c r="BK20" i="9"/>
  <c r="BS20" i="9"/>
  <c r="BW20" i="9"/>
  <c r="O431" i="9"/>
  <c r="U205" i="9"/>
  <c r="AC205" i="9"/>
  <c r="P20" i="9"/>
  <c r="T20" i="9"/>
  <c r="X20" i="9"/>
  <c r="AB20" i="9"/>
  <c r="AF20" i="9"/>
  <c r="AJ20" i="9"/>
  <c r="AN20" i="9"/>
  <c r="AR20" i="9"/>
  <c r="AV20" i="9"/>
  <c r="AZ20" i="9"/>
  <c r="BD20" i="9"/>
  <c r="BH20" i="9"/>
  <c r="BL20" i="9"/>
  <c r="BP20" i="9"/>
  <c r="BT20" i="9"/>
  <c r="BX20" i="9"/>
  <c r="U20" i="9"/>
  <c r="AC20" i="9"/>
  <c r="AK20" i="9"/>
  <c r="AS20" i="9"/>
  <c r="BA20" i="9"/>
  <c r="BI20" i="9"/>
  <c r="BQ20" i="9"/>
  <c r="BY20" i="9"/>
  <c r="O205" i="9"/>
  <c r="Y205" i="9"/>
  <c r="AK205" i="9"/>
  <c r="AO205" i="9"/>
  <c r="AS205" i="9"/>
  <c r="AW205" i="9"/>
  <c r="BA205" i="9"/>
  <c r="BE205" i="9"/>
  <c r="BI205" i="9"/>
  <c r="BM205" i="9"/>
  <c r="BM423" i="9" s="1"/>
  <c r="BM442" i="9" s="1"/>
  <c r="BQ205" i="9"/>
  <c r="BU205" i="9"/>
  <c r="BY205" i="9"/>
  <c r="AI205" i="9"/>
  <c r="AU205" i="9"/>
  <c r="BC205" i="9"/>
  <c r="BK205" i="9"/>
  <c r="BS205" i="9"/>
  <c r="BW205" i="9"/>
  <c r="S205" i="9"/>
  <c r="AA205" i="9"/>
  <c r="AM205" i="9"/>
  <c r="AM423" i="9" s="1"/>
  <c r="AM442" i="9" s="1"/>
  <c r="AQ205" i="9"/>
  <c r="AY205" i="9"/>
  <c r="AY423" i="9" s="1"/>
  <c r="AY442" i="9" s="1"/>
  <c r="BG205" i="9"/>
  <c r="BO205" i="9"/>
  <c r="R20" i="9"/>
  <c r="V20" i="9"/>
  <c r="Z20" i="9"/>
  <c r="AD20" i="9"/>
  <c r="AH20" i="9"/>
  <c r="AL20" i="9"/>
  <c r="AP20" i="9"/>
  <c r="AT20" i="9"/>
  <c r="AX20" i="9"/>
  <c r="BB20" i="9"/>
  <c r="BF20" i="9"/>
  <c r="BJ20" i="9"/>
  <c r="BN20" i="9"/>
  <c r="BR20" i="9"/>
  <c r="BV20" i="9"/>
  <c r="P205" i="9"/>
  <c r="T205" i="9"/>
  <c r="X205" i="9"/>
  <c r="AB205" i="9"/>
  <c r="AF205" i="9"/>
  <c r="AJ205" i="9"/>
  <c r="AN205" i="9"/>
  <c r="AR205" i="9"/>
  <c r="AV205" i="9"/>
  <c r="AZ205" i="9"/>
  <c r="BD205" i="9"/>
  <c r="BH205" i="9"/>
  <c r="BL205" i="9"/>
  <c r="BP205" i="9"/>
  <c r="BT205" i="9"/>
  <c r="BX205" i="9"/>
  <c r="D446" i="9"/>
  <c r="E14" i="9" s="1"/>
  <c r="E446" i="9" s="1"/>
  <c r="F14" i="9" s="1"/>
  <c r="F446" i="9" s="1"/>
  <c r="G14" i="9" s="1"/>
  <c r="G446" i="9" s="1"/>
  <c r="H14" i="9" s="1"/>
  <c r="H446" i="9" s="1"/>
  <c r="I14" i="9" s="1"/>
  <c r="I446" i="9" s="1"/>
  <c r="J14" i="9" s="1"/>
  <c r="J446" i="9" s="1"/>
  <c r="K14" i="9" s="1"/>
  <c r="K446" i="9" s="1"/>
  <c r="L14" i="9" s="1"/>
  <c r="L446" i="9" s="1"/>
  <c r="M14" i="9" s="1"/>
  <c r="M446" i="9" s="1"/>
  <c r="N14" i="9" s="1"/>
  <c r="N446" i="9" s="1"/>
  <c r="O14" i="9" s="1"/>
  <c r="O446" i="9" s="1"/>
  <c r="P14" i="9" s="1"/>
  <c r="P446" i="9" s="1"/>
  <c r="Q14" i="9" s="1"/>
  <c r="Q446" i="9" s="1"/>
  <c r="R14" i="9" s="1"/>
  <c r="R446" i="9" s="1"/>
  <c r="S14" i="9" s="1"/>
  <c r="S446" i="9" s="1"/>
  <c r="T14" i="9" s="1"/>
  <c r="T446" i="9" s="1"/>
  <c r="U14" i="9" s="1"/>
  <c r="U446" i="9" s="1"/>
  <c r="V14" i="9" s="1"/>
  <c r="V446" i="9" s="1"/>
  <c r="W14" i="9" s="1"/>
  <c r="W446" i="9" s="1"/>
  <c r="X14" i="9" s="1"/>
  <c r="X446" i="9" s="1"/>
  <c r="Y14" i="9" s="1"/>
  <c r="Y446" i="9" s="1"/>
  <c r="Z14" i="9" s="1"/>
  <c r="Z446" i="9" s="1"/>
  <c r="AA14" i="9" s="1"/>
  <c r="AA446" i="9" s="1"/>
  <c r="AB14" i="9" s="1"/>
  <c r="AB446" i="9" s="1"/>
  <c r="AC14" i="9" s="1"/>
  <c r="AC446" i="9" s="1"/>
  <c r="AD14" i="9" s="1"/>
  <c r="AD446" i="9" s="1"/>
  <c r="AE14" i="9" s="1"/>
  <c r="AE446" i="9" s="1"/>
  <c r="AF14" i="9" s="1"/>
  <c r="AF446" i="9" s="1"/>
  <c r="AG14" i="9" s="1"/>
  <c r="AG446" i="9" s="1"/>
  <c r="AH14" i="9" s="1"/>
  <c r="AH446" i="9" s="1"/>
  <c r="AI14" i="9" s="1"/>
  <c r="AI446" i="9" s="1"/>
  <c r="AJ14" i="9" s="1"/>
  <c r="AJ446" i="9" s="1"/>
  <c r="AK14" i="9" s="1"/>
  <c r="AK446" i="9" s="1"/>
  <c r="AL14" i="9" s="1"/>
  <c r="AL446" i="9" s="1"/>
  <c r="AM14" i="9" s="1"/>
  <c r="AM446" i="9" s="1"/>
  <c r="AN14" i="9" s="1"/>
  <c r="AN446" i="9" s="1"/>
  <c r="AO14" i="9" s="1"/>
  <c r="AO446" i="9" s="1"/>
  <c r="AP14" i="9" s="1"/>
  <c r="AP446" i="9" s="1"/>
  <c r="AQ14" i="9" s="1"/>
  <c r="AQ446" i="9" s="1"/>
  <c r="AR14" i="9" s="1"/>
  <c r="AR446" i="9" s="1"/>
  <c r="AS14" i="9" s="1"/>
  <c r="AS446" i="9" s="1"/>
  <c r="AT14" i="9" s="1"/>
  <c r="AT446" i="9" s="1"/>
  <c r="AU14" i="9" s="1"/>
  <c r="AU446" i="9" s="1"/>
  <c r="AV14" i="9" s="1"/>
  <c r="AV446" i="9" s="1"/>
  <c r="AW14" i="9" s="1"/>
  <c r="AW446" i="9" s="1"/>
  <c r="AX14" i="9" s="1"/>
  <c r="AX446" i="9" s="1"/>
  <c r="AY14" i="9" s="1"/>
  <c r="AY446" i="9" s="1"/>
  <c r="AZ14" i="9" s="1"/>
  <c r="AZ446" i="9" s="1"/>
  <c r="BA14" i="9" s="1"/>
  <c r="BA446" i="9" s="1"/>
  <c r="BB14" i="9" s="1"/>
  <c r="BB446" i="9" s="1"/>
  <c r="BC14" i="9" s="1"/>
  <c r="BC446" i="9" s="1"/>
  <c r="BD14" i="9" s="1"/>
  <c r="BD446" i="9" s="1"/>
  <c r="BE14" i="9" s="1"/>
  <c r="BE446" i="9" s="1"/>
  <c r="BF14" i="9" s="1"/>
  <c r="BF446" i="9" s="1"/>
  <c r="BG14" i="9" s="1"/>
  <c r="BG446" i="9" s="1"/>
  <c r="BH14" i="9" s="1"/>
  <c r="BH446" i="9" s="1"/>
  <c r="BI14" i="9" s="1"/>
  <c r="BI446" i="9" s="1"/>
  <c r="BJ14" i="9" s="1"/>
  <c r="BJ446" i="9" s="1"/>
  <c r="BK14" i="9" s="1"/>
  <c r="BK446" i="9" s="1"/>
  <c r="BL14" i="9" s="1"/>
  <c r="BL446" i="9" s="1"/>
  <c r="BM14" i="9" s="1"/>
  <c r="BM446" i="9" s="1"/>
  <c r="BN14" i="9" s="1"/>
  <c r="BN446" i="9" s="1"/>
  <c r="BO14" i="9" s="1"/>
  <c r="BO446" i="9" s="1"/>
  <c r="BP14" i="9" s="1"/>
  <c r="BP446" i="9" s="1"/>
  <c r="BQ14" i="9" s="1"/>
  <c r="BQ446" i="9" s="1"/>
  <c r="BR14" i="9" s="1"/>
  <c r="BR446" i="9" s="1"/>
  <c r="BS14" i="9" s="1"/>
  <c r="BS446" i="9" s="1"/>
  <c r="BT14" i="9" s="1"/>
  <c r="BT446" i="9" s="1"/>
  <c r="BU14" i="9" s="1"/>
  <c r="BU446" i="9" s="1"/>
  <c r="BV14" i="9" s="1"/>
  <c r="BV446" i="9" s="1"/>
  <c r="BW14" i="9" s="1"/>
  <c r="BW446" i="9" s="1"/>
  <c r="BX71" i="4"/>
  <c r="BX70" i="4"/>
  <c r="BX69" i="4"/>
  <c r="BX51" i="4"/>
  <c r="BX66" i="4" s="1"/>
  <c r="BX43" i="4"/>
  <c r="BX40" i="4"/>
  <c r="BX59" i="4" s="1"/>
  <c r="BX37" i="4"/>
  <c r="BX58" i="4" s="1"/>
  <c r="BX32" i="4"/>
  <c r="BX27" i="4"/>
  <c r="BX21" i="4"/>
  <c r="BX55" i="4" s="1"/>
  <c r="BX16" i="4"/>
  <c r="BX31" i="5"/>
  <c r="BX23" i="5"/>
  <c r="BX20" i="5"/>
  <c r="BX18" i="5"/>
  <c r="BX16" i="5"/>
  <c r="AU423" i="9" l="1"/>
  <c r="AU442" i="9" s="1"/>
  <c r="AP423" i="9"/>
  <c r="AP442" i="9" s="1"/>
  <c r="AA423" i="9"/>
  <c r="AA442" i="9" s="1"/>
  <c r="BN423" i="9"/>
  <c r="BN442" i="9" s="1"/>
  <c r="BQ423" i="9"/>
  <c r="BQ442" i="9" s="1"/>
  <c r="AK423" i="9"/>
  <c r="AK442" i="9" s="1"/>
  <c r="BV423" i="9"/>
  <c r="BV442" i="9" s="1"/>
  <c r="BF423" i="9"/>
  <c r="BF442" i="9" s="1"/>
  <c r="AT423" i="9"/>
  <c r="AT442" i="9" s="1"/>
  <c r="BG423" i="9"/>
  <c r="BG442" i="9" s="1"/>
  <c r="BU423" i="9"/>
  <c r="BU442" i="9" s="1"/>
  <c r="BE423" i="9"/>
  <c r="BE442" i="9" s="1"/>
  <c r="W423" i="9"/>
  <c r="W442" i="9" s="1"/>
  <c r="BO423" i="9"/>
  <c r="BO442" i="9" s="1"/>
  <c r="BJ423" i="9"/>
  <c r="BJ442" i="9" s="1"/>
  <c r="AO423" i="9"/>
  <c r="AO442" i="9" s="1"/>
  <c r="BC423" i="9"/>
  <c r="BC442" i="9" s="1"/>
  <c r="BL423" i="9"/>
  <c r="BL442" i="9" s="1"/>
  <c r="AV423" i="9"/>
  <c r="AV442" i="9" s="1"/>
  <c r="AF423" i="9"/>
  <c r="AF442" i="9" s="1"/>
  <c r="P423" i="9"/>
  <c r="P442" i="9" s="1"/>
  <c r="BB423" i="9"/>
  <c r="BB442" i="9" s="1"/>
  <c r="AL423" i="9"/>
  <c r="AL442" i="9" s="1"/>
  <c r="V423" i="9"/>
  <c r="V442" i="9" s="1"/>
  <c r="Y423" i="9"/>
  <c r="Y442" i="9" s="1"/>
  <c r="BH423" i="9"/>
  <c r="BH442" i="9" s="1"/>
  <c r="AR423" i="9"/>
  <c r="AR442" i="9" s="1"/>
  <c r="AB423" i="9"/>
  <c r="AB442" i="9" s="1"/>
  <c r="AH423" i="9"/>
  <c r="AH442" i="9" s="1"/>
  <c r="R423" i="9"/>
  <c r="R442" i="9" s="1"/>
  <c r="BS423" i="9"/>
  <c r="BS442" i="9" s="1"/>
  <c r="AI423" i="9"/>
  <c r="AI442" i="9" s="1"/>
  <c r="AW423" i="9"/>
  <c r="AW442" i="9" s="1"/>
  <c r="AD423" i="9"/>
  <c r="AD442" i="9" s="1"/>
  <c r="Z423" i="9"/>
  <c r="Z442" i="9" s="1"/>
  <c r="O423" i="9"/>
  <c r="O442" i="9" s="1"/>
  <c r="C448" i="9"/>
  <c r="BR423" i="9"/>
  <c r="BR442" i="9" s="1"/>
  <c r="AQ423" i="9"/>
  <c r="AQ442" i="9" s="1"/>
  <c r="BX14" i="9"/>
  <c r="BX446" i="9" s="1"/>
  <c r="AX423" i="9"/>
  <c r="AX442" i="9" s="1"/>
  <c r="U423" i="9"/>
  <c r="U442" i="9" s="1"/>
  <c r="BW423" i="9"/>
  <c r="BW442" i="9" s="1"/>
  <c r="BX67" i="4"/>
  <c r="BX14" i="4"/>
  <c r="BX60" i="4"/>
  <c r="BX57" i="4"/>
  <c r="BX56" i="4"/>
  <c r="BX54" i="4"/>
  <c r="BX14" i="5"/>
  <c r="BY12" i="1"/>
  <c r="BX423" i="9"/>
  <c r="BX442" i="9" s="1"/>
  <c r="BI423" i="9"/>
  <c r="BI442" i="9" s="1"/>
  <c r="AS423" i="9"/>
  <c r="AS442" i="9" s="1"/>
  <c r="BT423" i="9"/>
  <c r="BT442" i="9" s="1"/>
  <c r="BD423" i="9"/>
  <c r="BD442" i="9" s="1"/>
  <c r="AN423" i="9"/>
  <c r="AN442" i="9" s="1"/>
  <c r="X423" i="9"/>
  <c r="X442" i="9" s="1"/>
  <c r="S423" i="9"/>
  <c r="S442" i="9" s="1"/>
  <c r="BK423" i="9"/>
  <c r="BK442" i="9" s="1"/>
  <c r="AJ423" i="9"/>
  <c r="AJ442" i="9" s="1"/>
  <c r="T423" i="9"/>
  <c r="T442" i="9" s="1"/>
  <c r="BA423" i="9"/>
  <c r="BA442" i="9" s="1"/>
  <c r="BP423" i="9"/>
  <c r="BP442" i="9" s="1"/>
  <c r="AZ423" i="9"/>
  <c r="AZ442" i="9" s="1"/>
  <c r="AC423" i="9"/>
  <c r="AC442" i="9" s="1"/>
  <c r="BY423" i="9"/>
  <c r="BY442" i="9" s="1"/>
  <c r="BX25" i="4"/>
  <c r="BX160" i="1"/>
  <c r="BX155" i="1"/>
  <c r="BX150" i="1"/>
  <c r="BX139" i="1"/>
  <c r="BX131" i="1"/>
  <c r="BX116" i="1"/>
  <c r="BX110" i="1"/>
  <c r="BX99" i="1"/>
  <c r="BX89" i="1"/>
  <c r="BX83" i="1" s="1"/>
  <c r="BX84" i="1"/>
  <c r="BX78" i="1"/>
  <c r="BX74" i="1"/>
  <c r="BX71" i="1"/>
  <c r="BX66" i="1"/>
  <c r="BX63" i="1"/>
  <c r="BX56" i="1"/>
  <c r="BX53" i="1"/>
  <c r="BX45" i="1"/>
  <c r="BX40" i="1"/>
  <c r="BX32" i="1" s="1"/>
  <c r="BX21" i="1" s="1"/>
  <c r="BX37" i="1"/>
  <c r="BX22" i="1"/>
  <c r="BX60" i="1" l="1"/>
  <c r="BX70" i="1"/>
  <c r="BX138" i="1"/>
  <c r="BX125" i="1" s="1"/>
  <c r="BY14" i="9"/>
  <c r="BY446" i="9" s="1"/>
  <c r="BZ14" i="9" s="1"/>
  <c r="BZ446" i="9" s="1"/>
  <c r="D12" i="9"/>
  <c r="D16" i="9" s="1"/>
  <c r="D444" i="9" s="1"/>
  <c r="BX52" i="4"/>
  <c r="BX12" i="4"/>
  <c r="BY10" i="1"/>
  <c r="BX95" i="1"/>
  <c r="BX44" i="1"/>
  <c r="BX19" i="1" s="1"/>
  <c r="BX57" i="8"/>
  <c r="BX54" i="8"/>
  <c r="BX51" i="8"/>
  <c r="BX48" i="8"/>
  <c r="BX45" i="8"/>
  <c r="BX42" i="8"/>
  <c r="BX41" i="8"/>
  <c r="BX39" i="8" s="1"/>
  <c r="BX25" i="8" s="1"/>
  <c r="BX40" i="8"/>
  <c r="BX36" i="8"/>
  <c r="BX33" i="8"/>
  <c r="BX30" i="8"/>
  <c r="BX27" i="8"/>
  <c r="BX20" i="8"/>
  <c r="BX16" i="8"/>
  <c r="BX14" i="8"/>
  <c r="D448" i="9" l="1"/>
  <c r="CA14" i="9"/>
  <c r="CA446" i="9" s="1"/>
  <c r="BX17" i="1"/>
  <c r="BX15" i="1" s="1"/>
  <c r="BX28" i="8"/>
  <c r="BV67" i="4"/>
  <c r="CB14" i="9" l="1"/>
  <c r="CB446" i="9" s="1"/>
  <c r="E12" i="9"/>
  <c r="E16" i="9" s="1"/>
  <c r="E444" i="9" s="1"/>
  <c r="BX12" i="1"/>
  <c r="BW71" i="4"/>
  <c r="BW70" i="4"/>
  <c r="BW69" i="4"/>
  <c r="BW51" i="4"/>
  <c r="BW66" i="4" s="1"/>
  <c r="BW43" i="4"/>
  <c r="BW40" i="4"/>
  <c r="BW59" i="4" s="1"/>
  <c r="BW37" i="4"/>
  <c r="BW58" i="4" s="1"/>
  <c r="BW32" i="4"/>
  <c r="BW27" i="4"/>
  <c r="BW21" i="4"/>
  <c r="BW55" i="4" s="1"/>
  <c r="BW16" i="4"/>
  <c r="BW31" i="5"/>
  <c r="BW23" i="5"/>
  <c r="BW20" i="5"/>
  <c r="BW18" i="5"/>
  <c r="BW16" i="5"/>
  <c r="BW160" i="1"/>
  <c r="BW155" i="1"/>
  <c r="BW150" i="1"/>
  <c r="BW139" i="1"/>
  <c r="BW131" i="1"/>
  <c r="BW116" i="1"/>
  <c r="BW110" i="1"/>
  <c r="BW99" i="1"/>
  <c r="BW89" i="1"/>
  <c r="BW84" i="1"/>
  <c r="BW83" i="1"/>
  <c r="BW78" i="1"/>
  <c r="BW74" i="1"/>
  <c r="BW71" i="1"/>
  <c r="BW70" i="1"/>
  <c r="BW66" i="1"/>
  <c r="BW60" i="1" s="1"/>
  <c r="BW63" i="1"/>
  <c r="BW56" i="1"/>
  <c r="BW53" i="1"/>
  <c r="BW40" i="1"/>
  <c r="BW32" i="1" s="1"/>
  <c r="BW21" i="1" s="1"/>
  <c r="BW37" i="1"/>
  <c r="BW22" i="1"/>
  <c r="BW138" i="1" l="1"/>
  <c r="BW125" i="1" s="1"/>
  <c r="BW45" i="1"/>
  <c r="BW44" i="1" s="1"/>
  <c r="CC14" i="9"/>
  <c r="CC446" i="9" s="1"/>
  <c r="E448" i="9"/>
  <c r="BW67" i="4"/>
  <c r="BW60" i="4"/>
  <c r="BW57" i="4"/>
  <c r="BW14" i="5"/>
  <c r="BX10" i="1"/>
  <c r="BW95" i="1"/>
  <c r="BW25" i="4"/>
  <c r="BW14" i="4"/>
  <c r="BW56" i="4"/>
  <c r="BW54" i="4"/>
  <c r="BW19" i="1"/>
  <c r="BW17" i="1" s="1"/>
  <c r="F12" i="9" l="1"/>
  <c r="F16" i="9" s="1"/>
  <c r="F444" i="9" s="1"/>
  <c r="CD14" i="9"/>
  <c r="CD446" i="9" s="1"/>
  <c r="CE14" i="9" s="1"/>
  <c r="CE446" i="9" s="1"/>
  <c r="CF14" i="9" s="1"/>
  <c r="BW12" i="4"/>
  <c r="BW15" i="1"/>
  <c r="BW52" i="4"/>
  <c r="BW57" i="8"/>
  <c r="BW54" i="8"/>
  <c r="BW51" i="8"/>
  <c r="BW48" i="8"/>
  <c r="BW45" i="8"/>
  <c r="BW42" i="8"/>
  <c r="BW41" i="8"/>
  <c r="BW28" i="8" s="1"/>
  <c r="BW40" i="8"/>
  <c r="BW39" i="8" s="1"/>
  <c r="BW36" i="8"/>
  <c r="BW33" i="8"/>
  <c r="BW30" i="8"/>
  <c r="BW20" i="8"/>
  <c r="BW14" i="8" s="1"/>
  <c r="BW16" i="8"/>
  <c r="CF446" i="9" l="1"/>
  <c r="CG14" i="9" s="1"/>
  <c r="CG446" i="9" s="1"/>
  <c r="CH14" i="9" s="1"/>
  <c r="CH446" i="9" s="1"/>
  <c r="CI14" i="9" s="1"/>
  <c r="F448" i="9"/>
  <c r="BW12" i="1"/>
  <c r="BW25" i="8"/>
  <c r="BW27" i="8"/>
  <c r="BV51" i="4"/>
  <c r="BV43" i="4"/>
  <c r="BV60" i="4" s="1"/>
  <c r="BV40" i="4"/>
  <c r="BV59" i="4" s="1"/>
  <c r="BV37" i="4"/>
  <c r="BV58" i="4" s="1"/>
  <c r="BV32" i="4"/>
  <c r="BV57" i="4" s="1"/>
  <c r="BV27" i="4"/>
  <c r="BV21" i="4"/>
  <c r="BV55" i="4" s="1"/>
  <c r="BV16" i="4"/>
  <c r="BV31" i="5"/>
  <c r="BV23" i="5"/>
  <c r="BV20" i="5"/>
  <c r="BV18" i="5"/>
  <c r="BV16" i="5"/>
  <c r="BV160" i="1"/>
  <c r="BV155" i="1"/>
  <c r="BV150" i="1"/>
  <c r="BV139" i="1"/>
  <c r="BV138" i="1" s="1"/>
  <c r="BV131" i="1"/>
  <c r="BV116" i="1"/>
  <c r="BV110" i="1"/>
  <c r="BV99" i="1"/>
  <c r="BV89" i="1"/>
  <c r="BV84" i="1"/>
  <c r="BV78" i="1"/>
  <c r="BV74" i="1"/>
  <c r="BV71" i="1"/>
  <c r="BV66" i="1"/>
  <c r="BV60" i="1" s="1"/>
  <c r="BV63" i="1"/>
  <c r="BV56" i="1"/>
  <c r="BV53" i="1"/>
  <c r="BV45" i="1" s="1"/>
  <c r="BV40" i="1"/>
  <c r="BV37" i="1"/>
  <c r="BV32" i="1"/>
  <c r="BV21" i="1" s="1"/>
  <c r="BV22" i="1"/>
  <c r="CI446" i="9" l="1"/>
  <c r="BV125" i="1"/>
  <c r="BV70" i="1"/>
  <c r="G12" i="9"/>
  <c r="G16" i="9" s="1"/>
  <c r="G444" i="9" s="1"/>
  <c r="BW10" i="1"/>
  <c r="BV56" i="4"/>
  <c r="BV14" i="5"/>
  <c r="BV95" i="1"/>
  <c r="BV83" i="1"/>
  <c r="BV14" i="4"/>
  <c r="BV54" i="4"/>
  <c r="BV25" i="4"/>
  <c r="BV44" i="1"/>
  <c r="BV19" i="1" s="1"/>
  <c r="BV52" i="4" l="1"/>
  <c r="G448" i="9"/>
  <c r="BV17" i="1"/>
  <c r="BV12" i="4"/>
  <c r="BV57" i="8"/>
  <c r="BV54" i="8"/>
  <c r="BV51" i="8"/>
  <c r="BV48" i="8"/>
  <c r="BV45" i="8"/>
  <c r="BV42" i="8"/>
  <c r="BV41" i="8"/>
  <c r="BV28" i="8" s="1"/>
  <c r="BV40" i="8"/>
  <c r="BV39" i="8" s="1"/>
  <c r="BV36" i="8"/>
  <c r="BV33" i="8"/>
  <c r="BV30" i="8"/>
  <c r="BV25" i="8" s="1"/>
  <c r="BV20" i="8"/>
  <c r="BV14" i="8" s="1"/>
  <c r="BV16" i="8"/>
  <c r="H12" i="9" l="1"/>
  <c r="H16" i="9" s="1"/>
  <c r="H444" i="9" s="1"/>
  <c r="BV15" i="1"/>
  <c r="BV27" i="8"/>
  <c r="H448" i="9" l="1"/>
  <c r="BV12" i="1"/>
  <c r="BU71" i="4"/>
  <c r="BU70" i="4"/>
  <c r="BU69" i="4"/>
  <c r="BU51" i="4"/>
  <c r="BU66" i="4" s="1"/>
  <c r="BU43" i="4"/>
  <c r="BU60" i="4" s="1"/>
  <c r="BU40" i="4"/>
  <c r="BU59" i="4" s="1"/>
  <c r="BU37" i="4"/>
  <c r="BU58" i="4" s="1"/>
  <c r="BU32" i="4"/>
  <c r="BU27" i="4"/>
  <c r="BU21" i="4"/>
  <c r="BU55" i="4" s="1"/>
  <c r="BU16" i="4"/>
  <c r="BU31" i="5"/>
  <c r="BU23" i="5"/>
  <c r="BU20" i="5"/>
  <c r="BU18" i="5"/>
  <c r="BU16" i="5"/>
  <c r="BU160" i="1"/>
  <c r="BU155" i="1"/>
  <c r="BU150" i="1"/>
  <c r="BU139" i="1"/>
  <c r="BU138" i="1" s="1"/>
  <c r="BU125" i="1" s="1"/>
  <c r="BU131" i="1"/>
  <c r="BU116" i="1"/>
  <c r="BU110" i="1"/>
  <c r="BU99" i="1"/>
  <c r="BU89" i="1"/>
  <c r="BU84" i="1"/>
  <c r="BU83" i="1" s="1"/>
  <c r="BU78" i="1"/>
  <c r="BU74" i="1"/>
  <c r="BU71" i="1"/>
  <c r="BU66" i="1"/>
  <c r="BU63" i="1"/>
  <c r="BU60" i="1" s="1"/>
  <c r="BU56" i="1"/>
  <c r="BU53" i="1"/>
  <c r="BU45" i="1"/>
  <c r="BU40" i="1"/>
  <c r="BU32" i="1" s="1"/>
  <c r="BU37" i="1"/>
  <c r="BU22" i="1"/>
  <c r="BU21" i="1" l="1"/>
  <c r="BU70" i="1"/>
  <c r="BU44" i="1"/>
  <c r="BU19" i="1" s="1"/>
  <c r="I12" i="9"/>
  <c r="I16" i="9" s="1"/>
  <c r="I444" i="9" s="1"/>
  <c r="BV10" i="1"/>
  <c r="BU57" i="4"/>
  <c r="BU56" i="4"/>
  <c r="BU67" i="4"/>
  <c r="BU14" i="5"/>
  <c r="BU95" i="1"/>
  <c r="BU14" i="4"/>
  <c r="BU54" i="4"/>
  <c r="BU25" i="4"/>
  <c r="BU52" i="4" l="1"/>
  <c r="I448" i="9"/>
  <c r="BU17" i="1"/>
  <c r="BU15" i="1" s="1"/>
  <c r="BU12" i="4"/>
  <c r="BU57" i="8"/>
  <c r="BU54" i="8"/>
  <c r="BU51" i="8"/>
  <c r="BU48" i="8"/>
  <c r="BU45" i="8"/>
  <c r="BU42" i="8"/>
  <c r="BU41" i="8"/>
  <c r="BU28" i="8" s="1"/>
  <c r="BU40" i="8"/>
  <c r="BU39" i="8" s="1"/>
  <c r="BU36" i="8"/>
  <c r="BU33" i="8"/>
  <c r="BU30" i="8"/>
  <c r="BU20" i="8"/>
  <c r="BU16" i="8"/>
  <c r="BU14" i="8" s="1"/>
  <c r="J12" i="9" l="1"/>
  <c r="J16" i="9" s="1"/>
  <c r="J444" i="9" s="1"/>
  <c r="BU12" i="1"/>
  <c r="BU25" i="8"/>
  <c r="BU27" i="8"/>
  <c r="BT71" i="4"/>
  <c r="BT70" i="4"/>
  <c r="BT69" i="4"/>
  <c r="BT51" i="4"/>
  <c r="BT66" i="4" s="1"/>
  <c r="BT43" i="4"/>
  <c r="BT60" i="4" s="1"/>
  <c r="BT40" i="4"/>
  <c r="BT59" i="4" s="1"/>
  <c r="BT37" i="4"/>
  <c r="BT58" i="4" s="1"/>
  <c r="BT32" i="4"/>
  <c r="BT27" i="4"/>
  <c r="BT21" i="4"/>
  <c r="BT55" i="4" s="1"/>
  <c r="BT16" i="4"/>
  <c r="BT31" i="5"/>
  <c r="BT23" i="5"/>
  <c r="BT20" i="5"/>
  <c r="BT18" i="5"/>
  <c r="BT16" i="5"/>
  <c r="BT160" i="1"/>
  <c r="BT155" i="1"/>
  <c r="BT150" i="1"/>
  <c r="BT139" i="1"/>
  <c r="BT138" i="1" s="1"/>
  <c r="BT125" i="1" s="1"/>
  <c r="BT131" i="1"/>
  <c r="BT116" i="1"/>
  <c r="BT110" i="1"/>
  <c r="BT99" i="1"/>
  <c r="BT89" i="1"/>
  <c r="BT84" i="1"/>
  <c r="BT83" i="1" s="1"/>
  <c r="BT78" i="1"/>
  <c r="BT74" i="1"/>
  <c r="BT71" i="1"/>
  <c r="BT70" i="1" s="1"/>
  <c r="BT66" i="1"/>
  <c r="BT63" i="1"/>
  <c r="BT60" i="1"/>
  <c r="BT56" i="1"/>
  <c r="BT45" i="1" s="1"/>
  <c r="BT53" i="1"/>
  <c r="BT40" i="1"/>
  <c r="BT37" i="1"/>
  <c r="BT22" i="1"/>
  <c r="BT44" i="1" l="1"/>
  <c r="BT32" i="1"/>
  <c r="J448" i="9"/>
  <c r="BT67" i="4"/>
  <c r="BU10" i="1"/>
  <c r="BT95" i="1"/>
  <c r="BT21" i="1"/>
  <c r="BT14" i="5"/>
  <c r="BT56" i="4"/>
  <c r="BT14" i="4"/>
  <c r="BT25" i="4"/>
  <c r="BT57" i="4"/>
  <c r="BT54" i="4"/>
  <c r="K12" i="9" l="1"/>
  <c r="K16" i="9" s="1"/>
  <c r="K444" i="9" s="1"/>
  <c r="BT19" i="1"/>
  <c r="BT12" i="4"/>
  <c r="BT52" i="4"/>
  <c r="BT57" i="8"/>
  <c r="BT54" i="8"/>
  <c r="BT51" i="8"/>
  <c r="BT48" i="8"/>
  <c r="BT45" i="8"/>
  <c r="BT42" i="8"/>
  <c r="BT41" i="8"/>
  <c r="BT28" i="8" s="1"/>
  <c r="BT40" i="8"/>
  <c r="BT39" i="8" s="1"/>
  <c r="BT36" i="8"/>
  <c r="BT33" i="8"/>
  <c r="BT30" i="8"/>
  <c r="BT20" i="8"/>
  <c r="BT16" i="8"/>
  <c r="BT14" i="8" s="1"/>
  <c r="K448" i="9" l="1"/>
  <c r="BT17" i="1"/>
  <c r="BT25" i="8"/>
  <c r="BT27" i="8"/>
  <c r="L12" i="9" l="1"/>
  <c r="L16" i="9" s="1"/>
  <c r="L444" i="9" s="1"/>
  <c r="BT15" i="1"/>
  <c r="BS57" i="8"/>
  <c r="BS54" i="8"/>
  <c r="BS51" i="8"/>
  <c r="BS48" i="8"/>
  <c r="BS45" i="8"/>
  <c r="BS42" i="8"/>
  <c r="BS41" i="8"/>
  <c r="BS28" i="8" s="1"/>
  <c r="BS40" i="8"/>
  <c r="BS39" i="8" s="1"/>
  <c r="BS36" i="8"/>
  <c r="BS33" i="8"/>
  <c r="BS30" i="8"/>
  <c r="BS20" i="8"/>
  <c r="BS14" i="8" s="1"/>
  <c r="BS16" i="8"/>
  <c r="L448" i="9" l="1"/>
  <c r="BT12" i="1"/>
  <c r="BS25" i="8"/>
  <c r="BS27" i="8"/>
  <c r="BS31" i="5"/>
  <c r="BS23" i="5"/>
  <c r="BS20" i="5"/>
  <c r="BS18" i="5"/>
  <c r="BS16" i="5"/>
  <c r="BS71" i="4"/>
  <c r="BS70" i="4"/>
  <c r="BS69" i="4"/>
  <c r="BS67" i="4" s="1"/>
  <c r="BS51" i="4"/>
  <c r="BS66" i="4" s="1"/>
  <c r="BS43" i="4"/>
  <c r="BS60" i="4" s="1"/>
  <c r="BS40" i="4"/>
  <c r="BS59" i="4" s="1"/>
  <c r="BS37" i="4"/>
  <c r="BS58" i="4" s="1"/>
  <c r="BS32" i="4"/>
  <c r="BS27" i="4"/>
  <c r="BS21" i="4"/>
  <c r="BS55" i="4" s="1"/>
  <c r="BS16" i="4"/>
  <c r="M12" i="9" l="1"/>
  <c r="M16" i="9" s="1"/>
  <c r="M444" i="9" s="1"/>
  <c r="BT10" i="1"/>
  <c r="BS56" i="4"/>
  <c r="BS57" i="4"/>
  <c r="BS14" i="5"/>
  <c r="BS14" i="4"/>
  <c r="BS25" i="4"/>
  <c r="BS54" i="4"/>
  <c r="BS52" i="4" l="1"/>
  <c r="M448" i="9"/>
  <c r="BS12" i="4"/>
  <c r="BS160" i="1"/>
  <c r="BS155" i="1"/>
  <c r="BS150" i="1"/>
  <c r="BS139" i="1"/>
  <c r="BS138" i="1" s="1"/>
  <c r="BS131" i="1"/>
  <c r="BS116" i="1"/>
  <c r="BS110" i="1"/>
  <c r="BS99" i="1"/>
  <c r="BS89" i="1"/>
  <c r="BS84" i="1"/>
  <c r="BS78" i="1"/>
  <c r="BS74" i="1"/>
  <c r="BS71" i="1"/>
  <c r="BS70" i="1" s="1"/>
  <c r="BS66" i="1"/>
  <c r="BS63" i="1"/>
  <c r="BS56" i="1"/>
  <c r="BS45" i="1" s="1"/>
  <c r="BS53" i="1"/>
  <c r="BS40" i="1"/>
  <c r="BS37" i="1"/>
  <c r="BS32" i="1"/>
  <c r="BS22" i="1"/>
  <c r="CJ22" i="1"/>
  <c r="BR22" i="1"/>
  <c r="BQ22" i="1"/>
  <c r="BP22" i="1"/>
  <c r="BO22" i="1"/>
  <c r="BN22" i="1"/>
  <c r="BM22" i="1"/>
  <c r="BL22" i="1"/>
  <c r="BK22" i="1"/>
  <c r="BJ22" i="1"/>
  <c r="BI22" i="1"/>
  <c r="BH22" i="1"/>
  <c r="BG22" i="1"/>
  <c r="BF22" i="1"/>
  <c r="BE22" i="1"/>
  <c r="BD22" i="1"/>
  <c r="BC22" i="1"/>
  <c r="BB22" i="1"/>
  <c r="BA22" i="1"/>
  <c r="AZ22" i="1"/>
  <c r="AY22" i="1"/>
  <c r="AX22"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H22" i="1"/>
  <c r="G22" i="1"/>
  <c r="F22" i="1"/>
  <c r="E22" i="1"/>
  <c r="D22" i="1"/>
  <c r="C22" i="1"/>
  <c r="BS125" i="1" l="1"/>
  <c r="BS21" i="1"/>
  <c r="BS60" i="1"/>
  <c r="BS44" i="1" s="1"/>
  <c r="BS19" i="1" s="1"/>
  <c r="BS83" i="1"/>
  <c r="N12" i="9"/>
  <c r="N16" i="9" s="1"/>
  <c r="N444" i="9" s="1"/>
  <c r="BS95" i="1"/>
  <c r="BR41" i="8"/>
  <c r="BQ41" i="8"/>
  <c r="BP41" i="8"/>
  <c r="N448" i="9" l="1"/>
  <c r="BS17" i="1"/>
  <c r="BR71" i="4"/>
  <c r="BR70" i="4"/>
  <c r="BR69" i="4"/>
  <c r="BR51" i="4"/>
  <c r="BR66" i="4" s="1"/>
  <c r="BR43" i="4"/>
  <c r="BR60" i="4" s="1"/>
  <c r="BR40" i="4"/>
  <c r="BR59" i="4" s="1"/>
  <c r="BR37" i="4"/>
  <c r="BR58" i="4" s="1"/>
  <c r="BR32" i="4"/>
  <c r="BR27" i="4"/>
  <c r="BR21" i="4"/>
  <c r="BR55" i="4" s="1"/>
  <c r="BR16" i="4"/>
  <c r="BR54" i="4" s="1"/>
  <c r="BR31" i="5"/>
  <c r="BR23" i="5"/>
  <c r="BR20" i="5"/>
  <c r="BR18" i="5"/>
  <c r="BR16" i="5"/>
  <c r="BR160" i="1"/>
  <c r="BR155" i="1"/>
  <c r="BR150" i="1"/>
  <c r="BR139" i="1"/>
  <c r="BR138" i="1" s="1"/>
  <c r="BR131" i="1"/>
  <c r="BR116" i="1"/>
  <c r="BR110" i="1"/>
  <c r="BR99" i="1"/>
  <c r="BR89" i="1"/>
  <c r="BR83" i="1" s="1"/>
  <c r="BR84" i="1"/>
  <c r="BR78" i="1"/>
  <c r="BR74" i="1"/>
  <c r="BR71" i="1"/>
  <c r="BR66" i="1"/>
  <c r="BR60" i="1" s="1"/>
  <c r="BR63" i="1"/>
  <c r="BR56" i="1"/>
  <c r="BR53" i="1"/>
  <c r="BR45" i="1" s="1"/>
  <c r="BR40" i="1"/>
  <c r="BR37" i="1"/>
  <c r="BR32" i="1"/>
  <c r="BR21" i="1" s="1"/>
  <c r="BR95" i="1" l="1"/>
  <c r="BR70" i="1"/>
  <c r="BR125" i="1"/>
  <c r="O12" i="9"/>
  <c r="O16" i="9" s="1"/>
  <c r="O444" i="9" s="1"/>
  <c r="BS15" i="1"/>
  <c r="BR57" i="4"/>
  <c r="BR67" i="4"/>
  <c r="BR56" i="4"/>
  <c r="BR14" i="5"/>
  <c r="BS12" i="1"/>
  <c r="BR25" i="4"/>
  <c r="BR14" i="4"/>
  <c r="BR44" i="1"/>
  <c r="BR19" i="1" s="1"/>
  <c r="BR57" i="8"/>
  <c r="BR54" i="8"/>
  <c r="BR51" i="8"/>
  <c r="BR48" i="8"/>
  <c r="BR45" i="8"/>
  <c r="BR42" i="8"/>
  <c r="BR39" i="8"/>
  <c r="BR36" i="8"/>
  <c r="BR33" i="8"/>
  <c r="BR30" i="8"/>
  <c r="BR28" i="8"/>
  <c r="BR27" i="8"/>
  <c r="BR25" i="8"/>
  <c r="BR20" i="8"/>
  <c r="BR14" i="8" s="1"/>
  <c r="BR16" i="8"/>
  <c r="O448" i="9" l="1"/>
  <c r="BR52" i="4"/>
  <c r="BR12" i="4"/>
  <c r="BS10" i="1"/>
  <c r="BR17" i="1"/>
  <c r="P12" i="9" l="1"/>
  <c r="P16" i="9" s="1"/>
  <c r="P444" i="9" s="1"/>
  <c r="BR15" i="1"/>
  <c r="BP32" i="4"/>
  <c r="P448" i="9" l="1"/>
  <c r="BR12" i="1"/>
  <c r="BO21" i="4"/>
  <c r="Q12" i="9" l="1"/>
  <c r="Q16" i="9" s="1"/>
  <c r="Q444" i="9" s="1"/>
  <c r="BR10" i="1"/>
  <c r="BQ33" i="8"/>
  <c r="BP33" i="8"/>
  <c r="BQ57" i="8"/>
  <c r="BP57" i="8"/>
  <c r="BO57" i="8"/>
  <c r="BQ54" i="8"/>
  <c r="BP54" i="8"/>
  <c r="BO54" i="8"/>
  <c r="BQ51" i="8"/>
  <c r="BP51" i="8"/>
  <c r="BQ48" i="8"/>
  <c r="BP48" i="8"/>
  <c r="BQ45" i="8"/>
  <c r="BP45" i="8"/>
  <c r="BQ42" i="8"/>
  <c r="BP42" i="8"/>
  <c r="BQ39" i="8"/>
  <c r="BQ36" i="8"/>
  <c r="BQ30" i="8"/>
  <c r="BQ28" i="8"/>
  <c r="BQ27" i="8"/>
  <c r="BQ20" i="8"/>
  <c r="BQ16" i="8"/>
  <c r="Q448" i="9" l="1"/>
  <c r="BQ25" i="8"/>
  <c r="BQ14" i="8"/>
  <c r="BQ71" i="4"/>
  <c r="BQ67" i="4" s="1"/>
  <c r="BQ70" i="4"/>
  <c r="BQ69" i="4"/>
  <c r="BQ51" i="4"/>
  <c r="BQ66" i="4" s="1"/>
  <c r="BQ43" i="4"/>
  <c r="BQ60" i="4" s="1"/>
  <c r="BQ40" i="4"/>
  <c r="BQ59" i="4" s="1"/>
  <c r="BQ37" i="4"/>
  <c r="BQ58" i="4" s="1"/>
  <c r="BQ32" i="4"/>
  <c r="BQ27" i="4"/>
  <c r="BQ21" i="4"/>
  <c r="BQ55" i="4" s="1"/>
  <c r="BQ16" i="4"/>
  <c r="BQ54" i="4" s="1"/>
  <c r="BQ31" i="5"/>
  <c r="BQ23" i="5"/>
  <c r="BQ20" i="5"/>
  <c r="BQ18" i="5"/>
  <c r="BQ16" i="5"/>
  <c r="R12" i="9" l="1"/>
  <c r="R16" i="9" s="1"/>
  <c r="R444" i="9" s="1"/>
  <c r="BQ57" i="4"/>
  <c r="BQ56" i="4"/>
  <c r="BQ14" i="5"/>
  <c r="BQ14" i="4"/>
  <c r="BQ25" i="4"/>
  <c r="BQ52" i="4"/>
  <c r="BQ160" i="1"/>
  <c r="BQ155" i="1"/>
  <c r="BQ150" i="1"/>
  <c r="BQ139" i="1"/>
  <c r="BQ131" i="1"/>
  <c r="BQ116" i="1"/>
  <c r="BQ110" i="1"/>
  <c r="BQ99" i="1"/>
  <c r="BQ89" i="1"/>
  <c r="BQ84" i="1"/>
  <c r="BQ78" i="1"/>
  <c r="BQ74" i="1"/>
  <c r="BQ71" i="1"/>
  <c r="BQ66" i="1"/>
  <c r="BQ63" i="1"/>
  <c r="BQ56" i="1"/>
  <c r="BQ45" i="1" s="1"/>
  <c r="BQ53" i="1"/>
  <c r="BQ40" i="1"/>
  <c r="BQ32" i="1" s="1"/>
  <c r="BQ37" i="1"/>
  <c r="BQ83" i="1" l="1"/>
  <c r="R448" i="9"/>
  <c r="BQ12" i="4"/>
  <c r="BQ60" i="1"/>
  <c r="BQ44" i="1" s="1"/>
  <c r="BQ95" i="1"/>
  <c r="BQ21" i="1"/>
  <c r="BQ70" i="1"/>
  <c r="BQ138" i="1"/>
  <c r="BQ125" i="1" s="1"/>
  <c r="S12" i="9" l="1"/>
  <c r="S16" i="9" s="1"/>
  <c r="S444" i="9" s="1"/>
  <c r="BQ19" i="1"/>
  <c r="BP20" i="8"/>
  <c r="BP16" i="8"/>
  <c r="BP14" i="8" s="1"/>
  <c r="BP28" i="8"/>
  <c r="BP27" i="8"/>
  <c r="BP30" i="8"/>
  <c r="BP36" i="8"/>
  <c r="BP39" i="8"/>
  <c r="S448" i="9" l="1"/>
  <c r="BQ17" i="1"/>
  <c r="BP25" i="8"/>
  <c r="T12" i="9" l="1"/>
  <c r="T16" i="9" s="1"/>
  <c r="T444" i="9" s="1"/>
  <c r="BQ15" i="1"/>
  <c r="BP71" i="4"/>
  <c r="BP70" i="4"/>
  <c r="BP69" i="4"/>
  <c r="BP57" i="4"/>
  <c r="BP51" i="4"/>
  <c r="BP66" i="4" s="1"/>
  <c r="BP43" i="4"/>
  <c r="BP40" i="4"/>
  <c r="BP37" i="4"/>
  <c r="BP27" i="4"/>
  <c r="BP21" i="4"/>
  <c r="BP16" i="4"/>
  <c r="BP31" i="5"/>
  <c r="BP23" i="5"/>
  <c r="BP20" i="5"/>
  <c r="BP18" i="5"/>
  <c r="BP16" i="5"/>
  <c r="BP160" i="1"/>
  <c r="BP155" i="1"/>
  <c r="BP150" i="1"/>
  <c r="BP139" i="1"/>
  <c r="BP131" i="1"/>
  <c r="BP116" i="1"/>
  <c r="BP110" i="1"/>
  <c r="BP99" i="1"/>
  <c r="BP89" i="1"/>
  <c r="BP84" i="1"/>
  <c r="BP78" i="1"/>
  <c r="BP74" i="1"/>
  <c r="BP71" i="1"/>
  <c r="BP66" i="1"/>
  <c r="BP60" i="1" s="1"/>
  <c r="BP63" i="1"/>
  <c r="BP56" i="1"/>
  <c r="BP53" i="1"/>
  <c r="BP45" i="1" s="1"/>
  <c r="BP40" i="1"/>
  <c r="BP32" i="1" s="1"/>
  <c r="BP37" i="1"/>
  <c r="BP83" i="1" l="1"/>
  <c r="T448" i="9"/>
  <c r="BQ12" i="1"/>
  <c r="BP59" i="4"/>
  <c r="BP60" i="4"/>
  <c r="BP58" i="4"/>
  <c r="BP55" i="4"/>
  <c r="BP70" i="1"/>
  <c r="BP44" i="1" s="1"/>
  <c r="BP67" i="4"/>
  <c r="BP138" i="1"/>
  <c r="BP125" i="1" s="1"/>
  <c r="BP21" i="1"/>
  <c r="BP14" i="5"/>
  <c r="BP14" i="4"/>
  <c r="BP95" i="1"/>
  <c r="BP54" i="4"/>
  <c r="BP25" i="4"/>
  <c r="BP56" i="4"/>
  <c r="CJ160" i="1"/>
  <c r="BO160" i="1"/>
  <c r="CJ155" i="1"/>
  <c r="BO155" i="1"/>
  <c r="CJ150" i="1"/>
  <c r="BO150" i="1"/>
  <c r="BO139" i="1"/>
  <c r="CJ131" i="1"/>
  <c r="BO131" i="1"/>
  <c r="CJ116" i="1"/>
  <c r="BO116" i="1"/>
  <c r="CJ110" i="1"/>
  <c r="BO110" i="1"/>
  <c r="CJ99" i="1"/>
  <c r="BO99" i="1"/>
  <c r="BO89" i="1"/>
  <c r="CJ84" i="1"/>
  <c r="BO84" i="1"/>
  <c r="BO83" i="1" s="1"/>
  <c r="CJ78" i="1"/>
  <c r="BO78" i="1"/>
  <c r="CJ74" i="1"/>
  <c r="BO74" i="1"/>
  <c r="CJ71" i="1"/>
  <c r="BO71" i="1"/>
  <c r="CJ66" i="1"/>
  <c r="BO66" i="1"/>
  <c r="CJ63" i="1"/>
  <c r="BO63" i="1"/>
  <c r="CJ56" i="1"/>
  <c r="BO56" i="1"/>
  <c r="BO45" i="1" s="1"/>
  <c r="CJ53" i="1"/>
  <c r="BO53" i="1"/>
  <c r="CJ40" i="1"/>
  <c r="BO40" i="1"/>
  <c r="BO32" i="1" s="1"/>
  <c r="CJ37" i="1"/>
  <c r="BO37" i="1"/>
  <c r="U12" i="9" l="1"/>
  <c r="U16" i="9" s="1"/>
  <c r="U444" i="9" s="1"/>
  <c r="CJ45" i="1"/>
  <c r="BQ10" i="1"/>
  <c r="BP19" i="1"/>
  <c r="BP17" i="1" s="1"/>
  <c r="BP12" i="4"/>
  <c r="BO70" i="1"/>
  <c r="BO138" i="1"/>
  <c r="BO125" i="1" s="1"/>
  <c r="BP52" i="4"/>
  <c r="BO95" i="1"/>
  <c r="CJ138" i="1"/>
  <c r="CJ95" i="1"/>
  <c r="CJ83" i="1"/>
  <c r="CJ70" i="1"/>
  <c r="CJ32" i="1"/>
  <c r="BO21" i="1"/>
  <c r="BO44" i="1"/>
  <c r="BO19" i="1" s="1"/>
  <c r="BO60" i="1"/>
  <c r="CJ60" i="1"/>
  <c r="BO71" i="4"/>
  <c r="BO70" i="4"/>
  <c r="BO69" i="4"/>
  <c r="BO51" i="4"/>
  <c r="BO66" i="4" s="1"/>
  <c r="BO43" i="4"/>
  <c r="BO40" i="4"/>
  <c r="BO37" i="4"/>
  <c r="BO32" i="4"/>
  <c r="BO27" i="4"/>
  <c r="BO55" i="4"/>
  <c r="BO16" i="4"/>
  <c r="BO31" i="5"/>
  <c r="BO23" i="5"/>
  <c r="BO20" i="5"/>
  <c r="BO18" i="5"/>
  <c r="BO16" i="5"/>
  <c r="U448" i="9" l="1"/>
  <c r="BO60" i="4"/>
  <c r="BO59" i="4"/>
  <c r="BO58" i="4"/>
  <c r="BO57" i="4"/>
  <c r="BO56" i="4"/>
  <c r="BO67" i="4"/>
  <c r="BO14" i="5"/>
  <c r="BP15" i="1"/>
  <c r="BO17" i="1"/>
  <c r="BO14" i="4"/>
  <c r="CJ21" i="1"/>
  <c r="CJ125" i="1"/>
  <c r="CJ44" i="1"/>
  <c r="BO54" i="4"/>
  <c r="BO25" i="4"/>
  <c r="V12" i="9" l="1"/>
  <c r="V16" i="9" s="1"/>
  <c r="V444" i="9" s="1"/>
  <c r="BO52" i="4"/>
  <c r="BO12" i="4"/>
  <c r="BP12" i="1"/>
  <c r="BO15" i="1"/>
  <c r="CJ19" i="1"/>
  <c r="BO51" i="8"/>
  <c r="BO48" i="8"/>
  <c r="BO45" i="8"/>
  <c r="BO42" i="8"/>
  <c r="BO41" i="8"/>
  <c r="BO28" i="8" s="1"/>
  <c r="BO40" i="8"/>
  <c r="BO39" i="8" s="1"/>
  <c r="BO36" i="8"/>
  <c r="BO33" i="8"/>
  <c r="BO30" i="8"/>
  <c r="BO27" i="8"/>
  <c r="BO20" i="8"/>
  <c r="BO16" i="8"/>
  <c r="BO14" i="8" s="1"/>
  <c r="V448" i="9" l="1"/>
  <c r="BO25" i="8"/>
  <c r="BP10" i="1"/>
  <c r="BO12" i="1"/>
  <c r="CJ17" i="1"/>
  <c r="BM20" i="5"/>
  <c r="BM18" i="5"/>
  <c r="BN18" i="5"/>
  <c r="BM16" i="5"/>
  <c r="BM23" i="5"/>
  <c r="BM31" i="5"/>
  <c r="W12" i="9" l="1"/>
  <c r="W16" i="9" s="1"/>
  <c r="W444" i="9" s="1"/>
  <c r="BO10" i="1"/>
  <c r="CJ15" i="1"/>
  <c r="BM14" i="5"/>
  <c r="W448" i="9" l="1"/>
  <c r="CJ12" i="1"/>
  <c r="BN71" i="4"/>
  <c r="BN70" i="4"/>
  <c r="BN69" i="4"/>
  <c r="BN51" i="4"/>
  <c r="BN66" i="4" s="1"/>
  <c r="BN43" i="4"/>
  <c r="BN40" i="4"/>
  <c r="BN37" i="4"/>
  <c r="BN32" i="4"/>
  <c r="BN27" i="4"/>
  <c r="BN21" i="4"/>
  <c r="BN16" i="4"/>
  <c r="BN31" i="5"/>
  <c r="BN23" i="5"/>
  <c r="BN20" i="5"/>
  <c r="BN16" i="5"/>
  <c r="BN160" i="1"/>
  <c r="BN155" i="1"/>
  <c r="BN150" i="1"/>
  <c r="BN139" i="1"/>
  <c r="BN131" i="1"/>
  <c r="BN116" i="1"/>
  <c r="BN110" i="1"/>
  <c r="BN99" i="1"/>
  <c r="BN89" i="1"/>
  <c r="BN84" i="1"/>
  <c r="BN78" i="1"/>
  <c r="BN74" i="1"/>
  <c r="BN71" i="1"/>
  <c r="BN66" i="1"/>
  <c r="BN63" i="1"/>
  <c r="BN56" i="1"/>
  <c r="BN53" i="1"/>
  <c r="BN40" i="1"/>
  <c r="BN32" i="1" s="1"/>
  <c r="BN37" i="1"/>
  <c r="BN45" i="1" l="1"/>
  <c r="BN70" i="1"/>
  <c r="BN138" i="1"/>
  <c r="BN125" i="1" s="1"/>
  <c r="X12" i="9"/>
  <c r="X16" i="9" s="1"/>
  <c r="X444" i="9" s="1"/>
  <c r="CJ10" i="1"/>
  <c r="BN60" i="4"/>
  <c r="BN59" i="4"/>
  <c r="BN58" i="4"/>
  <c r="BN56" i="4"/>
  <c r="BN55" i="4"/>
  <c r="BN21" i="1"/>
  <c r="BN67" i="4"/>
  <c r="BN14" i="5"/>
  <c r="BN25" i="4"/>
  <c r="BN14" i="4"/>
  <c r="BN60" i="1"/>
  <c r="BN44" i="1" s="1"/>
  <c r="BN95" i="1"/>
  <c r="BN83" i="1"/>
  <c r="BN54" i="4"/>
  <c r="BN57" i="4"/>
  <c r="CK89" i="1" l="1"/>
  <c r="BN19" i="1"/>
  <c r="X448" i="9"/>
  <c r="BN12" i="4"/>
  <c r="BN17" i="1"/>
  <c r="BN52" i="4"/>
  <c r="BM41" i="8"/>
  <c r="BN41" i="8"/>
  <c r="BN40" i="8"/>
  <c r="BN39" i="8" s="1"/>
  <c r="BN25" i="8" s="1"/>
  <c r="BN57" i="8"/>
  <c r="BN54" i="8"/>
  <c r="BN51" i="8"/>
  <c r="BN48" i="8"/>
  <c r="BN45" i="8"/>
  <c r="BN42" i="8"/>
  <c r="BN36" i="8"/>
  <c r="BN33" i="8"/>
  <c r="BN30" i="8"/>
  <c r="BN28" i="8"/>
  <c r="BN27" i="8"/>
  <c r="BN20" i="8"/>
  <c r="BN16" i="8"/>
  <c r="BN14" i="8" s="1"/>
  <c r="Y12" i="9" l="1"/>
  <c r="Y16" i="9" s="1"/>
  <c r="Y444" i="9" s="1"/>
  <c r="BN15" i="1"/>
  <c r="BM71" i="4"/>
  <c r="BM70" i="4"/>
  <c r="BM69" i="4"/>
  <c r="BM51" i="4"/>
  <c r="BM66" i="4" s="1"/>
  <c r="BM43" i="4"/>
  <c r="BM60" i="4" s="1"/>
  <c r="BM40" i="4"/>
  <c r="BM59" i="4" s="1"/>
  <c r="BM37" i="4"/>
  <c r="BM58" i="4" s="1"/>
  <c r="BM32" i="4"/>
  <c r="BM27" i="4"/>
  <c r="BM21" i="4"/>
  <c r="BM55" i="4" s="1"/>
  <c r="BM16" i="4"/>
  <c r="BM160" i="1"/>
  <c r="BM155" i="1"/>
  <c r="BM150" i="1"/>
  <c r="BM139" i="1"/>
  <c r="BM131" i="1"/>
  <c r="BM116" i="1"/>
  <c r="BM110" i="1"/>
  <c r="BM99" i="1"/>
  <c r="BM89" i="1"/>
  <c r="BM84" i="1"/>
  <c r="BM78" i="1"/>
  <c r="BM74" i="1"/>
  <c r="BM71" i="1"/>
  <c r="BM66" i="1"/>
  <c r="BM63" i="1"/>
  <c r="BM60" i="1" s="1"/>
  <c r="BM56" i="1"/>
  <c r="BM53" i="1"/>
  <c r="BM40" i="1"/>
  <c r="BM32" i="1" s="1"/>
  <c r="BM37" i="1"/>
  <c r="BM83" i="1" l="1"/>
  <c r="BM45" i="1"/>
  <c r="BM138" i="1"/>
  <c r="BM125" i="1" s="1"/>
  <c r="Y448" i="9"/>
  <c r="BM14" i="4"/>
  <c r="BN12" i="1"/>
  <c r="BM21" i="1"/>
  <c r="BM70" i="1"/>
  <c r="BM67" i="4"/>
  <c r="BM95" i="1"/>
  <c r="BM56" i="4"/>
  <c r="BM57" i="4"/>
  <c r="BM54" i="4"/>
  <c r="BM25" i="4"/>
  <c r="BM44" i="1" l="1"/>
  <c r="BM19" i="1" s="1"/>
  <c r="Z12" i="9"/>
  <c r="Z16" i="9" s="1"/>
  <c r="Z444" i="9" s="1"/>
  <c r="BN10" i="1"/>
  <c r="BM52" i="4"/>
  <c r="BM17" i="1"/>
  <c r="BM12" i="4"/>
  <c r="BM57" i="8"/>
  <c r="BM54" i="8"/>
  <c r="BM51" i="8"/>
  <c r="BM48" i="8"/>
  <c r="BM45" i="8"/>
  <c r="BM42" i="8"/>
  <c r="BM40" i="8"/>
  <c r="BM39" i="8" s="1"/>
  <c r="BM36" i="8"/>
  <c r="BM33" i="8"/>
  <c r="BM30" i="8"/>
  <c r="BM28" i="8"/>
  <c r="BM20" i="8"/>
  <c r="BM16" i="8"/>
  <c r="BM14" i="8" s="1"/>
  <c r="Z448" i="9" l="1"/>
  <c r="BM27" i="8"/>
  <c r="BM15" i="1"/>
  <c r="BM25" i="8"/>
  <c r="BL41" i="8"/>
  <c r="BL40" i="8"/>
  <c r="AA12" i="9" l="1"/>
  <c r="AA16" i="9" s="1"/>
  <c r="AA444" i="9" s="1"/>
  <c r="BM12" i="1"/>
  <c r="AA448" i="9" l="1"/>
  <c r="BM10" i="1"/>
  <c r="BL160" i="1"/>
  <c r="BL155" i="1"/>
  <c r="BL150" i="1"/>
  <c r="BL139" i="1"/>
  <c r="BL131" i="1"/>
  <c r="BL116" i="1"/>
  <c r="BL110" i="1"/>
  <c r="BL99" i="1"/>
  <c r="BL89" i="1"/>
  <c r="BL83" i="1" s="1"/>
  <c r="BL84" i="1"/>
  <c r="BL78" i="1"/>
  <c r="BL74" i="1"/>
  <c r="BL71" i="1"/>
  <c r="BL66" i="1"/>
  <c r="BL63" i="1"/>
  <c r="BL56" i="1"/>
  <c r="BL53" i="1"/>
  <c r="BL40" i="1"/>
  <c r="BL37" i="1"/>
  <c r="BL32" i="1"/>
  <c r="BL51" i="4"/>
  <c r="BL66" i="4" s="1"/>
  <c r="BL71" i="4"/>
  <c r="BL70" i="4"/>
  <c r="BL69" i="4"/>
  <c r="BL43" i="4"/>
  <c r="BL40" i="4"/>
  <c r="BL37" i="4"/>
  <c r="BL32" i="4"/>
  <c r="BL27" i="4"/>
  <c r="BL21" i="4"/>
  <c r="BL55" i="4" s="1"/>
  <c r="BL16" i="4"/>
  <c r="BL31" i="5"/>
  <c r="BL23" i="5"/>
  <c r="BL20" i="5"/>
  <c r="BL18" i="5"/>
  <c r="BL16" i="5"/>
  <c r="AB12" i="9" l="1"/>
  <c r="AB16" i="9" s="1"/>
  <c r="AB444" i="9" s="1"/>
  <c r="BL45" i="1"/>
  <c r="BL138" i="1"/>
  <c r="BL125" i="1" s="1"/>
  <c r="BL70" i="1"/>
  <c r="BL21" i="1"/>
  <c r="BL60" i="1"/>
  <c r="BL44" i="1" s="1"/>
  <c r="BL19" i="1" s="1"/>
  <c r="BL60" i="4"/>
  <c r="BL59" i="4"/>
  <c r="BL58" i="4"/>
  <c r="BL57" i="4"/>
  <c r="BL67" i="4"/>
  <c r="BL56" i="4"/>
  <c r="BL14" i="5"/>
  <c r="BL95" i="1"/>
  <c r="BL14" i="4"/>
  <c r="BL25" i="4"/>
  <c r="BL54" i="4"/>
  <c r="BL57" i="8"/>
  <c r="BL54" i="8"/>
  <c r="BL51" i="8"/>
  <c r="BL48" i="8"/>
  <c r="BL45" i="8"/>
  <c r="BL42" i="8"/>
  <c r="BL39" i="8"/>
  <c r="BL36" i="8"/>
  <c r="BL33" i="8"/>
  <c r="BL30" i="8"/>
  <c r="BL25" i="8" s="1"/>
  <c r="BL28" i="8"/>
  <c r="BL27" i="8"/>
  <c r="BL20" i="8"/>
  <c r="BL16" i="8"/>
  <c r="BL14" i="8" s="1"/>
  <c r="AB448" i="9" l="1"/>
  <c r="BL52" i="4"/>
  <c r="BL12" i="4"/>
  <c r="BL17" i="1"/>
  <c r="BK57" i="8"/>
  <c r="BK54" i="8"/>
  <c r="BK51" i="8"/>
  <c r="BK48" i="8"/>
  <c r="BK45" i="8"/>
  <c r="BK42" i="8"/>
  <c r="BK41" i="8"/>
  <c r="BK28" i="8" s="1"/>
  <c r="BK40" i="8"/>
  <c r="BK36" i="8"/>
  <c r="BK33" i="8"/>
  <c r="BK30" i="8"/>
  <c r="BK20" i="8"/>
  <c r="BK16" i="8"/>
  <c r="AC12" i="9" l="1"/>
  <c r="AC16" i="9" s="1"/>
  <c r="AC444" i="9" s="1"/>
  <c r="BK14" i="8"/>
  <c r="BL15" i="1"/>
  <c r="BK39" i="8"/>
  <c r="BK25" i="8"/>
  <c r="BK27" i="8"/>
  <c r="AC448" i="9" l="1"/>
  <c r="BL12" i="1"/>
  <c r="BK71" i="4"/>
  <c r="BK70" i="4"/>
  <c r="BK69" i="4"/>
  <c r="BK51" i="4"/>
  <c r="BK66" i="4" s="1"/>
  <c r="BK43" i="4"/>
  <c r="BK60" i="4" s="1"/>
  <c r="BK40" i="4"/>
  <c r="BK59" i="4" s="1"/>
  <c r="BK37" i="4"/>
  <c r="BK58" i="4" s="1"/>
  <c r="BK32" i="4"/>
  <c r="BK27" i="4"/>
  <c r="BK21" i="4"/>
  <c r="BK55" i="4" s="1"/>
  <c r="BK16" i="4"/>
  <c r="AD12" i="9" l="1"/>
  <c r="AD16" i="9" s="1"/>
  <c r="AD444" i="9" s="1"/>
  <c r="BL10" i="1"/>
  <c r="BK56" i="4"/>
  <c r="BK67" i="4"/>
  <c r="BK14" i="4"/>
  <c r="BK25" i="4"/>
  <c r="BK57" i="4"/>
  <c r="BK54" i="4"/>
  <c r="BK31" i="5"/>
  <c r="BK23" i="5"/>
  <c r="BK20" i="5"/>
  <c r="BK18" i="5"/>
  <c r="BK16" i="5"/>
  <c r="BK52" i="4" l="1"/>
  <c r="AD448" i="9"/>
  <c r="BK12" i="4"/>
  <c r="BK14" i="5"/>
  <c r="BK160" i="1"/>
  <c r="BK155" i="1"/>
  <c r="BK150" i="1"/>
  <c r="BK139" i="1"/>
  <c r="BK138" i="1" s="1"/>
  <c r="BK131" i="1"/>
  <c r="BK116" i="1"/>
  <c r="BK110" i="1"/>
  <c r="BK99" i="1"/>
  <c r="BK89" i="1"/>
  <c r="BK84" i="1"/>
  <c r="BK78" i="1"/>
  <c r="BK74" i="1"/>
  <c r="BK71" i="1"/>
  <c r="BK66" i="1"/>
  <c r="BK63" i="1"/>
  <c r="BK56" i="1"/>
  <c r="BK53" i="1"/>
  <c r="BK40" i="1"/>
  <c r="BK32" i="1" s="1"/>
  <c r="BK37" i="1"/>
  <c r="BK83" i="1" l="1"/>
  <c r="AE12" i="9"/>
  <c r="AE16" i="9" s="1"/>
  <c r="AE444" i="9" s="1"/>
  <c r="BK70" i="1"/>
  <c r="BK21" i="1"/>
  <c r="BK60" i="1"/>
  <c r="BK125" i="1"/>
  <c r="BK45" i="1"/>
  <c r="BK44" i="1" s="1"/>
  <c r="BK95" i="1"/>
  <c r="AE448" i="9" l="1"/>
  <c r="BK19" i="1"/>
  <c r="BK17" i="1" s="1"/>
  <c r="BJ57" i="8"/>
  <c r="BJ54" i="8"/>
  <c r="BJ51" i="8"/>
  <c r="BJ48" i="8"/>
  <c r="BJ45" i="8"/>
  <c r="BJ42" i="8"/>
  <c r="BJ41" i="8"/>
  <c r="BJ28" i="8" s="1"/>
  <c r="BJ40" i="8"/>
  <c r="BJ36" i="8"/>
  <c r="BJ33" i="8"/>
  <c r="BJ30" i="8"/>
  <c r="BJ20" i="8"/>
  <c r="BJ16" i="8"/>
  <c r="AF12" i="9" l="1"/>
  <c r="AF16" i="9" s="1"/>
  <c r="AF444" i="9" s="1"/>
  <c r="BJ39" i="8"/>
  <c r="BK15" i="1"/>
  <c r="BJ14" i="8"/>
  <c r="BJ25" i="8"/>
  <c r="BJ27" i="8"/>
  <c r="BJ71" i="4"/>
  <c r="BJ70" i="4"/>
  <c r="BJ69" i="4"/>
  <c r="BJ51" i="4"/>
  <c r="BJ66" i="4" s="1"/>
  <c r="BJ43" i="4"/>
  <c r="BJ40" i="4"/>
  <c r="BJ59" i="4" s="1"/>
  <c r="BJ37" i="4"/>
  <c r="BJ58" i="4" s="1"/>
  <c r="BJ32" i="4"/>
  <c r="BJ27" i="4"/>
  <c r="BJ21" i="4"/>
  <c r="BJ55" i="4" s="1"/>
  <c r="BJ16" i="4"/>
  <c r="AF448" i="9" l="1"/>
  <c r="BK12" i="1"/>
  <c r="BJ60" i="4"/>
  <c r="BJ25" i="4"/>
  <c r="BJ56" i="4"/>
  <c r="BJ14" i="4"/>
  <c r="BJ67" i="4"/>
  <c r="BJ57" i="4"/>
  <c r="BJ54" i="4"/>
  <c r="AG12" i="9" l="1"/>
  <c r="AG16" i="9" s="1"/>
  <c r="AG444" i="9" s="1"/>
  <c r="BK10" i="1"/>
  <c r="BJ52" i="4"/>
  <c r="BJ12" i="4"/>
  <c r="BJ31" i="5"/>
  <c r="BJ23" i="5"/>
  <c r="BJ20" i="5"/>
  <c r="BJ18" i="5"/>
  <c r="BJ16" i="5"/>
  <c r="AG448" i="9" l="1"/>
  <c r="BJ14" i="5"/>
  <c r="BJ160" i="1"/>
  <c r="BJ155" i="1"/>
  <c r="BJ150" i="1"/>
  <c r="BJ139" i="1"/>
  <c r="BJ131" i="1"/>
  <c r="BJ116" i="1"/>
  <c r="BJ110" i="1"/>
  <c r="BJ99" i="1"/>
  <c r="BJ89" i="1"/>
  <c r="BJ84" i="1"/>
  <c r="BJ83" i="1" s="1"/>
  <c r="BJ78" i="1"/>
  <c r="BJ74" i="1"/>
  <c r="BJ71" i="1"/>
  <c r="BJ70" i="1" s="1"/>
  <c r="BJ66" i="1"/>
  <c r="BJ63" i="1"/>
  <c r="BJ56" i="1"/>
  <c r="BJ53" i="1"/>
  <c r="BJ40" i="1"/>
  <c r="BJ37" i="1"/>
  <c r="BJ138" i="1" l="1"/>
  <c r="BJ125" i="1" s="1"/>
  <c r="AH12" i="9"/>
  <c r="AH16" i="9" s="1"/>
  <c r="AH444" i="9" s="1"/>
  <c r="BJ45" i="1"/>
  <c r="BJ32" i="1"/>
  <c r="BJ21" i="1" s="1"/>
  <c r="BJ60" i="1"/>
  <c r="BJ95" i="1"/>
  <c r="BI57" i="8"/>
  <c r="BI54" i="8"/>
  <c r="BI51" i="8"/>
  <c r="BI48" i="8"/>
  <c r="BI45" i="8"/>
  <c r="BI42" i="8"/>
  <c r="BI41" i="8"/>
  <c r="BI28" i="8" s="1"/>
  <c r="BI40" i="8"/>
  <c r="BI36" i="8"/>
  <c r="BI33" i="8"/>
  <c r="BI30" i="8"/>
  <c r="BI20" i="8"/>
  <c r="BI16" i="8"/>
  <c r="CJ51" i="4"/>
  <c r="CJ66" i="4" s="1"/>
  <c r="CJ43" i="4"/>
  <c r="CJ40" i="4"/>
  <c r="CJ37" i="4"/>
  <c r="CJ32" i="4"/>
  <c r="CJ27" i="4"/>
  <c r="CJ21" i="4"/>
  <c r="CJ16" i="4"/>
  <c r="BI71" i="4"/>
  <c r="BI70" i="4"/>
  <c r="BI69" i="4"/>
  <c r="BI51" i="4"/>
  <c r="BI66" i="4" s="1"/>
  <c r="BI43" i="4"/>
  <c r="BI40" i="4"/>
  <c r="BI59" i="4" s="1"/>
  <c r="BI37" i="4"/>
  <c r="BI58" i="4" s="1"/>
  <c r="BI32" i="4"/>
  <c r="BI27" i="4"/>
  <c r="BI21" i="4"/>
  <c r="BI55" i="4" s="1"/>
  <c r="BI16" i="4"/>
  <c r="CJ31" i="5"/>
  <c r="CJ23" i="5"/>
  <c r="CJ20" i="5"/>
  <c r="CJ18" i="5"/>
  <c r="CJ16" i="5"/>
  <c r="BI31" i="5"/>
  <c r="BI23" i="5"/>
  <c r="BI20" i="5"/>
  <c r="BI18" i="5"/>
  <c r="BI16" i="5"/>
  <c r="BI160" i="1"/>
  <c r="BI155" i="1"/>
  <c r="BI150" i="1"/>
  <c r="BI139" i="1"/>
  <c r="BI131" i="1"/>
  <c r="BI116" i="1"/>
  <c r="BI110" i="1"/>
  <c r="BI99" i="1"/>
  <c r="BI89" i="1"/>
  <c r="BI84" i="1"/>
  <c r="BI83" i="1" s="1"/>
  <c r="BI78" i="1"/>
  <c r="BI74" i="1"/>
  <c r="BI71" i="1"/>
  <c r="BI66" i="1"/>
  <c r="BI63" i="1"/>
  <c r="BI56" i="1"/>
  <c r="BI53" i="1"/>
  <c r="BI40" i="1"/>
  <c r="BI32" i="1" s="1"/>
  <c r="BI37" i="1"/>
  <c r="BI60" i="1" l="1"/>
  <c r="BJ44" i="1"/>
  <c r="BJ19" i="1" s="1"/>
  <c r="BJ17" i="1" s="1"/>
  <c r="BJ15" i="1" s="1"/>
  <c r="AH448" i="9"/>
  <c r="BI70" i="1"/>
  <c r="BI138" i="1"/>
  <c r="BI125" i="1" s="1"/>
  <c r="BI45" i="1"/>
  <c r="BI44" i="1" s="1"/>
  <c r="BI95" i="1"/>
  <c r="BI21" i="1"/>
  <c r="BI60" i="4"/>
  <c r="BI57" i="4"/>
  <c r="BI56" i="4"/>
  <c r="BI67" i="4"/>
  <c r="BI54" i="4"/>
  <c r="BI14" i="5"/>
  <c r="BI14" i="4"/>
  <c r="CJ25" i="4"/>
  <c r="BI14" i="8"/>
  <c r="BI39" i="8"/>
  <c r="BI25" i="8" s="1"/>
  <c r="CJ60" i="4"/>
  <c r="CJ59" i="4"/>
  <c r="CJ58" i="4"/>
  <c r="CJ57" i="4"/>
  <c r="CJ56" i="4"/>
  <c r="CJ55" i="4"/>
  <c r="CJ54" i="4"/>
  <c r="CJ14" i="4"/>
  <c r="CJ14" i="5"/>
  <c r="BI27" i="8"/>
  <c r="BI25" i="4"/>
  <c r="BH43" i="4"/>
  <c r="BH40" i="4"/>
  <c r="BH37" i="4"/>
  <c r="BH32" i="4"/>
  <c r="BH27" i="4"/>
  <c r="BH21" i="4"/>
  <c r="BH16" i="4"/>
  <c r="CK16" i="5" l="1"/>
  <c r="AI12" i="9"/>
  <c r="AI16" i="9" s="1"/>
  <c r="AI444" i="9" s="1"/>
  <c r="BI19" i="1"/>
  <c r="BI17" i="1" s="1"/>
  <c r="BI52" i="4"/>
  <c r="BJ12" i="1"/>
  <c r="BI12" i="4"/>
  <c r="CJ52" i="4"/>
  <c r="CJ12" i="4"/>
  <c r="BH25" i="4"/>
  <c r="BH14" i="4"/>
  <c r="CK14" i="4" l="1"/>
  <c r="AI448" i="9"/>
  <c r="BJ10" i="1"/>
  <c r="BI15" i="1"/>
  <c r="BH12" i="4"/>
  <c r="BH71" i="4"/>
  <c r="BH70" i="4"/>
  <c r="BH69" i="4"/>
  <c r="BH51" i="4"/>
  <c r="BH66" i="4" s="1"/>
  <c r="BH60" i="4"/>
  <c r="BH59" i="4"/>
  <c r="BH58" i="4"/>
  <c r="BH57" i="4"/>
  <c r="BH56" i="4"/>
  <c r="BH55" i="4"/>
  <c r="BH31" i="5"/>
  <c r="BH23" i="5"/>
  <c r="BH20" i="5"/>
  <c r="BH18" i="5"/>
  <c r="BH16" i="5"/>
  <c r="AJ12" i="9" l="1"/>
  <c r="AJ16" i="9" s="1"/>
  <c r="AJ444" i="9" s="1"/>
  <c r="BI12" i="1"/>
  <c r="BH67" i="4"/>
  <c r="BH14" i="5"/>
  <c r="BH54" i="4"/>
  <c r="BH52" i="4" s="1"/>
  <c r="AJ448" i="9" l="1"/>
  <c r="BI10" i="1"/>
  <c r="BH57" i="8"/>
  <c r="BH54" i="8"/>
  <c r="BH51" i="8"/>
  <c r="BH48" i="8"/>
  <c r="BH45" i="8"/>
  <c r="BH42" i="8"/>
  <c r="BH41" i="8"/>
  <c r="BH40" i="8"/>
  <c r="BH36" i="8"/>
  <c r="BH33" i="8"/>
  <c r="BH30" i="8"/>
  <c r="BH27" i="8"/>
  <c r="BH20" i="8"/>
  <c r="BH16" i="8"/>
  <c r="AK12" i="9" l="1"/>
  <c r="AK16" i="9" s="1"/>
  <c r="AK444" i="9" s="1"/>
  <c r="BH14" i="8"/>
  <c r="BH28" i="8"/>
  <c r="BH39" i="8"/>
  <c r="BH25" i="8" s="1"/>
  <c r="CK17" i="8"/>
  <c r="AK448" i="9" l="1"/>
  <c r="BH160" i="1"/>
  <c r="BH155" i="1"/>
  <c r="BH150" i="1"/>
  <c r="BH139" i="1"/>
  <c r="BH131" i="1"/>
  <c r="BH116" i="1"/>
  <c r="BH110" i="1"/>
  <c r="BH99" i="1"/>
  <c r="BH89" i="1"/>
  <c r="BH84" i="1"/>
  <c r="BH78" i="1"/>
  <c r="BH74" i="1"/>
  <c r="BH71" i="1"/>
  <c r="BH66" i="1"/>
  <c r="BH63" i="1"/>
  <c r="BH56" i="1"/>
  <c r="BH53" i="1"/>
  <c r="BH40" i="1"/>
  <c r="BH37" i="1"/>
  <c r="BH32" i="1" s="1"/>
  <c r="AL12" i="9" l="1"/>
  <c r="AL16" i="9" s="1"/>
  <c r="AL444" i="9" s="1"/>
  <c r="BH45" i="1"/>
  <c r="BH70" i="1"/>
  <c r="BH138" i="1"/>
  <c r="BH125" i="1" s="1"/>
  <c r="BH21" i="1"/>
  <c r="BH60" i="1"/>
  <c r="BH44" i="1" s="1"/>
  <c r="BH95" i="1"/>
  <c r="BH83" i="1"/>
  <c r="BG71" i="4"/>
  <c r="BG70" i="4"/>
  <c r="BG69" i="4"/>
  <c r="BG51" i="4"/>
  <c r="BG66" i="4" s="1"/>
  <c r="BG43" i="4"/>
  <c r="BG60" i="4" s="1"/>
  <c r="BG40" i="4"/>
  <c r="BG59" i="4" s="1"/>
  <c r="BG37" i="4"/>
  <c r="BG58" i="4" s="1"/>
  <c r="BG32" i="4"/>
  <c r="BG27" i="4"/>
  <c r="BG21" i="4"/>
  <c r="BG55" i="4" s="1"/>
  <c r="BG16" i="4"/>
  <c r="BG54" i="4" s="1"/>
  <c r="BG31" i="5"/>
  <c r="BG23" i="5"/>
  <c r="BG20" i="5"/>
  <c r="BG18" i="5"/>
  <c r="BG16" i="5"/>
  <c r="BG160" i="1"/>
  <c r="BG155" i="1"/>
  <c r="BG150" i="1"/>
  <c r="BG139" i="1"/>
  <c r="BG131" i="1"/>
  <c r="BG116" i="1"/>
  <c r="BG110" i="1"/>
  <c r="BG99" i="1"/>
  <c r="BG89" i="1"/>
  <c r="BG84" i="1"/>
  <c r="BG83" i="1" s="1"/>
  <c r="BG78" i="1"/>
  <c r="BG74" i="1"/>
  <c r="BG71" i="1"/>
  <c r="BG66" i="1"/>
  <c r="BG63" i="1"/>
  <c r="BG56" i="1"/>
  <c r="BG53" i="1"/>
  <c r="BG40" i="1"/>
  <c r="BG37" i="1"/>
  <c r="AL448" i="9" l="1"/>
  <c r="BH19" i="1"/>
  <c r="BG60" i="1"/>
  <c r="BG32" i="1"/>
  <c r="BG21" i="1" s="1"/>
  <c r="BG70" i="1"/>
  <c r="BG57" i="4"/>
  <c r="BG67" i="4"/>
  <c r="BG14" i="5"/>
  <c r="BG14" i="4"/>
  <c r="BG95" i="1"/>
  <c r="BG138" i="1"/>
  <c r="BG125" i="1" s="1"/>
  <c r="BG25" i="4"/>
  <c r="BG56" i="4"/>
  <c r="BG45" i="1"/>
  <c r="BG44" i="1" s="1"/>
  <c r="BG57" i="8"/>
  <c r="BG54" i="8"/>
  <c r="BG51" i="8"/>
  <c r="BG48" i="8"/>
  <c r="BG45" i="8"/>
  <c r="BG42" i="8"/>
  <c r="BG41" i="8"/>
  <c r="BG40" i="8"/>
  <c r="BG36" i="8"/>
  <c r="BG33" i="8"/>
  <c r="BG30" i="8"/>
  <c r="BG20" i="8"/>
  <c r="BG16" i="8"/>
  <c r="BG14" i="8" s="1"/>
  <c r="AM12" i="9" l="1"/>
  <c r="AM16" i="9" s="1"/>
  <c r="AM444" i="9" s="1"/>
  <c r="BG19" i="1"/>
  <c r="BH17" i="1"/>
  <c r="BG52" i="4"/>
  <c r="BG12" i="4"/>
  <c r="BG17" i="1"/>
  <c r="BG28" i="8"/>
  <c r="BG39" i="8"/>
  <c r="BG25" i="8" s="1"/>
  <c r="BG27" i="8"/>
  <c r="AM448" i="9" l="1"/>
  <c r="BH15" i="1"/>
  <c r="BH12" i="1"/>
  <c r="BG15" i="1"/>
  <c r="BF160" i="1"/>
  <c r="BF155" i="1"/>
  <c r="BF150" i="1"/>
  <c r="BF139" i="1"/>
  <c r="BF131" i="1"/>
  <c r="BF116" i="1"/>
  <c r="BF110" i="1"/>
  <c r="BF99" i="1"/>
  <c r="BF89" i="1"/>
  <c r="BF84" i="1"/>
  <c r="BF83" i="1" s="1"/>
  <c r="BF78" i="1"/>
  <c r="BF74" i="1"/>
  <c r="BF71" i="1"/>
  <c r="BF66" i="1"/>
  <c r="BF63" i="1"/>
  <c r="BF56" i="1"/>
  <c r="BF45" i="1" s="1"/>
  <c r="BF53" i="1"/>
  <c r="BF40" i="1"/>
  <c r="BF37" i="1"/>
  <c r="BF31" i="5"/>
  <c r="BF23" i="5"/>
  <c r="BF20" i="5"/>
  <c r="BF18" i="5"/>
  <c r="BF16" i="5"/>
  <c r="BF71" i="4"/>
  <c r="BF70" i="4"/>
  <c r="BF69" i="4"/>
  <c r="BF51" i="4"/>
  <c r="BF66" i="4" s="1"/>
  <c r="BF43" i="4"/>
  <c r="BF60" i="4" s="1"/>
  <c r="BF40" i="4"/>
  <c r="BF59" i="4" s="1"/>
  <c r="BF37" i="4"/>
  <c r="BF58" i="4" s="1"/>
  <c r="BF32" i="4"/>
  <c r="BF27" i="4"/>
  <c r="BF21" i="4"/>
  <c r="BF55" i="4" s="1"/>
  <c r="BF16" i="4"/>
  <c r="AN12" i="9" l="1"/>
  <c r="AN16" i="9" s="1"/>
  <c r="AN444" i="9" s="1"/>
  <c r="BH10" i="1"/>
  <c r="BF60" i="1"/>
  <c r="BF70" i="1"/>
  <c r="BF44" i="1" s="1"/>
  <c r="BG12" i="1"/>
  <c r="BF57" i="4"/>
  <c r="BF54" i="4"/>
  <c r="BF14" i="5"/>
  <c r="BF25" i="4"/>
  <c r="BF138" i="1"/>
  <c r="BF125" i="1" s="1"/>
  <c r="BF67" i="4"/>
  <c r="BF14" i="4"/>
  <c r="BF32" i="1"/>
  <c r="BF21" i="1" s="1"/>
  <c r="BF56" i="4"/>
  <c r="BF95" i="1"/>
  <c r="BF57" i="8"/>
  <c r="BF54" i="8"/>
  <c r="BF51" i="8"/>
  <c r="BF48" i="8"/>
  <c r="BF45" i="8"/>
  <c r="BF42" i="8"/>
  <c r="BF41" i="8"/>
  <c r="BF28" i="8" s="1"/>
  <c r="BF40" i="8"/>
  <c r="BF27" i="8" s="1"/>
  <c r="BF36" i="8"/>
  <c r="BF33" i="8"/>
  <c r="BF30" i="8"/>
  <c r="BF20" i="8"/>
  <c r="BF16" i="8"/>
  <c r="AN448" i="9" l="1"/>
  <c r="BF19" i="1"/>
  <c r="BF52" i="4"/>
  <c r="BF14" i="8"/>
  <c r="BG10" i="1"/>
  <c r="BF12" i="4"/>
  <c r="BF17" i="1"/>
  <c r="BF39" i="8"/>
  <c r="BF25" i="8"/>
  <c r="BE71" i="4"/>
  <c r="BE70" i="4"/>
  <c r="BE69" i="4"/>
  <c r="BE51" i="4"/>
  <c r="BE66" i="4" s="1"/>
  <c r="BE43" i="4"/>
  <c r="BE60" i="4" s="1"/>
  <c r="BE40" i="4"/>
  <c r="BE59" i="4" s="1"/>
  <c r="BE37" i="4"/>
  <c r="BE58" i="4" s="1"/>
  <c r="BE32" i="4"/>
  <c r="BE27" i="4"/>
  <c r="BE21" i="4"/>
  <c r="BE55" i="4" s="1"/>
  <c r="BE16" i="4"/>
  <c r="BE31" i="5"/>
  <c r="BE23" i="5"/>
  <c r="BE20" i="5"/>
  <c r="BE18" i="5"/>
  <c r="BE16" i="5"/>
  <c r="BE160" i="1"/>
  <c r="BE155" i="1"/>
  <c r="BE150" i="1"/>
  <c r="BE139" i="1"/>
  <c r="BE131" i="1"/>
  <c r="BE116" i="1"/>
  <c r="BE110" i="1"/>
  <c r="BE99" i="1"/>
  <c r="BE89" i="1"/>
  <c r="BE84" i="1"/>
  <c r="BE83" i="1" s="1"/>
  <c r="BE78" i="1"/>
  <c r="BE74" i="1"/>
  <c r="BE71" i="1"/>
  <c r="BE70" i="1" s="1"/>
  <c r="BE66" i="1"/>
  <c r="BE63" i="1"/>
  <c r="BE56" i="1"/>
  <c r="BE53" i="1"/>
  <c r="BE40" i="1"/>
  <c r="BE37" i="1"/>
  <c r="AO12" i="9" l="1"/>
  <c r="AO16" i="9" s="1"/>
  <c r="AO444" i="9" s="1"/>
  <c r="BE60" i="1"/>
  <c r="BE14" i="4"/>
  <c r="BE138" i="1"/>
  <c r="BE125" i="1" s="1"/>
  <c r="BF15" i="1"/>
  <c r="BE56" i="4"/>
  <c r="BE25" i="4"/>
  <c r="BE12" i="4" s="1"/>
  <c r="BE45" i="1"/>
  <c r="BE44" i="1" s="1"/>
  <c r="BE54" i="4"/>
  <c r="BE67" i="4"/>
  <c r="BE57" i="4"/>
  <c r="BE32" i="1"/>
  <c r="BE21" i="1" s="1"/>
  <c r="BE95" i="1"/>
  <c r="BE14" i="5"/>
  <c r="BE57" i="8"/>
  <c r="BE54" i="8"/>
  <c r="BE51" i="8"/>
  <c r="BE48" i="8"/>
  <c r="BE45" i="8"/>
  <c r="BE42" i="8"/>
  <c r="BE41" i="8"/>
  <c r="BE28" i="8" s="1"/>
  <c r="BE40" i="8"/>
  <c r="BE27" i="8" s="1"/>
  <c r="BE36" i="8"/>
  <c r="BE33" i="8"/>
  <c r="BE30" i="8"/>
  <c r="BE20" i="8"/>
  <c r="BE16" i="8"/>
  <c r="AO448" i="9" l="1"/>
  <c r="BF12" i="1"/>
  <c r="BE19" i="1"/>
  <c r="BE14" i="8"/>
  <c r="BE52" i="4"/>
  <c r="BE39" i="8"/>
  <c r="BE25" i="8" s="1"/>
  <c r="AP12" i="9" l="1"/>
  <c r="AP16" i="9" s="1"/>
  <c r="AP444" i="9" s="1"/>
  <c r="BF10" i="1"/>
  <c r="BE17" i="1"/>
  <c r="BD71" i="4"/>
  <c r="BD70" i="4"/>
  <c r="BD69" i="4"/>
  <c r="BD51" i="4"/>
  <c r="BD66" i="4" s="1"/>
  <c r="BD43" i="4"/>
  <c r="BD60" i="4" s="1"/>
  <c r="BD40" i="4"/>
  <c r="BD59" i="4" s="1"/>
  <c r="BD37" i="4"/>
  <c r="BD58" i="4" s="1"/>
  <c r="BD32" i="4"/>
  <c r="BD27" i="4"/>
  <c r="BD21" i="4"/>
  <c r="BD55" i="4" s="1"/>
  <c r="BD16" i="4"/>
  <c r="BD31" i="5"/>
  <c r="BD23" i="5"/>
  <c r="BD20" i="5"/>
  <c r="BD18" i="5"/>
  <c r="BD16" i="5"/>
  <c r="BD160" i="1"/>
  <c r="BD155" i="1"/>
  <c r="BD150" i="1"/>
  <c r="BD139" i="1"/>
  <c r="BD131" i="1"/>
  <c r="BD116" i="1"/>
  <c r="BD110" i="1"/>
  <c r="BD99" i="1"/>
  <c r="BD89" i="1"/>
  <c r="BD84" i="1"/>
  <c r="BD78" i="1"/>
  <c r="BD74" i="1"/>
  <c r="BD71" i="1"/>
  <c r="BD66" i="1"/>
  <c r="BD63" i="1"/>
  <c r="BD56" i="1"/>
  <c r="BD53" i="1"/>
  <c r="BD40" i="1"/>
  <c r="BD37" i="1"/>
  <c r="AP448" i="9" l="1"/>
  <c r="BD60" i="1"/>
  <c r="BE15" i="1"/>
  <c r="BD138" i="1"/>
  <c r="BD125" i="1" s="1"/>
  <c r="BD45" i="1"/>
  <c r="BD56" i="4"/>
  <c r="BD67" i="4"/>
  <c r="BD32" i="1"/>
  <c r="BD21" i="1" s="1"/>
  <c r="BD83" i="1"/>
  <c r="BD95" i="1"/>
  <c r="BD14" i="5"/>
  <c r="BD25" i="4"/>
  <c r="BD57" i="4"/>
  <c r="BD70" i="1"/>
  <c r="BD14" i="4"/>
  <c r="BD54" i="4"/>
  <c r="BD57" i="8"/>
  <c r="BD54" i="8"/>
  <c r="BD51" i="8"/>
  <c r="BD48" i="8"/>
  <c r="BD45" i="8"/>
  <c r="BD42" i="8"/>
  <c r="BD41" i="8"/>
  <c r="BD28" i="8" s="1"/>
  <c r="BD40" i="8"/>
  <c r="BD36" i="8"/>
  <c r="BD33" i="8"/>
  <c r="BD30" i="8"/>
  <c r="BD20" i="8"/>
  <c r="BD16" i="8"/>
  <c r="AQ12" i="9" l="1"/>
  <c r="AQ16" i="9" s="1"/>
  <c r="AQ444" i="9" s="1"/>
  <c r="BD44" i="1"/>
  <c r="BD19" i="1" s="1"/>
  <c r="BD17" i="1" s="1"/>
  <c r="BE12" i="1"/>
  <c r="BD14" i="8"/>
  <c r="BD52" i="4"/>
  <c r="BD12" i="4"/>
  <c r="BD39" i="8"/>
  <c r="BD25" i="8" s="1"/>
  <c r="BD27" i="8"/>
  <c r="AQ448" i="9" l="1"/>
  <c r="BE10" i="1"/>
  <c r="BD15" i="1"/>
  <c r="AR12" i="9" l="1"/>
  <c r="AR16" i="9" s="1"/>
  <c r="AR444" i="9" s="1"/>
  <c r="BD12" i="1"/>
  <c r="AR448" i="9" l="1"/>
  <c r="BD10" i="1"/>
  <c r="AS12" i="9" l="1"/>
  <c r="AS16" i="9" s="1"/>
  <c r="AS444" i="9" s="1"/>
  <c r="BC71" i="4"/>
  <c r="BC70" i="4"/>
  <c r="BC69" i="4"/>
  <c r="BC51" i="4"/>
  <c r="BC66" i="4" s="1"/>
  <c r="BC43" i="4"/>
  <c r="BC60" i="4" s="1"/>
  <c r="BC40" i="4"/>
  <c r="BC59" i="4" s="1"/>
  <c r="BC37" i="4"/>
  <c r="BC32" i="4"/>
  <c r="BC27" i="4"/>
  <c r="BC21" i="4"/>
  <c r="BC55" i="4" s="1"/>
  <c r="BC16" i="4"/>
  <c r="BC31" i="5"/>
  <c r="BC23" i="5"/>
  <c r="BC20" i="5"/>
  <c r="BC18" i="5"/>
  <c r="BC16" i="5"/>
  <c r="AS448" i="9" l="1"/>
  <c r="BC14" i="4"/>
  <c r="BC57" i="4"/>
  <c r="BC56" i="4"/>
  <c r="BC67" i="4"/>
  <c r="BC25" i="4"/>
  <c r="BC54" i="4"/>
  <c r="BC58" i="4"/>
  <c r="BC14" i="5"/>
  <c r="AT12" i="9" l="1"/>
  <c r="AT16" i="9" s="1"/>
  <c r="AT444" i="9" s="1"/>
  <c r="BC12" i="4"/>
  <c r="BC52" i="4"/>
  <c r="BC160" i="1"/>
  <c r="BC155" i="1"/>
  <c r="BC150" i="1"/>
  <c r="BC139" i="1"/>
  <c r="BC131" i="1"/>
  <c r="BC116" i="1"/>
  <c r="BC110" i="1"/>
  <c r="BC99" i="1"/>
  <c r="BC89" i="1"/>
  <c r="BC84" i="1"/>
  <c r="BC78" i="1"/>
  <c r="BC74" i="1"/>
  <c r="BC71" i="1"/>
  <c r="BC66" i="1"/>
  <c r="BC63" i="1"/>
  <c r="BC56" i="1"/>
  <c r="BC53" i="1"/>
  <c r="BC40" i="1"/>
  <c r="BC37" i="1"/>
  <c r="AT448" i="9" l="1"/>
  <c r="BC45" i="1"/>
  <c r="BC83" i="1"/>
  <c r="BC60" i="1"/>
  <c r="BC138" i="1"/>
  <c r="BC125" i="1" s="1"/>
  <c r="BC32" i="1"/>
  <c r="BC21" i="1" s="1"/>
  <c r="BC95" i="1"/>
  <c r="BC70" i="1"/>
  <c r="BC57" i="8"/>
  <c r="BC54" i="8"/>
  <c r="BC51" i="8"/>
  <c r="BC48" i="8"/>
  <c r="BC45" i="8"/>
  <c r="BC42" i="8"/>
  <c r="BC41" i="8"/>
  <c r="BC28" i="8" s="1"/>
  <c r="BC40" i="8"/>
  <c r="BC27" i="8" s="1"/>
  <c r="BC36" i="8"/>
  <c r="BC33" i="8"/>
  <c r="BC30" i="8"/>
  <c r="BC20" i="8"/>
  <c r="BC16" i="8"/>
  <c r="AU12" i="9" l="1"/>
  <c r="AU16" i="9" s="1"/>
  <c r="AU444" i="9" s="1"/>
  <c r="BC44" i="1"/>
  <c r="BC19" i="1" s="1"/>
  <c r="BC17" i="1" s="1"/>
  <c r="BC14" i="8"/>
  <c r="BC39" i="8"/>
  <c r="BC25" i="8" s="1"/>
  <c r="AZ20" i="5"/>
  <c r="AZ18" i="5"/>
  <c r="AZ16" i="5"/>
  <c r="AZ23" i="5"/>
  <c r="AZ31" i="5"/>
  <c r="AU448" i="9" l="1"/>
  <c r="BC15" i="1"/>
  <c r="AZ14" i="5"/>
  <c r="AV12" i="9" l="1"/>
  <c r="AV16" i="9" s="1"/>
  <c r="AV444" i="9" s="1"/>
  <c r="BC12" i="1"/>
  <c r="BB57" i="8"/>
  <c r="BB54" i="8"/>
  <c r="BB51" i="8"/>
  <c r="BB48" i="8"/>
  <c r="BB45" i="8"/>
  <c r="BB42" i="8"/>
  <c r="BB41" i="8"/>
  <c r="BB28" i="8" s="1"/>
  <c r="BB40" i="8"/>
  <c r="BB36" i="8"/>
  <c r="BB33" i="8"/>
  <c r="BB30" i="8"/>
  <c r="BB20" i="8"/>
  <c r="BB16" i="8"/>
  <c r="AV448" i="9" l="1"/>
  <c r="BC10" i="1"/>
  <c r="BB39" i="8"/>
  <c r="BB25" i="8" s="1"/>
  <c r="BB14" i="8"/>
  <c r="BB27" i="8"/>
  <c r="AW12" i="9" l="1"/>
  <c r="AW16" i="9" s="1"/>
  <c r="AW444" i="9" s="1"/>
  <c r="BB71" i="4"/>
  <c r="BB70" i="4"/>
  <c r="BB69" i="4"/>
  <c r="BB51" i="4"/>
  <c r="BB66" i="4" s="1"/>
  <c r="BB43" i="4"/>
  <c r="BB60" i="4" s="1"/>
  <c r="BB40" i="4"/>
  <c r="BB59" i="4" s="1"/>
  <c r="BB37" i="4"/>
  <c r="BB58" i="4" s="1"/>
  <c r="BB32" i="4"/>
  <c r="BB57" i="4" s="1"/>
  <c r="BB27" i="4"/>
  <c r="BB21" i="4"/>
  <c r="BB55" i="4" s="1"/>
  <c r="BB16" i="4"/>
  <c r="BB31" i="5"/>
  <c r="BB23" i="5"/>
  <c r="BB20" i="5"/>
  <c r="BB18" i="5"/>
  <c r="BB16" i="5"/>
  <c r="BB160" i="1"/>
  <c r="BB155" i="1"/>
  <c r="BB150" i="1"/>
  <c r="BB139" i="1"/>
  <c r="BB131" i="1"/>
  <c r="BB116" i="1"/>
  <c r="BB110" i="1"/>
  <c r="BB99" i="1"/>
  <c r="BB89" i="1"/>
  <c r="BB84" i="1"/>
  <c r="BB78" i="1"/>
  <c r="BB74" i="1"/>
  <c r="BB71" i="1"/>
  <c r="BB66" i="1"/>
  <c r="BB63" i="1"/>
  <c r="BB56" i="1"/>
  <c r="BB53" i="1"/>
  <c r="BB40" i="1"/>
  <c r="BB37" i="1"/>
  <c r="AW448" i="9" l="1"/>
  <c r="BB14" i="4"/>
  <c r="BB67" i="4"/>
  <c r="BB56" i="4"/>
  <c r="BB45" i="1"/>
  <c r="BB60" i="1"/>
  <c r="BB138" i="1"/>
  <c r="BB125" i="1" s="1"/>
  <c r="BB32" i="1"/>
  <c r="BB21" i="1" s="1"/>
  <c r="BB14" i="5"/>
  <c r="BB95" i="1"/>
  <c r="BB54" i="4"/>
  <c r="BB83" i="1"/>
  <c r="BB25" i="4"/>
  <c r="BB70" i="1"/>
  <c r="AX12" i="9" l="1"/>
  <c r="AX16" i="9" s="1"/>
  <c r="AX444" i="9" s="1"/>
  <c r="BB52" i="4"/>
  <c r="BB12" i="4"/>
  <c r="BB44" i="1"/>
  <c r="BB19" i="1" s="1"/>
  <c r="BB17" i="1" s="1"/>
  <c r="AY41" i="8"/>
  <c r="AY28" i="8" s="1"/>
  <c r="AU41" i="8"/>
  <c r="AU28" i="8" s="1"/>
  <c r="AQ41" i="8"/>
  <c r="AQ28" i="8" s="1"/>
  <c r="AI41" i="8"/>
  <c r="AI28" i="8" s="1"/>
  <c r="AA41" i="8"/>
  <c r="AA28" i="8" s="1"/>
  <c r="S41" i="8"/>
  <c r="S28" i="8" s="1"/>
  <c r="O41" i="8"/>
  <c r="O28" i="8" s="1"/>
  <c r="K41" i="8"/>
  <c r="K28" i="8" s="1"/>
  <c r="C41" i="8"/>
  <c r="C28" i="8" s="1"/>
  <c r="BA57" i="8"/>
  <c r="AY57" i="8"/>
  <c r="AW57" i="8"/>
  <c r="AU57" i="8"/>
  <c r="AS57" i="8"/>
  <c r="AQ57" i="8"/>
  <c r="AO57" i="8"/>
  <c r="AM57" i="8"/>
  <c r="AK57" i="8"/>
  <c r="AI57" i="8"/>
  <c r="AG57" i="8"/>
  <c r="AE57" i="8"/>
  <c r="AC57" i="8"/>
  <c r="AA57" i="8"/>
  <c r="Y57" i="8"/>
  <c r="W57" i="8"/>
  <c r="U57" i="8"/>
  <c r="S57" i="8"/>
  <c r="Q57" i="8"/>
  <c r="O57" i="8"/>
  <c r="M57" i="8"/>
  <c r="K57" i="8"/>
  <c r="I57" i="8"/>
  <c r="G57" i="8"/>
  <c r="E57" i="8"/>
  <c r="C57" i="8"/>
  <c r="AZ57" i="8"/>
  <c r="AX57" i="8"/>
  <c r="AV57" i="8"/>
  <c r="AT57" i="8"/>
  <c r="AR57" i="8"/>
  <c r="AP57" i="8"/>
  <c r="AN57" i="8"/>
  <c r="AL57" i="8"/>
  <c r="AJ57" i="8"/>
  <c r="AH57" i="8"/>
  <c r="AF57" i="8"/>
  <c r="AD57" i="8"/>
  <c r="AB57" i="8"/>
  <c r="Z57" i="8"/>
  <c r="X57" i="8"/>
  <c r="V57" i="8"/>
  <c r="T57" i="8"/>
  <c r="R57" i="8"/>
  <c r="P57" i="8"/>
  <c r="N57" i="8"/>
  <c r="L57" i="8"/>
  <c r="J57" i="8"/>
  <c r="H57" i="8"/>
  <c r="F57" i="8"/>
  <c r="D57" i="8"/>
  <c r="AZ54" i="8"/>
  <c r="AX54" i="8"/>
  <c r="AV54" i="8"/>
  <c r="AT54" i="8"/>
  <c r="AR54" i="8"/>
  <c r="AP54" i="8"/>
  <c r="AN54" i="8"/>
  <c r="AL54" i="8"/>
  <c r="AJ54" i="8"/>
  <c r="AH54" i="8"/>
  <c r="AF54" i="8"/>
  <c r="AD54" i="8"/>
  <c r="AB54" i="8"/>
  <c r="Z54" i="8"/>
  <c r="X54" i="8"/>
  <c r="V54" i="8"/>
  <c r="T54" i="8"/>
  <c r="R54" i="8"/>
  <c r="P54" i="8"/>
  <c r="N54" i="8"/>
  <c r="L54" i="8"/>
  <c r="J54" i="8"/>
  <c r="H54" i="8"/>
  <c r="F54" i="8"/>
  <c r="D54" i="8"/>
  <c r="BA54" i="8"/>
  <c r="AY54" i="8"/>
  <c r="AW54" i="8"/>
  <c r="AU54" i="8"/>
  <c r="AS54" i="8"/>
  <c r="AQ54" i="8"/>
  <c r="AO54" i="8"/>
  <c r="AM54" i="8"/>
  <c r="AK54" i="8"/>
  <c r="AI54" i="8"/>
  <c r="AG54" i="8"/>
  <c r="AE54" i="8"/>
  <c r="AC54" i="8"/>
  <c r="AA54" i="8"/>
  <c r="Y54" i="8"/>
  <c r="W54" i="8"/>
  <c r="U54" i="8"/>
  <c r="S54" i="8"/>
  <c r="Q54" i="8"/>
  <c r="O54" i="8"/>
  <c r="M54" i="8"/>
  <c r="K54" i="8"/>
  <c r="I54" i="8"/>
  <c r="G54" i="8"/>
  <c r="E54" i="8"/>
  <c r="C54" i="8"/>
  <c r="AW41" i="8"/>
  <c r="AG41" i="8"/>
  <c r="AC41" i="8"/>
  <c r="Y41" i="8"/>
  <c r="U41" i="8"/>
  <c r="Q41" i="8"/>
  <c r="M41" i="8"/>
  <c r="I41" i="8"/>
  <c r="E41" i="8"/>
  <c r="BA51" i="8"/>
  <c r="AY51" i="8"/>
  <c r="AW51" i="8"/>
  <c r="AU51" i="8"/>
  <c r="AS51" i="8"/>
  <c r="AQ51" i="8"/>
  <c r="AO51" i="8"/>
  <c r="AM51" i="8"/>
  <c r="AK51" i="8"/>
  <c r="AI51" i="8"/>
  <c r="AG51" i="8"/>
  <c r="AE51" i="8"/>
  <c r="AC51" i="8"/>
  <c r="AA51" i="8"/>
  <c r="Y51" i="8"/>
  <c r="W51" i="8"/>
  <c r="U51" i="8"/>
  <c r="S51" i="8"/>
  <c r="Q51" i="8"/>
  <c r="O51" i="8"/>
  <c r="M51" i="8"/>
  <c r="K51" i="8"/>
  <c r="I51" i="8"/>
  <c r="G51" i="8"/>
  <c r="E51" i="8"/>
  <c r="C51" i="8"/>
  <c r="AZ51" i="8"/>
  <c r="AX51" i="8"/>
  <c r="AV51" i="8"/>
  <c r="AT51" i="8"/>
  <c r="AR51" i="8"/>
  <c r="AP51" i="8"/>
  <c r="AN51" i="8"/>
  <c r="AL51" i="8"/>
  <c r="AJ51" i="8"/>
  <c r="AH51" i="8"/>
  <c r="AF51" i="8"/>
  <c r="AD51" i="8"/>
  <c r="AB51" i="8"/>
  <c r="Z51" i="8"/>
  <c r="X51" i="8"/>
  <c r="V51" i="8"/>
  <c r="T51" i="8"/>
  <c r="R51" i="8"/>
  <c r="P51" i="8"/>
  <c r="N51" i="8"/>
  <c r="L51" i="8"/>
  <c r="J51" i="8"/>
  <c r="H51" i="8"/>
  <c r="F51" i="8"/>
  <c r="D51" i="8"/>
  <c r="AT41" i="8"/>
  <c r="AT28" i="8" s="1"/>
  <c r="AP41" i="8"/>
  <c r="AP28" i="8" s="1"/>
  <c r="AL41" i="8"/>
  <c r="AL28" i="8" s="1"/>
  <c r="AD41" i="8"/>
  <c r="AD28" i="8" s="1"/>
  <c r="V41" i="8"/>
  <c r="V28" i="8" s="1"/>
  <c r="J41" i="8"/>
  <c r="J28" i="8" s="1"/>
  <c r="F41" i="8"/>
  <c r="F28" i="8" s="1"/>
  <c r="AZ48" i="8"/>
  <c r="AX48" i="8"/>
  <c r="AV48" i="8"/>
  <c r="AT48" i="8"/>
  <c r="AR48" i="8"/>
  <c r="AP48" i="8"/>
  <c r="AN48" i="8"/>
  <c r="AL48" i="8"/>
  <c r="AJ48" i="8"/>
  <c r="AH48" i="8"/>
  <c r="AF48" i="8"/>
  <c r="AD48" i="8"/>
  <c r="AB48" i="8"/>
  <c r="Z48" i="8"/>
  <c r="X48" i="8"/>
  <c r="V48" i="8"/>
  <c r="T48" i="8"/>
  <c r="R48" i="8"/>
  <c r="P48" i="8"/>
  <c r="N48" i="8"/>
  <c r="L48" i="8"/>
  <c r="J48" i="8"/>
  <c r="H48" i="8"/>
  <c r="F48" i="8"/>
  <c r="D48" i="8"/>
  <c r="BA48" i="8"/>
  <c r="AY48" i="8"/>
  <c r="AW48" i="8"/>
  <c r="AU48" i="8"/>
  <c r="AS48" i="8"/>
  <c r="AQ48" i="8"/>
  <c r="AO48" i="8"/>
  <c r="AM48" i="8"/>
  <c r="AK48" i="8"/>
  <c r="AI48" i="8"/>
  <c r="AG48" i="8"/>
  <c r="AE48" i="8"/>
  <c r="AC48" i="8"/>
  <c r="AA48" i="8"/>
  <c r="Y48" i="8"/>
  <c r="W48" i="8"/>
  <c r="U48" i="8"/>
  <c r="S48" i="8"/>
  <c r="Q48" i="8"/>
  <c r="O48" i="8"/>
  <c r="M48" i="8"/>
  <c r="K48" i="8"/>
  <c r="I48" i="8"/>
  <c r="G48" i="8"/>
  <c r="E48" i="8"/>
  <c r="C48" i="8"/>
  <c r="AY45" i="8"/>
  <c r="AU45" i="8"/>
  <c r="AQ45" i="8"/>
  <c r="AM45" i="8"/>
  <c r="AI45" i="8"/>
  <c r="AE45" i="8"/>
  <c r="AA45" i="8"/>
  <c r="W45" i="8"/>
  <c r="S45" i="8"/>
  <c r="O45" i="8"/>
  <c r="K45" i="8"/>
  <c r="G45" i="8"/>
  <c r="C45" i="8"/>
  <c r="BA45" i="8"/>
  <c r="AZ45" i="8"/>
  <c r="AX45" i="8"/>
  <c r="AW45" i="8"/>
  <c r="AV45" i="8"/>
  <c r="AT45" i="8"/>
  <c r="AS45" i="8"/>
  <c r="AR45" i="8"/>
  <c r="AP45" i="8"/>
  <c r="AO45" i="8"/>
  <c r="AN45" i="8"/>
  <c r="AL45" i="8"/>
  <c r="AK45" i="8"/>
  <c r="AJ45" i="8"/>
  <c r="AH45" i="8"/>
  <c r="AG45" i="8"/>
  <c r="AF45" i="8"/>
  <c r="AD45" i="8"/>
  <c r="AC45" i="8"/>
  <c r="AB45" i="8"/>
  <c r="Z45" i="8"/>
  <c r="Y45" i="8"/>
  <c r="X45" i="8"/>
  <c r="V45" i="8"/>
  <c r="U45" i="8"/>
  <c r="T45" i="8"/>
  <c r="R45" i="8"/>
  <c r="Q45" i="8"/>
  <c r="P45" i="8"/>
  <c r="N45" i="8"/>
  <c r="M45" i="8"/>
  <c r="L45" i="8"/>
  <c r="J45" i="8"/>
  <c r="I45" i="8"/>
  <c r="H45" i="8"/>
  <c r="F45" i="8"/>
  <c r="E45" i="8"/>
  <c r="D45" i="8"/>
  <c r="AF41" i="8"/>
  <c r="AF28" i="8" s="1"/>
  <c r="AB41" i="8"/>
  <c r="AB28" i="8" s="1"/>
  <c r="X41" i="8"/>
  <c r="X28" i="8" s="1"/>
  <c r="T41" i="8"/>
  <c r="T28" i="8" s="1"/>
  <c r="P41" i="8"/>
  <c r="P28" i="8" s="1"/>
  <c r="D41" i="8"/>
  <c r="D28" i="8" s="1"/>
  <c r="AZ42" i="8"/>
  <c r="AV42" i="8"/>
  <c r="AR42" i="8"/>
  <c r="AN42" i="8"/>
  <c r="AJ42" i="8"/>
  <c r="AF42" i="8"/>
  <c r="AC42" i="8"/>
  <c r="AB42" i="8"/>
  <c r="X42" i="8"/>
  <c r="T42" i="8"/>
  <c r="P42" i="8"/>
  <c r="M42" i="8"/>
  <c r="L42" i="8"/>
  <c r="H42" i="8"/>
  <c r="D42" i="8"/>
  <c r="BA42" i="8"/>
  <c r="AY42" i="8"/>
  <c r="AX42" i="8"/>
  <c r="AW42" i="8"/>
  <c r="AU42" i="8"/>
  <c r="AT42" i="8"/>
  <c r="AS42" i="8"/>
  <c r="AQ42" i="8"/>
  <c r="AP42" i="8"/>
  <c r="AO42" i="8"/>
  <c r="AM42" i="8"/>
  <c r="AL42" i="8"/>
  <c r="AK42" i="8"/>
  <c r="AI42" i="8"/>
  <c r="AH42" i="8"/>
  <c r="AG42" i="8"/>
  <c r="AE42" i="8"/>
  <c r="AD42" i="8"/>
  <c r="AA42" i="8"/>
  <c r="Z42" i="8"/>
  <c r="Y42" i="8"/>
  <c r="W42" i="8"/>
  <c r="V42" i="8"/>
  <c r="U42" i="8"/>
  <c r="S42" i="8"/>
  <c r="R42" i="8"/>
  <c r="Q42" i="8"/>
  <c r="O42" i="8"/>
  <c r="N42" i="8"/>
  <c r="K42" i="8"/>
  <c r="J42" i="8"/>
  <c r="I42" i="8"/>
  <c r="G42" i="8"/>
  <c r="F42" i="8"/>
  <c r="E42" i="8"/>
  <c r="C42" i="8"/>
  <c r="BA41" i="8"/>
  <c r="AX41" i="8"/>
  <c r="AX28" i="8" s="1"/>
  <c r="AS41" i="8"/>
  <c r="AO41" i="8"/>
  <c r="AM41" i="8"/>
  <c r="AM28" i="8" s="1"/>
  <c r="AK41" i="8"/>
  <c r="AH41" i="8"/>
  <c r="AH28" i="8" s="1"/>
  <c r="AE41" i="8"/>
  <c r="AE28" i="8" s="1"/>
  <c r="Z41" i="8"/>
  <c r="Z28" i="8" s="1"/>
  <c r="W41" i="8"/>
  <c r="W28" i="8" s="1"/>
  <c r="R41" i="8"/>
  <c r="R28" i="8" s="1"/>
  <c r="N41" i="8"/>
  <c r="N28" i="8" s="1"/>
  <c r="L41" i="8"/>
  <c r="L28" i="8" s="1"/>
  <c r="H41" i="8"/>
  <c r="H28" i="8" s="1"/>
  <c r="G41" i="8"/>
  <c r="G28" i="8" s="1"/>
  <c r="AX40" i="8"/>
  <c r="AV40" i="8"/>
  <c r="AR40" i="8"/>
  <c r="AQ40" i="8"/>
  <c r="AQ27" i="8" s="1"/>
  <c r="AL40" i="8"/>
  <c r="AH40" i="8"/>
  <c r="AF40" i="8"/>
  <c r="AB40" i="8"/>
  <c r="AA40" i="8"/>
  <c r="AA27" i="8" s="1"/>
  <c r="V40" i="8"/>
  <c r="R40" i="8"/>
  <c r="P40" i="8"/>
  <c r="L40" i="8"/>
  <c r="K40" i="8"/>
  <c r="K27" i="8" s="1"/>
  <c r="F40" i="8"/>
  <c r="AX36" i="8"/>
  <c r="AV36" i="8"/>
  <c r="AT36" i="8"/>
  <c r="AR36" i="8"/>
  <c r="AP36" i="8"/>
  <c r="AN36" i="8"/>
  <c r="AL36" i="8"/>
  <c r="AH36" i="8"/>
  <c r="AF36" i="8"/>
  <c r="AD36" i="8"/>
  <c r="AB36" i="8"/>
  <c r="Z36" i="8"/>
  <c r="X36" i="8"/>
  <c r="V36" i="8"/>
  <c r="R36" i="8"/>
  <c r="P36" i="8"/>
  <c r="N36" i="8"/>
  <c r="L36" i="8"/>
  <c r="J36" i="8"/>
  <c r="H36" i="8"/>
  <c r="F36" i="8"/>
  <c r="BA36" i="8"/>
  <c r="AZ36" i="8"/>
  <c r="AY36" i="8"/>
  <c r="AW36" i="8"/>
  <c r="AU36" i="8"/>
  <c r="AS36" i="8"/>
  <c r="AQ36" i="8"/>
  <c r="AO36" i="8"/>
  <c r="AM36" i="8"/>
  <c r="AK36" i="8"/>
  <c r="AJ36" i="8"/>
  <c r="AI36" i="8"/>
  <c r="AG36" i="8"/>
  <c r="AE36" i="8"/>
  <c r="AC36" i="8"/>
  <c r="AA36" i="8"/>
  <c r="Y36" i="8"/>
  <c r="W36" i="8"/>
  <c r="U36" i="8"/>
  <c r="T36" i="8"/>
  <c r="S36" i="8"/>
  <c r="Q36" i="8"/>
  <c r="O36" i="8"/>
  <c r="M36" i="8"/>
  <c r="K36" i="8"/>
  <c r="I36" i="8"/>
  <c r="G36" i="8"/>
  <c r="E36" i="8"/>
  <c r="D36" i="8"/>
  <c r="C36" i="8"/>
  <c r="AY33" i="8"/>
  <c r="AW33" i="8"/>
  <c r="AV33" i="8"/>
  <c r="AU33" i="8"/>
  <c r="AS33" i="8"/>
  <c r="AR33" i="8"/>
  <c r="AQ33" i="8"/>
  <c r="AN33" i="8"/>
  <c r="AM33" i="8"/>
  <c r="AI33" i="8"/>
  <c r="AG33" i="8"/>
  <c r="AF33" i="8"/>
  <c r="AE33" i="8"/>
  <c r="AC33" i="8"/>
  <c r="AB33" i="8"/>
  <c r="AA33" i="8"/>
  <c r="X33" i="8"/>
  <c r="W33" i="8"/>
  <c r="S33" i="8"/>
  <c r="Q33" i="8"/>
  <c r="P33" i="8"/>
  <c r="O33" i="8"/>
  <c r="M33" i="8"/>
  <c r="L33" i="8"/>
  <c r="K33" i="8"/>
  <c r="H33" i="8"/>
  <c r="G33" i="8"/>
  <c r="C33" i="8"/>
  <c r="BA33" i="8"/>
  <c r="AZ33" i="8"/>
  <c r="AX33" i="8"/>
  <c r="AT33" i="8"/>
  <c r="AP33" i="8"/>
  <c r="AO33" i="8"/>
  <c r="AL33" i="8"/>
  <c r="AK33" i="8"/>
  <c r="AJ33" i="8"/>
  <c r="AH33" i="8"/>
  <c r="AD33" i="8"/>
  <c r="Z33" i="8"/>
  <c r="Y33" i="8"/>
  <c r="V33" i="8"/>
  <c r="U33" i="8"/>
  <c r="T33" i="8"/>
  <c r="R33" i="8"/>
  <c r="N33" i="8"/>
  <c r="J33" i="8"/>
  <c r="I33" i="8"/>
  <c r="F33" i="8"/>
  <c r="E33" i="8"/>
  <c r="D33" i="8"/>
  <c r="AZ30" i="8"/>
  <c r="AV30" i="8"/>
  <c r="AS30" i="8"/>
  <c r="AR30" i="8"/>
  <c r="AN30" i="8"/>
  <c r="AJ30" i="8"/>
  <c r="AF30" i="8"/>
  <c r="AC30" i="8"/>
  <c r="AB30" i="8"/>
  <c r="X30" i="8"/>
  <c r="T30" i="8"/>
  <c r="P30" i="8"/>
  <c r="M30" i="8"/>
  <c r="L30" i="8"/>
  <c r="H30" i="8"/>
  <c r="D30" i="8"/>
  <c r="BA30" i="8"/>
  <c r="AY30" i="8"/>
  <c r="AX30" i="8"/>
  <c r="AW30" i="8"/>
  <c r="AU30" i="8"/>
  <c r="AT30" i="8"/>
  <c r="AQ30" i="8"/>
  <c r="AP30" i="8"/>
  <c r="AO30" i="8"/>
  <c r="AM30" i="8"/>
  <c r="AL30" i="8"/>
  <c r="AK30" i="8"/>
  <c r="AI30" i="8"/>
  <c r="AH30" i="8"/>
  <c r="AG30" i="8"/>
  <c r="AE30" i="8"/>
  <c r="AD30" i="8"/>
  <c r="AA30" i="8"/>
  <c r="Z30" i="8"/>
  <c r="Y30" i="8"/>
  <c r="W30" i="8"/>
  <c r="V30" i="8"/>
  <c r="U30" i="8"/>
  <c r="S30" i="8"/>
  <c r="R30" i="8"/>
  <c r="Q30" i="8"/>
  <c r="O30" i="8"/>
  <c r="N30" i="8"/>
  <c r="K30" i="8"/>
  <c r="J30" i="8"/>
  <c r="I30" i="8"/>
  <c r="G30" i="8"/>
  <c r="F30" i="8"/>
  <c r="E30" i="8"/>
  <c r="C30" i="8"/>
  <c r="AY20" i="8"/>
  <c r="AS20" i="8"/>
  <c r="AQ20" i="8"/>
  <c r="AM20" i="8"/>
  <c r="AI20" i="8"/>
  <c r="AC20" i="8"/>
  <c r="AA20" i="8"/>
  <c r="W20" i="8"/>
  <c r="S20" i="8"/>
  <c r="M20" i="8"/>
  <c r="K20" i="8"/>
  <c r="G20" i="8"/>
  <c r="C20" i="8"/>
  <c r="AX20" i="8"/>
  <c r="AV20" i="8"/>
  <c r="AT20" i="8"/>
  <c r="AR20" i="8"/>
  <c r="AP20" i="8"/>
  <c r="AN20" i="8"/>
  <c r="AL20" i="8"/>
  <c r="AH20" i="8"/>
  <c r="AF20" i="8"/>
  <c r="AD20" i="8"/>
  <c r="AB20" i="8"/>
  <c r="Z20" i="8"/>
  <c r="X20" i="8"/>
  <c r="V20" i="8"/>
  <c r="R20" i="8"/>
  <c r="P20" i="8"/>
  <c r="N20" i="8"/>
  <c r="L20" i="8"/>
  <c r="J20" i="8"/>
  <c r="H20" i="8"/>
  <c r="F20" i="8"/>
  <c r="BA20" i="8"/>
  <c r="AZ20" i="8"/>
  <c r="AW20" i="8"/>
  <c r="AU20" i="8"/>
  <c r="AO20" i="8"/>
  <c r="AK20" i="8"/>
  <c r="AJ20" i="8"/>
  <c r="AG20" i="8"/>
  <c r="AE20" i="8"/>
  <c r="Y20" i="8"/>
  <c r="U20" i="8"/>
  <c r="T20" i="8"/>
  <c r="Q20" i="8"/>
  <c r="O20" i="8"/>
  <c r="I20" i="8"/>
  <c r="E20" i="8"/>
  <c r="D20" i="8"/>
  <c r="AZ16" i="8"/>
  <c r="AZ14" i="8" s="1"/>
  <c r="AR16" i="8"/>
  <c r="AR14" i="8" s="1"/>
  <c r="AN16" i="8"/>
  <c r="AJ16" i="8"/>
  <c r="AB16" i="8"/>
  <c r="AB14" i="8" s="1"/>
  <c r="X16" i="8"/>
  <c r="T16" i="8"/>
  <c r="T14" i="8" s="1"/>
  <c r="L16" i="8"/>
  <c r="L14" i="8" s="1"/>
  <c r="H16" i="8"/>
  <c r="D16" i="8"/>
  <c r="BA16" i="8"/>
  <c r="AW16" i="8"/>
  <c r="AU16" i="8"/>
  <c r="AT16" i="8"/>
  <c r="AS16" i="8"/>
  <c r="AP16" i="8"/>
  <c r="AO16" i="8"/>
  <c r="AK16" i="8"/>
  <c r="AG16" i="8"/>
  <c r="AG14" i="8" s="1"/>
  <c r="AE16" i="8"/>
  <c r="AE14" i="8" s="1"/>
  <c r="AD16" i="8"/>
  <c r="AC16" i="8"/>
  <c r="Z16" i="8"/>
  <c r="Y16" i="8"/>
  <c r="U16" i="8"/>
  <c r="Q16" i="8"/>
  <c r="O16" i="8"/>
  <c r="N16" i="8"/>
  <c r="M16" i="8"/>
  <c r="J16" i="8"/>
  <c r="I16" i="8"/>
  <c r="E16" i="8"/>
  <c r="AY16" i="8"/>
  <c r="AX16" i="8"/>
  <c r="AV16" i="8"/>
  <c r="AQ16" i="8"/>
  <c r="AM16" i="8"/>
  <c r="AL16" i="8"/>
  <c r="AI16" i="8"/>
  <c r="AH16" i="8"/>
  <c r="AF16" i="8"/>
  <c r="AA16" i="8"/>
  <c r="W16" i="8"/>
  <c r="V16" i="8"/>
  <c r="S16" i="8"/>
  <c r="R16" i="8"/>
  <c r="P16" i="8"/>
  <c r="K16" i="8"/>
  <c r="G16" i="8"/>
  <c r="F16" i="8"/>
  <c r="C16" i="8"/>
  <c r="AX448" i="9" l="1"/>
  <c r="F14" i="8"/>
  <c r="AX14" i="8"/>
  <c r="BB15" i="1"/>
  <c r="L39" i="8"/>
  <c r="AB39" i="8"/>
  <c r="AB25" i="8" s="1"/>
  <c r="R39" i="8"/>
  <c r="R25" i="8" s="1"/>
  <c r="AF39" i="8"/>
  <c r="AF25" i="8" s="1"/>
  <c r="E14" i="8"/>
  <c r="BA14" i="8"/>
  <c r="Q14" i="8"/>
  <c r="D14" i="8"/>
  <c r="V14" i="8"/>
  <c r="AD14" i="8"/>
  <c r="AO14" i="8"/>
  <c r="AU14" i="8"/>
  <c r="AK14" i="8"/>
  <c r="S14" i="8"/>
  <c r="AY14" i="8"/>
  <c r="N14" i="8"/>
  <c r="AP14" i="8"/>
  <c r="G14" i="8"/>
  <c r="AM14" i="8"/>
  <c r="J14" i="8"/>
  <c r="AT14" i="8"/>
  <c r="X14" i="8"/>
  <c r="F39" i="8"/>
  <c r="F25" i="8" s="1"/>
  <c r="V39" i="8"/>
  <c r="V25" i="8" s="1"/>
  <c r="AL39" i="8"/>
  <c r="AL25" i="8" s="1"/>
  <c r="AX39" i="8"/>
  <c r="AX25" i="8" s="1"/>
  <c r="AH39" i="8"/>
  <c r="AH25" i="8" s="1"/>
  <c r="P39" i="8"/>
  <c r="P25" i="8" s="1"/>
  <c r="L25" i="8"/>
  <c r="AH14" i="8"/>
  <c r="U14" i="8"/>
  <c r="H14" i="8"/>
  <c r="Y14" i="8"/>
  <c r="AW14" i="8"/>
  <c r="AJ14" i="8"/>
  <c r="R14" i="8"/>
  <c r="AL14" i="8"/>
  <c r="I14" i="8"/>
  <c r="O14" i="8"/>
  <c r="Z14" i="8"/>
  <c r="AN14" i="8"/>
  <c r="C14" i="8"/>
  <c r="K14" i="8"/>
  <c r="W14" i="8"/>
  <c r="AA14" i="8"/>
  <c r="AI14" i="8"/>
  <c r="AQ14" i="8"/>
  <c r="P14" i="8"/>
  <c r="AF14" i="8"/>
  <c r="AV14" i="8"/>
  <c r="M14" i="8"/>
  <c r="AC14" i="8"/>
  <c r="AS14" i="8"/>
  <c r="AM40" i="8"/>
  <c r="K39" i="8"/>
  <c r="K25" i="8" s="1"/>
  <c r="AQ39" i="8"/>
  <c r="AQ25" i="8" s="1"/>
  <c r="G40" i="8"/>
  <c r="W40" i="8"/>
  <c r="AA39" i="8"/>
  <c r="AA25" i="8" s="1"/>
  <c r="P27" i="8"/>
  <c r="AF27" i="8"/>
  <c r="AV27" i="8"/>
  <c r="E28" i="8"/>
  <c r="I28" i="8"/>
  <c r="M28" i="8"/>
  <c r="Q28" i="8"/>
  <c r="U28" i="8"/>
  <c r="Y28" i="8"/>
  <c r="AC28" i="8"/>
  <c r="AG28" i="8"/>
  <c r="AK28" i="8"/>
  <c r="AO28" i="8"/>
  <c r="AS28" i="8"/>
  <c r="AW28" i="8"/>
  <c r="BA28" i="8"/>
  <c r="C40" i="8"/>
  <c r="H40" i="8"/>
  <c r="N40" i="8"/>
  <c r="N39" i="8" s="1"/>
  <c r="N25" i="8" s="1"/>
  <c r="S40" i="8"/>
  <c r="X40" i="8"/>
  <c r="AD40" i="8"/>
  <c r="AD39" i="8" s="1"/>
  <c r="AD25" i="8" s="1"/>
  <c r="AI40" i="8"/>
  <c r="AN40" i="8"/>
  <c r="AT40" i="8"/>
  <c r="AT39" i="8" s="1"/>
  <c r="AT25" i="8" s="1"/>
  <c r="AY40" i="8"/>
  <c r="L27" i="8"/>
  <c r="AB27" i="8"/>
  <c r="AR27" i="8"/>
  <c r="F27" i="8"/>
  <c r="R27" i="8"/>
  <c r="V27" i="8"/>
  <c r="AH27" i="8"/>
  <c r="AL27" i="8"/>
  <c r="AX27" i="8"/>
  <c r="D40" i="8"/>
  <c r="D39" i="8" s="1"/>
  <c r="D25" i="8" s="1"/>
  <c r="J40" i="8"/>
  <c r="J39" i="8" s="1"/>
  <c r="J25" i="8" s="1"/>
  <c r="O40" i="8"/>
  <c r="T40" i="8"/>
  <c r="T39" i="8" s="1"/>
  <c r="T25" i="8" s="1"/>
  <c r="Z40" i="8"/>
  <c r="Z39" i="8" s="1"/>
  <c r="Z25" i="8" s="1"/>
  <c r="AE40" i="8"/>
  <c r="AJ40" i="8"/>
  <c r="AP40" i="8"/>
  <c r="AP39" i="8" s="1"/>
  <c r="AP25" i="8" s="1"/>
  <c r="AU40" i="8"/>
  <c r="AZ40" i="8"/>
  <c r="E40" i="8"/>
  <c r="E39" i="8" s="1"/>
  <c r="E25" i="8" s="1"/>
  <c r="I40" i="8"/>
  <c r="M40" i="8"/>
  <c r="Q40" i="8"/>
  <c r="Q39" i="8" s="1"/>
  <c r="Q25" i="8" s="1"/>
  <c r="U40" i="8"/>
  <c r="U39" i="8" s="1"/>
  <c r="U25" i="8" s="1"/>
  <c r="Y40" i="8"/>
  <c r="Y39" i="8" s="1"/>
  <c r="Y25" i="8" s="1"/>
  <c r="AC40" i="8"/>
  <c r="AG40" i="8"/>
  <c r="AG39" i="8" s="1"/>
  <c r="AG25" i="8" s="1"/>
  <c r="AK40" i="8"/>
  <c r="AK39" i="8" s="1"/>
  <c r="AK25" i="8" s="1"/>
  <c r="AO40" i="8"/>
  <c r="AS40" i="8"/>
  <c r="AW40" i="8"/>
  <c r="AW39" i="8" s="1"/>
  <c r="AW25" i="8" s="1"/>
  <c r="BA40" i="8"/>
  <c r="BA39" i="8" s="1"/>
  <c r="BA25" i="8" s="1"/>
  <c r="AJ41" i="8"/>
  <c r="AJ28" i="8" s="1"/>
  <c r="AN41" i="8"/>
  <c r="AN28" i="8" s="1"/>
  <c r="AR41" i="8"/>
  <c r="AR28" i="8" s="1"/>
  <c r="AV41" i="8"/>
  <c r="AV39" i="8" s="1"/>
  <c r="AV25" i="8" s="1"/>
  <c r="AZ41" i="8"/>
  <c r="AZ28" i="8" s="1"/>
  <c r="BA71" i="4"/>
  <c r="BA70" i="4"/>
  <c r="BA69" i="4"/>
  <c r="BA51" i="4"/>
  <c r="BA66" i="4" s="1"/>
  <c r="BA43" i="4"/>
  <c r="BA60" i="4" s="1"/>
  <c r="BA40" i="4"/>
  <c r="BA59" i="4" s="1"/>
  <c r="BA37" i="4"/>
  <c r="BA58" i="4" s="1"/>
  <c r="BA32" i="4"/>
  <c r="BA27" i="4"/>
  <c r="BA21" i="4"/>
  <c r="BA55" i="4" s="1"/>
  <c r="BA16" i="4"/>
  <c r="BA54" i="4" s="1"/>
  <c r="BA31" i="5"/>
  <c r="BA23" i="5"/>
  <c r="BA20" i="5"/>
  <c r="BA18" i="5"/>
  <c r="BA16" i="5"/>
  <c r="BA160" i="1"/>
  <c r="BA155" i="1"/>
  <c r="BA150" i="1"/>
  <c r="BA139" i="1"/>
  <c r="BA131" i="1"/>
  <c r="BA116" i="1"/>
  <c r="BA110" i="1"/>
  <c r="BA99" i="1"/>
  <c r="BA89" i="1"/>
  <c r="BA84" i="1"/>
  <c r="BA78" i="1"/>
  <c r="BA74" i="1"/>
  <c r="BA71" i="1"/>
  <c r="BA66" i="1"/>
  <c r="BA63" i="1"/>
  <c r="BA56" i="1"/>
  <c r="BA53" i="1"/>
  <c r="BA40" i="1"/>
  <c r="BA37" i="1"/>
  <c r="BA32" i="1" l="1"/>
  <c r="AY12" i="9"/>
  <c r="AY16" i="9" s="1"/>
  <c r="AY444" i="9" s="1"/>
  <c r="BB12" i="1"/>
  <c r="CK16" i="8"/>
  <c r="BA21" i="1"/>
  <c r="CK28" i="8"/>
  <c r="BA45" i="1"/>
  <c r="BA70" i="1"/>
  <c r="BA56" i="4"/>
  <c r="BA57" i="4"/>
  <c r="BA14" i="5"/>
  <c r="CK57" i="8"/>
  <c r="CK22" i="8"/>
  <c r="CK21" i="8"/>
  <c r="CK18" i="8"/>
  <c r="CK51" i="8"/>
  <c r="BA138" i="1"/>
  <c r="BA125" i="1" s="1"/>
  <c r="BA60" i="1"/>
  <c r="BA95" i="1"/>
  <c r="BA67" i="4"/>
  <c r="BA83" i="1"/>
  <c r="CK36" i="8"/>
  <c r="CK54" i="8"/>
  <c r="CK42" i="8"/>
  <c r="CK33" i="8"/>
  <c r="CK48" i="8"/>
  <c r="CK20" i="8"/>
  <c r="BA25" i="4"/>
  <c r="BA14" i="4"/>
  <c r="Y27" i="8"/>
  <c r="D27" i="8"/>
  <c r="AR39" i="8"/>
  <c r="AR25" i="8" s="1"/>
  <c r="E27" i="8"/>
  <c r="BA27" i="8"/>
  <c r="AT27" i="8"/>
  <c r="U27" i="8"/>
  <c r="AV28" i="8"/>
  <c r="CK45" i="8"/>
  <c r="CK27" i="8"/>
  <c r="CK30" i="8"/>
  <c r="AS39" i="8"/>
  <c r="AS25" i="8" s="1"/>
  <c r="AS27" i="8"/>
  <c r="T27" i="8"/>
  <c r="AC39" i="8"/>
  <c r="AC25" i="8" s="1"/>
  <c r="AC27" i="8"/>
  <c r="AO39" i="8"/>
  <c r="AO25" i="8" s="1"/>
  <c r="AO27" i="8"/>
  <c r="C39" i="8"/>
  <c r="C25" i="8" s="1"/>
  <c r="C27" i="8"/>
  <c r="AI39" i="8"/>
  <c r="AI25" i="8" s="1"/>
  <c r="AI27" i="8"/>
  <c r="W27" i="8"/>
  <c r="W39" i="8"/>
  <c r="W25" i="8" s="1"/>
  <c r="AM27" i="8"/>
  <c r="AM39" i="8"/>
  <c r="AM25" i="8" s="1"/>
  <c r="AW27" i="8"/>
  <c r="Q27" i="8"/>
  <c r="M39" i="8"/>
  <c r="M25" i="8" s="1"/>
  <c r="M27" i="8"/>
  <c r="AJ39" i="8"/>
  <c r="AJ25" i="8" s="1"/>
  <c r="O39" i="8"/>
  <c r="O25" i="8" s="1"/>
  <c r="O27" i="8"/>
  <c r="AY39" i="8"/>
  <c r="AY25" i="8" s="1"/>
  <c r="AY27" i="8"/>
  <c r="H39" i="8"/>
  <c r="H25" i="8" s="1"/>
  <c r="H27" i="8"/>
  <c r="G27" i="8"/>
  <c r="G39" i="8"/>
  <c r="G25" i="8" s="1"/>
  <c r="I39" i="8"/>
  <c r="I25" i="8" s="1"/>
  <c r="I27" i="8"/>
  <c r="AZ39" i="8"/>
  <c r="AZ25" i="8" s="1"/>
  <c r="AE27" i="8"/>
  <c r="AE39" i="8"/>
  <c r="AE25" i="8" s="1"/>
  <c r="AD27" i="8"/>
  <c r="N27" i="8"/>
  <c r="X39" i="8"/>
  <c r="X25" i="8" s="1"/>
  <c r="X27" i="8"/>
  <c r="AZ27" i="8"/>
  <c r="AG27" i="8"/>
  <c r="AJ27" i="8"/>
  <c r="AU27" i="8"/>
  <c r="AU39" i="8"/>
  <c r="AU25" i="8" s="1"/>
  <c r="AP27" i="8"/>
  <c r="Z27" i="8"/>
  <c r="J27" i="8"/>
  <c r="AN39" i="8"/>
  <c r="AN25" i="8" s="1"/>
  <c r="AN27" i="8"/>
  <c r="S39" i="8"/>
  <c r="S25" i="8" s="1"/>
  <c r="S27" i="8"/>
  <c r="AK27" i="8"/>
  <c r="AY448" i="9" l="1"/>
  <c r="BA44" i="1"/>
  <c r="BA19" i="1" s="1"/>
  <c r="BA17" i="1" s="1"/>
  <c r="BB10" i="1"/>
  <c r="CK25" i="8"/>
  <c r="BA52" i="4"/>
  <c r="BA12" i="4"/>
  <c r="CK14" i="8"/>
  <c r="AZ71" i="4"/>
  <c r="AZ70" i="4"/>
  <c r="AZ69" i="4"/>
  <c r="AZ51" i="4"/>
  <c r="AZ66" i="4" s="1"/>
  <c r="AZ43" i="4"/>
  <c r="AZ60" i="4" s="1"/>
  <c r="AZ40" i="4"/>
  <c r="AZ59" i="4" s="1"/>
  <c r="AZ37" i="4"/>
  <c r="AZ58" i="4" s="1"/>
  <c r="AZ32" i="4"/>
  <c r="AZ27" i="4"/>
  <c r="AZ21" i="4"/>
  <c r="AZ16" i="4"/>
  <c r="AZ54" i="4" s="1"/>
  <c r="AZ160" i="1"/>
  <c r="AZ155" i="1"/>
  <c r="AZ150" i="1"/>
  <c r="AZ139" i="1"/>
  <c r="AZ131" i="1"/>
  <c r="AZ116" i="1"/>
  <c r="AZ110" i="1"/>
  <c r="AZ99" i="1"/>
  <c r="AZ89" i="1"/>
  <c r="AZ84" i="1"/>
  <c r="AZ78" i="1"/>
  <c r="AZ74" i="1"/>
  <c r="AZ71" i="1"/>
  <c r="AZ66" i="1"/>
  <c r="AZ63" i="1"/>
  <c r="AZ56" i="1"/>
  <c r="AZ53" i="1"/>
  <c r="AZ40" i="1"/>
  <c r="AZ37" i="1"/>
  <c r="AZ12" i="9" l="1"/>
  <c r="AZ16" i="9" s="1"/>
  <c r="AZ444" i="9" s="1"/>
  <c r="AZ32" i="1"/>
  <c r="AZ138" i="1"/>
  <c r="AZ125" i="1" s="1"/>
  <c r="BA15" i="1"/>
  <c r="AZ57" i="4"/>
  <c r="AZ67" i="4"/>
  <c r="AZ45" i="1"/>
  <c r="AZ60" i="1"/>
  <c r="AZ83" i="1"/>
  <c r="AZ95" i="1"/>
  <c r="AZ14" i="4"/>
  <c r="AZ70" i="1"/>
  <c r="AZ25" i="4"/>
  <c r="AZ55" i="4"/>
  <c r="AZ56" i="4"/>
  <c r="AZ21" i="1"/>
  <c r="AZ448" i="9" l="1"/>
  <c r="AZ44" i="1"/>
  <c r="AZ19" i="1" s="1"/>
  <c r="AZ17" i="1" s="1"/>
  <c r="BA12" i="1"/>
  <c r="AZ12" i="4"/>
  <c r="AZ52" i="4"/>
  <c r="BA12" i="9" l="1"/>
  <c r="BA16" i="9" s="1"/>
  <c r="BA444" i="9" s="1"/>
  <c r="BA10" i="1"/>
  <c r="AZ15" i="1"/>
  <c r="AY71" i="4"/>
  <c r="AY51" i="4"/>
  <c r="AY66" i="4" s="1"/>
  <c r="AY43" i="4"/>
  <c r="AY60" i="4" s="1"/>
  <c r="AY40" i="4"/>
  <c r="AY59" i="4" s="1"/>
  <c r="AY37" i="4"/>
  <c r="AY32" i="4"/>
  <c r="AY70" i="4"/>
  <c r="AY21" i="4"/>
  <c r="AY55" i="4" s="1"/>
  <c r="AY16" i="4"/>
  <c r="AY31" i="5"/>
  <c r="AY23" i="5"/>
  <c r="AY20" i="5"/>
  <c r="AY18" i="5"/>
  <c r="AY16" i="5"/>
  <c r="AY160" i="1"/>
  <c r="AY155" i="1"/>
  <c r="AY150" i="1"/>
  <c r="AY139" i="1"/>
  <c r="AY131" i="1"/>
  <c r="AY116" i="1"/>
  <c r="AY110" i="1"/>
  <c r="AY99" i="1"/>
  <c r="AY89" i="1"/>
  <c r="AY84" i="1"/>
  <c r="AY78" i="1"/>
  <c r="AY74" i="1"/>
  <c r="AY71" i="1"/>
  <c r="AY66" i="1"/>
  <c r="AY63" i="1"/>
  <c r="AY56" i="1"/>
  <c r="AY53" i="1"/>
  <c r="AY40" i="1"/>
  <c r="AY37" i="1"/>
  <c r="BA448" i="9" l="1"/>
  <c r="AY45" i="1"/>
  <c r="AZ12" i="1"/>
  <c r="AY58" i="4"/>
  <c r="AY57" i="4"/>
  <c r="AY14" i="4"/>
  <c r="AY14" i="5"/>
  <c r="AY32" i="1"/>
  <c r="AY27" i="4"/>
  <c r="AY54" i="4"/>
  <c r="AY69" i="4"/>
  <c r="AY60" i="1"/>
  <c r="AY95" i="1"/>
  <c r="AY83" i="1"/>
  <c r="AY70" i="1"/>
  <c r="AY138" i="1"/>
  <c r="AY125" i="1" s="1"/>
  <c r="BB12" i="9" l="1"/>
  <c r="BB16" i="9" s="1"/>
  <c r="BB444" i="9" s="1"/>
  <c r="AY67" i="4"/>
  <c r="AY21" i="1"/>
  <c r="AZ10" i="1"/>
  <c r="AY56" i="4"/>
  <c r="AY52" i="4" s="1"/>
  <c r="AY44" i="1"/>
  <c r="AY25" i="4"/>
  <c r="BB448" i="9" l="1"/>
  <c r="AY19" i="1"/>
  <c r="AY17" i="1" s="1"/>
  <c r="AY12" i="4"/>
  <c r="AX71" i="4"/>
  <c r="AX70" i="4"/>
  <c r="AX69" i="4"/>
  <c r="AX51" i="4"/>
  <c r="AX66" i="4" s="1"/>
  <c r="AX43" i="4"/>
  <c r="AX60" i="4" s="1"/>
  <c r="AX40" i="4"/>
  <c r="AX59" i="4" s="1"/>
  <c r="AX37" i="4"/>
  <c r="AX58" i="4" s="1"/>
  <c r="AX32" i="4"/>
  <c r="AX27" i="4"/>
  <c r="AX21" i="4"/>
  <c r="AX55" i="4" s="1"/>
  <c r="AX16" i="4"/>
  <c r="AX31" i="5"/>
  <c r="AX23" i="5"/>
  <c r="AX20" i="5"/>
  <c r="AX18" i="5"/>
  <c r="AX16" i="5"/>
  <c r="BC12" i="9" l="1"/>
  <c r="BC16" i="9" s="1"/>
  <c r="BC444" i="9" s="1"/>
  <c r="AY15" i="1"/>
  <c r="AY12" i="1" s="1"/>
  <c r="AX67" i="4"/>
  <c r="AX57" i="4"/>
  <c r="AX56" i="4"/>
  <c r="AX54" i="4"/>
  <c r="AX14" i="5"/>
  <c r="AX14" i="4"/>
  <c r="AX25" i="4"/>
  <c r="AX160" i="1"/>
  <c r="AX155" i="1"/>
  <c r="AX150" i="1"/>
  <c r="AX139" i="1"/>
  <c r="AX131" i="1"/>
  <c r="AX116" i="1"/>
  <c r="AX110" i="1"/>
  <c r="AX99" i="1"/>
  <c r="AX89" i="1"/>
  <c r="AX84" i="1"/>
  <c r="AX78" i="1"/>
  <c r="AX74" i="1"/>
  <c r="AX71" i="1"/>
  <c r="AX66" i="1"/>
  <c r="AX63" i="1"/>
  <c r="AX56" i="1"/>
  <c r="AX53" i="1"/>
  <c r="AX40" i="1"/>
  <c r="AX37" i="1"/>
  <c r="BC448" i="9" l="1"/>
  <c r="AY10" i="1"/>
  <c r="AX52" i="4"/>
  <c r="AX12" i="4"/>
  <c r="AX32" i="1"/>
  <c r="AX21" i="1" s="1"/>
  <c r="AX45" i="1"/>
  <c r="AX83" i="1"/>
  <c r="AX60" i="1"/>
  <c r="AX70" i="1"/>
  <c r="AX95" i="1"/>
  <c r="AX138" i="1"/>
  <c r="AX125" i="1" s="1"/>
  <c r="BD12" i="9" l="1"/>
  <c r="BD16" i="9" s="1"/>
  <c r="BD444" i="9" s="1"/>
  <c r="AX44" i="1"/>
  <c r="AX19" i="1" s="1"/>
  <c r="BD448" i="9" l="1"/>
  <c r="AX17" i="1"/>
  <c r="AW71" i="4"/>
  <c r="AW70" i="4"/>
  <c r="AW69" i="4"/>
  <c r="AW51" i="4"/>
  <c r="AW66" i="4" s="1"/>
  <c r="AW43" i="4"/>
  <c r="AW40" i="4"/>
  <c r="AW37" i="4"/>
  <c r="AW32" i="4"/>
  <c r="AW27" i="4"/>
  <c r="AW21" i="4"/>
  <c r="AW55" i="4" s="1"/>
  <c r="AW16" i="4"/>
  <c r="AW31" i="5"/>
  <c r="AW23" i="5"/>
  <c r="AW20" i="5"/>
  <c r="AW18" i="5"/>
  <c r="AW16" i="5"/>
  <c r="AW160" i="1"/>
  <c r="AW155" i="1"/>
  <c r="AW150" i="1"/>
  <c r="AW139" i="1"/>
  <c r="AW131" i="1"/>
  <c r="AW116" i="1"/>
  <c r="AW110" i="1"/>
  <c r="AW99" i="1"/>
  <c r="AW89" i="1"/>
  <c r="AW84" i="1"/>
  <c r="AW78" i="1"/>
  <c r="AW74" i="1"/>
  <c r="AW71" i="1"/>
  <c r="AW66" i="1"/>
  <c r="AW63" i="1"/>
  <c r="AW56" i="1"/>
  <c r="AW53" i="1"/>
  <c r="AW40" i="1"/>
  <c r="AW37" i="1"/>
  <c r="BE12" i="9" l="1"/>
  <c r="BE16" i="9" s="1"/>
  <c r="BE444" i="9" s="1"/>
  <c r="AW60" i="4"/>
  <c r="AW59" i="4"/>
  <c r="AW58" i="4"/>
  <c r="AW57" i="4"/>
  <c r="AW56" i="4"/>
  <c r="AX15" i="1"/>
  <c r="AW45" i="1"/>
  <c r="AW70" i="1"/>
  <c r="AW32" i="1"/>
  <c r="AW21" i="1" s="1"/>
  <c r="AW14" i="4"/>
  <c r="AW67" i="4"/>
  <c r="AW14" i="5"/>
  <c r="AW138" i="1"/>
  <c r="AW125" i="1" s="1"/>
  <c r="AW25" i="4"/>
  <c r="AW54" i="4"/>
  <c r="AW60" i="1"/>
  <c r="AW95" i="1"/>
  <c r="AW83" i="1"/>
  <c r="BE448" i="9" l="1"/>
  <c r="AW44" i="1"/>
  <c r="AW19" i="1" s="1"/>
  <c r="AW52" i="4"/>
  <c r="AW12" i="4"/>
  <c r="AX12" i="1"/>
  <c r="BF12" i="9" l="1"/>
  <c r="BF16" i="9" s="1"/>
  <c r="BF444" i="9" s="1"/>
  <c r="AX10" i="1"/>
  <c r="AW17" i="1"/>
  <c r="BF448" i="9" l="1"/>
  <c r="AW15" i="1"/>
  <c r="AV31" i="5"/>
  <c r="AV23" i="5"/>
  <c r="AV20" i="5"/>
  <c r="AV18" i="5"/>
  <c r="AV16" i="5"/>
  <c r="AV71" i="4"/>
  <c r="AV70" i="4"/>
  <c r="AV69" i="4"/>
  <c r="AV51" i="4"/>
  <c r="AV66" i="4" s="1"/>
  <c r="AV43" i="4"/>
  <c r="AV60" i="4" s="1"/>
  <c r="AV40" i="4"/>
  <c r="AV37" i="4"/>
  <c r="AV58" i="4" s="1"/>
  <c r="AV32" i="4"/>
  <c r="AV27" i="4"/>
  <c r="AV21" i="4"/>
  <c r="AV55" i="4" s="1"/>
  <c r="AV16" i="4"/>
  <c r="AV54" i="4" s="1"/>
  <c r="BG12" i="9" l="1"/>
  <c r="BG16" i="9" s="1"/>
  <c r="BG444" i="9" s="1"/>
  <c r="AV59" i="4"/>
  <c r="AV56" i="4"/>
  <c r="AW12" i="1"/>
  <c r="AV57" i="4"/>
  <c r="AV14" i="5"/>
  <c r="AV67" i="4"/>
  <c r="AV25" i="4"/>
  <c r="AV14" i="4"/>
  <c r="AV160" i="1"/>
  <c r="AV155" i="1"/>
  <c r="AV150" i="1"/>
  <c r="AV139" i="1"/>
  <c r="AV131" i="1"/>
  <c r="AV116" i="1"/>
  <c r="AV110" i="1"/>
  <c r="AV99" i="1"/>
  <c r="AV89" i="1"/>
  <c r="AV84" i="1"/>
  <c r="AV78" i="1"/>
  <c r="AV74" i="1"/>
  <c r="AV71" i="1"/>
  <c r="AV66" i="1"/>
  <c r="AV63" i="1"/>
  <c r="AV56" i="1"/>
  <c r="AV53" i="1"/>
  <c r="AV40" i="1"/>
  <c r="AV37" i="1"/>
  <c r="BG448" i="9" l="1"/>
  <c r="AV52" i="4"/>
  <c r="AV32" i="1"/>
  <c r="AV21" i="1" s="1"/>
  <c r="AW10" i="1"/>
  <c r="AV60" i="1"/>
  <c r="AV83" i="1"/>
  <c r="AV70" i="1"/>
  <c r="AV45" i="1"/>
  <c r="AV95" i="1"/>
  <c r="AV138" i="1"/>
  <c r="AV125" i="1" s="1"/>
  <c r="AV12" i="4"/>
  <c r="AU71" i="4"/>
  <c r="AU70" i="4"/>
  <c r="AU69" i="4"/>
  <c r="AU51" i="4"/>
  <c r="AU66" i="4" s="1"/>
  <c r="AU43" i="4"/>
  <c r="AU60" i="4" s="1"/>
  <c r="AU40" i="4"/>
  <c r="AU59" i="4" s="1"/>
  <c r="AU37" i="4"/>
  <c r="AU58" i="4" s="1"/>
  <c r="AU32" i="4"/>
  <c r="AU27" i="4"/>
  <c r="AU21" i="4"/>
  <c r="AU55" i="4" s="1"/>
  <c r="AU16" i="4"/>
  <c r="AU31" i="5"/>
  <c r="AU23" i="5"/>
  <c r="AU20" i="5"/>
  <c r="AU18" i="5"/>
  <c r="AU16" i="5"/>
  <c r="AU160" i="1"/>
  <c r="AU155" i="1"/>
  <c r="AU150" i="1"/>
  <c r="AU139" i="1"/>
  <c r="AU131" i="1"/>
  <c r="AU116" i="1"/>
  <c r="AU110" i="1"/>
  <c r="AU99" i="1"/>
  <c r="AU89" i="1"/>
  <c r="AU84" i="1"/>
  <c r="AU78" i="1"/>
  <c r="AU74" i="1"/>
  <c r="AU71" i="1"/>
  <c r="AU66" i="1"/>
  <c r="AU63" i="1"/>
  <c r="AU56" i="1"/>
  <c r="AU53" i="1"/>
  <c r="AU40" i="1"/>
  <c r="AU37" i="1"/>
  <c r="BH12" i="9" l="1"/>
  <c r="BH16" i="9" s="1"/>
  <c r="BH444" i="9" s="1"/>
  <c r="AU138" i="1"/>
  <c r="AU125" i="1" s="1"/>
  <c r="AV44" i="1"/>
  <c r="AV19" i="1" s="1"/>
  <c r="AU67" i="4"/>
  <c r="AU57" i="4"/>
  <c r="AU56" i="4"/>
  <c r="AU95" i="1"/>
  <c r="AU32" i="1"/>
  <c r="AU21" i="1" s="1"/>
  <c r="AU25" i="4"/>
  <c r="AU14" i="4"/>
  <c r="AU70" i="1"/>
  <c r="AU60" i="1"/>
  <c r="AU14" i="5"/>
  <c r="AU45" i="1"/>
  <c r="AU83" i="1"/>
  <c r="AU54" i="4"/>
  <c r="AT71" i="4"/>
  <c r="AT70" i="4"/>
  <c r="AT69" i="4"/>
  <c r="AT51" i="4"/>
  <c r="AT66" i="4" s="1"/>
  <c r="AT43" i="4"/>
  <c r="AT60" i="4" s="1"/>
  <c r="AT40" i="4"/>
  <c r="AT59" i="4" s="1"/>
  <c r="AT37" i="4"/>
  <c r="AT58" i="4" s="1"/>
  <c r="AT32" i="4"/>
  <c r="AT27" i="4"/>
  <c r="AT21" i="4"/>
  <c r="AT55" i="4" s="1"/>
  <c r="AT16" i="4"/>
  <c r="AT31" i="5"/>
  <c r="AT23" i="5"/>
  <c r="AT20" i="5"/>
  <c r="AT18" i="5"/>
  <c r="AT16" i="5"/>
  <c r="AT160" i="1"/>
  <c r="AT155" i="1"/>
  <c r="AT150" i="1"/>
  <c r="AT139" i="1"/>
  <c r="AT131" i="1"/>
  <c r="AT116" i="1"/>
  <c r="AT110" i="1"/>
  <c r="AT99" i="1"/>
  <c r="AT89" i="1"/>
  <c r="AT84" i="1"/>
  <c r="AT78" i="1"/>
  <c r="AT74" i="1"/>
  <c r="AT71" i="1"/>
  <c r="AT66" i="1"/>
  <c r="AT63" i="1"/>
  <c r="AT56" i="1"/>
  <c r="AT53" i="1"/>
  <c r="AT40" i="1"/>
  <c r="AT37" i="1"/>
  <c r="BH448" i="9" l="1"/>
  <c r="AV17" i="1"/>
  <c r="AT60" i="1"/>
  <c r="AU52" i="4"/>
  <c r="AT57" i="4"/>
  <c r="AT56" i="4"/>
  <c r="AU12" i="4"/>
  <c r="AT67" i="4"/>
  <c r="AT14" i="4"/>
  <c r="AU44" i="1"/>
  <c r="AU19" i="1" s="1"/>
  <c r="AU17" i="1" s="1"/>
  <c r="AT14" i="5"/>
  <c r="AT70" i="1"/>
  <c r="AT54" i="4"/>
  <c r="AT25" i="4"/>
  <c r="AT45" i="1"/>
  <c r="AT32" i="1"/>
  <c r="AT21" i="1" s="1"/>
  <c r="AT138" i="1"/>
  <c r="AT125" i="1" s="1"/>
  <c r="AT95" i="1"/>
  <c r="AT83" i="1"/>
  <c r="BI12" i="9" l="1"/>
  <c r="BI16" i="9" s="1"/>
  <c r="BI444" i="9" s="1"/>
  <c r="AV15" i="1"/>
  <c r="AT52" i="4"/>
  <c r="AU15" i="1"/>
  <c r="AT12" i="4"/>
  <c r="AT44" i="1"/>
  <c r="AT19" i="1" s="1"/>
  <c r="AS71" i="4"/>
  <c r="AS70" i="4"/>
  <c r="AS69" i="4"/>
  <c r="AS51" i="4"/>
  <c r="AS66" i="4" s="1"/>
  <c r="AS43" i="4"/>
  <c r="AS60" i="4" s="1"/>
  <c r="AS40" i="4"/>
  <c r="AS37" i="4"/>
  <c r="AS32" i="4"/>
  <c r="AS27" i="4"/>
  <c r="AS21" i="4"/>
  <c r="AS55" i="4" s="1"/>
  <c r="AS16" i="4"/>
  <c r="AS31" i="5"/>
  <c r="AS23" i="5"/>
  <c r="AS20" i="5"/>
  <c r="AS18" i="5"/>
  <c r="AS16" i="5"/>
  <c r="BI448" i="9" l="1"/>
  <c r="AV12" i="1"/>
  <c r="AS59" i="4"/>
  <c r="AS58" i="4"/>
  <c r="AS57" i="4"/>
  <c r="AS56" i="4"/>
  <c r="AS54" i="4"/>
  <c r="AU12" i="1"/>
  <c r="AT17" i="1"/>
  <c r="AS14" i="5"/>
  <c r="AS25" i="4"/>
  <c r="AS14" i="4"/>
  <c r="AS67" i="4"/>
  <c r="AS160" i="1"/>
  <c r="AS155" i="1"/>
  <c r="AS150" i="1"/>
  <c r="AS139" i="1"/>
  <c r="AS131" i="1"/>
  <c r="AS116" i="1"/>
  <c r="AS110" i="1"/>
  <c r="AS99" i="1"/>
  <c r="AS89" i="1"/>
  <c r="AS84" i="1"/>
  <c r="AS78" i="1"/>
  <c r="AS74" i="1"/>
  <c r="AS71" i="1"/>
  <c r="AS66" i="1"/>
  <c r="AS63" i="1"/>
  <c r="AS56" i="1"/>
  <c r="AS53" i="1"/>
  <c r="AS40" i="1"/>
  <c r="AS37" i="1"/>
  <c r="BJ12" i="9" l="1"/>
  <c r="BJ16" i="9" s="1"/>
  <c r="BJ444" i="9" s="1"/>
  <c r="AV10" i="1"/>
  <c r="AS52" i="4"/>
  <c r="AU10" i="1"/>
  <c r="AT15" i="1"/>
  <c r="AS12" i="4"/>
  <c r="AS45" i="1"/>
  <c r="AS83" i="1"/>
  <c r="AS32" i="1"/>
  <c r="AS21" i="1" s="1"/>
  <c r="AS70" i="1"/>
  <c r="AS138" i="1"/>
  <c r="AS125" i="1" s="1"/>
  <c r="AS60" i="1"/>
  <c r="AS95" i="1"/>
  <c r="BJ448" i="9" l="1"/>
  <c r="AT12" i="1"/>
  <c r="AS44" i="1"/>
  <c r="AS19" i="1" s="1"/>
  <c r="AR71" i="4"/>
  <c r="AR70" i="4"/>
  <c r="AR69" i="4"/>
  <c r="AR51" i="4"/>
  <c r="AR66" i="4" s="1"/>
  <c r="AR43" i="4"/>
  <c r="AR60" i="4" s="1"/>
  <c r="AR40" i="4"/>
  <c r="AR37" i="4"/>
  <c r="AR58" i="4" s="1"/>
  <c r="AR32" i="4"/>
  <c r="AR27" i="4"/>
  <c r="AR21" i="4"/>
  <c r="AR55" i="4" s="1"/>
  <c r="AR16" i="4"/>
  <c r="AR31" i="5"/>
  <c r="AR23" i="5"/>
  <c r="AR20" i="5"/>
  <c r="AR18" i="5"/>
  <c r="AR160" i="1"/>
  <c r="AR155" i="1"/>
  <c r="AR150" i="1"/>
  <c r="AR139" i="1"/>
  <c r="AR131" i="1"/>
  <c r="AR116" i="1"/>
  <c r="AR110" i="1"/>
  <c r="AR99" i="1"/>
  <c r="AR89" i="1"/>
  <c r="AR84" i="1"/>
  <c r="AR78" i="1"/>
  <c r="AR74" i="1"/>
  <c r="AR71" i="1"/>
  <c r="AR66" i="1"/>
  <c r="AR63" i="1"/>
  <c r="AR56" i="1"/>
  <c r="AR53" i="1"/>
  <c r="AR40" i="1"/>
  <c r="AR37" i="1"/>
  <c r="BK12" i="9" l="1"/>
  <c r="BK16" i="9" s="1"/>
  <c r="BK444" i="9" s="1"/>
  <c r="AT10" i="1"/>
  <c r="AS17" i="1"/>
  <c r="AR138" i="1"/>
  <c r="AR125" i="1" s="1"/>
  <c r="AR59" i="4"/>
  <c r="AR14" i="4"/>
  <c r="AR56" i="4"/>
  <c r="AR45" i="1"/>
  <c r="AR25" i="4"/>
  <c r="AR32" i="1"/>
  <c r="AR21" i="1" s="1"/>
  <c r="AR14" i="5"/>
  <c r="AR57" i="4"/>
  <c r="AR54" i="4"/>
  <c r="AR60" i="1"/>
  <c r="AR83" i="1"/>
  <c r="AR95" i="1"/>
  <c r="AR70" i="1"/>
  <c r="AR67" i="4"/>
  <c r="BK448" i="9" l="1"/>
  <c r="AS15" i="1"/>
  <c r="AR44" i="1"/>
  <c r="AR19" i="1" s="1"/>
  <c r="AR12" i="4"/>
  <c r="AR52" i="4"/>
  <c r="AQ71" i="4"/>
  <c r="AQ70" i="4"/>
  <c r="AQ69" i="4"/>
  <c r="AQ51" i="4"/>
  <c r="AQ66" i="4" s="1"/>
  <c r="AQ43" i="4"/>
  <c r="AQ40" i="4"/>
  <c r="AQ37" i="4"/>
  <c r="AQ58" i="4" s="1"/>
  <c r="AQ32" i="4"/>
  <c r="AQ27" i="4"/>
  <c r="AQ21" i="4"/>
  <c r="AQ55" i="4" s="1"/>
  <c r="AQ16" i="4"/>
  <c r="AQ31" i="5"/>
  <c r="AQ23" i="5"/>
  <c r="AQ20" i="5"/>
  <c r="AQ18" i="5"/>
  <c r="AQ16" i="5"/>
  <c r="BL12" i="9" l="1"/>
  <c r="BL16" i="9" s="1"/>
  <c r="BL444" i="9" s="1"/>
  <c r="CK12" i="1"/>
  <c r="AS12" i="1"/>
  <c r="AR17" i="1"/>
  <c r="AR15" i="1" s="1"/>
  <c r="AQ60" i="4"/>
  <c r="AQ59" i="4"/>
  <c r="AQ56" i="4"/>
  <c r="AQ25" i="4"/>
  <c r="AQ14" i="4"/>
  <c r="AQ14" i="5"/>
  <c r="AQ57" i="4"/>
  <c r="AQ54" i="4"/>
  <c r="AQ67" i="4"/>
  <c r="AQ160" i="1"/>
  <c r="AQ155" i="1"/>
  <c r="AQ150" i="1"/>
  <c r="AQ139" i="1"/>
  <c r="AQ131" i="1"/>
  <c r="AQ116" i="1"/>
  <c r="AQ110" i="1"/>
  <c r="AQ99" i="1"/>
  <c r="AQ89" i="1"/>
  <c r="AQ84" i="1"/>
  <c r="AQ78" i="1"/>
  <c r="AQ74" i="1"/>
  <c r="AQ71" i="1"/>
  <c r="AQ66" i="1"/>
  <c r="AQ63" i="1"/>
  <c r="AQ56" i="1"/>
  <c r="AQ53" i="1"/>
  <c r="AQ40" i="1"/>
  <c r="AQ37" i="1"/>
  <c r="BL448" i="9" l="1"/>
  <c r="AQ138" i="1"/>
  <c r="AS10" i="1"/>
  <c r="AR12" i="1"/>
  <c r="AQ12" i="4"/>
  <c r="AQ52" i="4"/>
  <c r="AQ60" i="1"/>
  <c r="AQ70" i="1"/>
  <c r="AQ45" i="1"/>
  <c r="AQ95" i="1"/>
  <c r="AQ125" i="1"/>
  <c r="AQ83" i="1"/>
  <c r="AQ32" i="1"/>
  <c r="AQ21" i="1" s="1"/>
  <c r="BM12" i="9" l="1"/>
  <c r="BM16" i="9" s="1"/>
  <c r="BM444" i="9" s="1"/>
  <c r="AQ44" i="1"/>
  <c r="AQ19" i="1" s="1"/>
  <c r="AQ17" i="1" s="1"/>
  <c r="AR10" i="1"/>
  <c r="BM448" i="9" l="1"/>
  <c r="AQ15" i="1"/>
  <c r="AP160" i="1"/>
  <c r="AP155" i="1"/>
  <c r="AP150" i="1"/>
  <c r="AP139" i="1"/>
  <c r="AP131" i="1"/>
  <c r="AP116" i="1"/>
  <c r="AP110" i="1"/>
  <c r="AP99" i="1"/>
  <c r="AP89" i="1"/>
  <c r="AP84" i="1"/>
  <c r="AP78" i="1"/>
  <c r="AP74" i="1"/>
  <c r="AP71" i="1"/>
  <c r="AP66" i="1"/>
  <c r="AP63" i="1"/>
  <c r="AP56" i="1"/>
  <c r="AP53" i="1"/>
  <c r="AP40" i="1"/>
  <c r="AP37" i="1"/>
  <c r="BN12" i="9" l="1"/>
  <c r="BN16" i="9" s="1"/>
  <c r="BN444" i="9" s="1"/>
  <c r="AP83" i="1"/>
  <c r="AP45" i="1"/>
  <c r="AQ12" i="1"/>
  <c r="AP95" i="1"/>
  <c r="AP32" i="1"/>
  <c r="AP21" i="1" s="1"/>
  <c r="AP60" i="1"/>
  <c r="AP70" i="1"/>
  <c r="AP138" i="1"/>
  <c r="AP125" i="1" s="1"/>
  <c r="BN448" i="9" l="1"/>
  <c r="AP44" i="1"/>
  <c r="AP19" i="1" s="1"/>
  <c r="AQ10" i="1"/>
  <c r="AP71" i="4"/>
  <c r="AP70" i="4"/>
  <c r="AP69" i="4"/>
  <c r="AP51" i="4"/>
  <c r="AP66" i="4" s="1"/>
  <c r="AP43" i="4"/>
  <c r="AP40" i="4"/>
  <c r="AP37" i="4"/>
  <c r="AP58" i="4" s="1"/>
  <c r="AP32" i="4"/>
  <c r="AP27" i="4"/>
  <c r="AP21" i="4"/>
  <c r="AP55" i="4" s="1"/>
  <c r="AP16" i="4"/>
  <c r="AP31" i="5"/>
  <c r="AP23" i="5"/>
  <c r="AP20" i="5"/>
  <c r="AP18" i="5"/>
  <c r="AP16" i="5"/>
  <c r="BO12" i="9" l="1"/>
  <c r="BO16" i="9" s="1"/>
  <c r="BO444" i="9" s="1"/>
  <c r="AP54" i="4"/>
  <c r="AP57" i="4"/>
  <c r="AP56" i="4"/>
  <c r="AP59" i="4"/>
  <c r="AP60" i="4"/>
  <c r="AP17" i="1"/>
  <c r="AP14" i="5"/>
  <c r="AP67" i="4"/>
  <c r="AP14" i="4"/>
  <c r="AP25" i="4"/>
  <c r="AO71" i="4"/>
  <c r="AO70" i="4"/>
  <c r="AO69" i="4"/>
  <c r="AO51" i="4"/>
  <c r="AO66" i="4" s="1"/>
  <c r="AO43" i="4"/>
  <c r="AO40" i="4"/>
  <c r="AO37" i="4"/>
  <c r="AO58" i="4" s="1"/>
  <c r="AO32" i="4"/>
  <c r="AO27" i="4"/>
  <c r="AO21" i="4"/>
  <c r="AO55" i="4" s="1"/>
  <c r="AO16" i="4"/>
  <c r="AO31" i="5"/>
  <c r="AO23" i="5"/>
  <c r="AO20" i="5"/>
  <c r="AO18" i="5"/>
  <c r="AO16" i="5"/>
  <c r="BO448" i="9" l="1"/>
  <c r="AP52" i="4"/>
  <c r="AP15" i="1"/>
  <c r="AP12" i="4"/>
  <c r="CK31" i="5"/>
  <c r="AO59" i="4"/>
  <c r="AO60" i="4"/>
  <c r="AO56" i="4"/>
  <c r="AO67" i="4"/>
  <c r="AO25" i="4"/>
  <c r="AO57" i="4"/>
  <c r="AO14" i="5"/>
  <c r="AO14" i="4"/>
  <c r="AO54" i="4"/>
  <c r="AO160" i="1"/>
  <c r="AO155" i="1"/>
  <c r="AO150" i="1"/>
  <c r="AO139" i="1"/>
  <c r="AO131" i="1"/>
  <c r="AO116" i="1"/>
  <c r="AO110" i="1"/>
  <c r="AO99" i="1"/>
  <c r="AO89" i="1"/>
  <c r="AO84" i="1"/>
  <c r="AO78" i="1"/>
  <c r="AO74" i="1"/>
  <c r="AO71" i="1"/>
  <c r="AO66" i="1"/>
  <c r="AO63" i="1"/>
  <c r="AO56" i="1"/>
  <c r="AO53" i="1"/>
  <c r="AO40" i="1"/>
  <c r="AO37" i="1"/>
  <c r="BP12" i="9" l="1"/>
  <c r="BP16" i="9" s="1"/>
  <c r="BP444" i="9" s="1"/>
  <c r="AO70" i="1"/>
  <c r="AP12" i="1"/>
  <c r="AO32" i="1"/>
  <c r="AO21" i="1" s="1"/>
  <c r="AO60" i="1"/>
  <c r="AO83" i="1"/>
  <c r="AO45" i="1"/>
  <c r="AO138" i="1"/>
  <c r="AO125" i="1" s="1"/>
  <c r="AO52" i="4"/>
  <c r="AO12" i="4"/>
  <c r="AO95" i="1"/>
  <c r="BP448" i="9" l="1"/>
  <c r="AO44" i="1"/>
  <c r="AO19" i="1" s="1"/>
  <c r="AO17" i="1" s="1"/>
  <c r="AP10" i="1"/>
  <c r="BQ12" i="9" l="1"/>
  <c r="BQ16" i="9" s="1"/>
  <c r="BQ444" i="9" s="1"/>
  <c r="AO15" i="1"/>
  <c r="BQ448" i="9" l="1"/>
  <c r="AO12" i="1"/>
  <c r="AN71" i="4"/>
  <c r="AN70" i="4"/>
  <c r="AN69" i="4"/>
  <c r="AN51" i="4"/>
  <c r="AN66" i="4" s="1"/>
  <c r="AN43" i="4"/>
  <c r="AN40" i="4"/>
  <c r="AN37" i="4"/>
  <c r="AN58" i="4" s="1"/>
  <c r="AN32" i="4"/>
  <c r="AN27" i="4"/>
  <c r="AN21" i="4"/>
  <c r="AN55" i="4" s="1"/>
  <c r="AN16" i="4"/>
  <c r="AN31" i="5"/>
  <c r="AN23" i="5"/>
  <c r="AN20" i="5"/>
  <c r="AN18" i="5"/>
  <c r="AN16" i="5"/>
  <c r="AN160" i="1"/>
  <c r="AN155" i="1"/>
  <c r="AN150" i="1"/>
  <c r="AN139" i="1"/>
  <c r="AN131" i="1"/>
  <c r="AN116" i="1"/>
  <c r="AN110" i="1"/>
  <c r="AN99" i="1"/>
  <c r="AN89" i="1"/>
  <c r="AN84" i="1"/>
  <c r="AN78" i="1"/>
  <c r="AN74" i="1"/>
  <c r="AN71" i="1"/>
  <c r="AN66" i="1"/>
  <c r="AN63" i="1"/>
  <c r="AN56" i="1"/>
  <c r="AN53" i="1"/>
  <c r="AN40" i="1"/>
  <c r="AN37" i="1"/>
  <c r="BR12" i="9" l="1"/>
  <c r="BR16" i="9" s="1"/>
  <c r="BR444" i="9" s="1"/>
  <c r="AN32" i="1"/>
  <c r="AN21" i="1" s="1"/>
  <c r="AN70" i="1"/>
  <c r="AO10" i="1"/>
  <c r="AN59" i="4"/>
  <c r="AN60" i="4"/>
  <c r="AN57" i="4"/>
  <c r="AN56" i="4"/>
  <c r="AN14" i="4"/>
  <c r="AN45" i="1"/>
  <c r="AN138" i="1"/>
  <c r="AN125" i="1" s="1"/>
  <c r="AN14" i="5"/>
  <c r="AN60" i="1"/>
  <c r="AN83" i="1"/>
  <c r="AN95" i="1"/>
  <c r="AN67" i="4"/>
  <c r="AN54" i="4"/>
  <c r="AN25" i="4"/>
  <c r="BR448" i="9" l="1"/>
  <c r="AN44" i="1"/>
  <c r="AN19" i="1" s="1"/>
  <c r="AN17" i="1" s="1"/>
  <c r="AN12" i="4"/>
  <c r="AN52" i="4"/>
  <c r="BS12" i="9" l="1"/>
  <c r="BS16" i="9" s="1"/>
  <c r="BS444" i="9" s="1"/>
  <c r="AN15" i="1"/>
  <c r="BS448" i="9" l="1"/>
  <c r="AN12" i="1"/>
  <c r="BT12" i="9" l="1"/>
  <c r="BT16" i="9" s="1"/>
  <c r="BT444" i="9" s="1"/>
  <c r="AN10" i="1"/>
  <c r="BT448" i="9" l="1"/>
  <c r="AB134"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AI134" i="1"/>
  <c r="AH134" i="1"/>
  <c r="AG134" i="1"/>
  <c r="AF134" i="1"/>
  <c r="AE134" i="1"/>
  <c r="AD134" i="1"/>
  <c r="AC134" i="1"/>
  <c r="BU12" i="9" l="1"/>
  <c r="BU16" i="9" s="1"/>
  <c r="BU444" i="9" s="1"/>
  <c r="AM71" i="4"/>
  <c r="AM70" i="4"/>
  <c r="AM69" i="4"/>
  <c r="AM51" i="4"/>
  <c r="AM66" i="4" s="1"/>
  <c r="AM43" i="4"/>
  <c r="AM40" i="4"/>
  <c r="AM37" i="4"/>
  <c r="AM58" i="4" s="1"/>
  <c r="AM32" i="4"/>
  <c r="AM27" i="4"/>
  <c r="AM21" i="4"/>
  <c r="AM55" i="4" s="1"/>
  <c r="AM16" i="4"/>
  <c r="BU448" i="9" l="1"/>
  <c r="AM60" i="4"/>
  <c r="AM59" i="4"/>
  <c r="AM57" i="4"/>
  <c r="AM54" i="4"/>
  <c r="AM14" i="4"/>
  <c r="AM56" i="4"/>
  <c r="AM67" i="4"/>
  <c r="AM25" i="4"/>
  <c r="BV12" i="9" l="1"/>
  <c r="BV16" i="9" s="1"/>
  <c r="BV444" i="9" s="1"/>
  <c r="AM52" i="4"/>
  <c r="AM12" i="4"/>
  <c r="AM31" i="5"/>
  <c r="AM23" i="5"/>
  <c r="AM20" i="5"/>
  <c r="AM18" i="5"/>
  <c r="AM16" i="5"/>
  <c r="BV448" i="9" l="1"/>
  <c r="AM14" i="5"/>
  <c r="AM160" i="1"/>
  <c r="AM155" i="1"/>
  <c r="AM150" i="1"/>
  <c r="AM139" i="1"/>
  <c r="AM131" i="1"/>
  <c r="AM116" i="1"/>
  <c r="AM110" i="1"/>
  <c r="AM99" i="1"/>
  <c r="AM89" i="1"/>
  <c r="AM84" i="1"/>
  <c r="AM78" i="1"/>
  <c r="AM74" i="1"/>
  <c r="AM71" i="1"/>
  <c r="AM66" i="1"/>
  <c r="AM63" i="1"/>
  <c r="AM56" i="1"/>
  <c r="AM53" i="1"/>
  <c r="AM40" i="1"/>
  <c r="AM37" i="1"/>
  <c r="BW12" i="9" l="1"/>
  <c r="BW16" i="9" s="1"/>
  <c r="BW444" i="9" s="1"/>
  <c r="AM83" i="1"/>
  <c r="AM70" i="1"/>
  <c r="AM32" i="1"/>
  <c r="AM21" i="1" s="1"/>
  <c r="AM60" i="1"/>
  <c r="AM95" i="1"/>
  <c r="AM138" i="1"/>
  <c r="AM125" i="1" s="1"/>
  <c r="AM45" i="1"/>
  <c r="BW448" i="9" l="1"/>
  <c r="AM44" i="1"/>
  <c r="AM19" i="1" s="1"/>
  <c r="AM17" i="1" s="1"/>
  <c r="BX12" i="9" l="1"/>
  <c r="BX16" i="9" s="1"/>
  <c r="BX444" i="9" s="1"/>
  <c r="AM15" i="1"/>
  <c r="AM12" i="1" s="1"/>
  <c r="AL71" i="4"/>
  <c r="AL70" i="4"/>
  <c r="AL69" i="4"/>
  <c r="AL51" i="4"/>
  <c r="AL66" i="4" s="1"/>
  <c r="AL43" i="4"/>
  <c r="AL40" i="4"/>
  <c r="AL59" i="4" s="1"/>
  <c r="AL37" i="4"/>
  <c r="AL58" i="4" s="1"/>
  <c r="AL32" i="4"/>
  <c r="AL27" i="4"/>
  <c r="AL21" i="4"/>
  <c r="AL55" i="4" s="1"/>
  <c r="AL16" i="4"/>
  <c r="AL31" i="5"/>
  <c r="AL23" i="5"/>
  <c r="AL20" i="5"/>
  <c r="AL18" i="5"/>
  <c r="AL16" i="5"/>
  <c r="AL160" i="1"/>
  <c r="AL155" i="1"/>
  <c r="AL150" i="1"/>
  <c r="AL139" i="1"/>
  <c r="AL131" i="1"/>
  <c r="AL116" i="1"/>
  <c r="AL110" i="1"/>
  <c r="AL99" i="1"/>
  <c r="AL89" i="1"/>
  <c r="AL84" i="1"/>
  <c r="AL78" i="1"/>
  <c r="AL74" i="1"/>
  <c r="AL71" i="1"/>
  <c r="AL66" i="1"/>
  <c r="AL63" i="1"/>
  <c r="AL56" i="1"/>
  <c r="AL53" i="1"/>
  <c r="AL40" i="1"/>
  <c r="AL37" i="1"/>
  <c r="BX448" i="9" l="1"/>
  <c r="AL54" i="4"/>
  <c r="AL60" i="4"/>
  <c r="AL57" i="4"/>
  <c r="AL56" i="4"/>
  <c r="AM10" i="1"/>
  <c r="AL32" i="1"/>
  <c r="AL21" i="1" s="1"/>
  <c r="AL67" i="4"/>
  <c r="AL45" i="1"/>
  <c r="AL138" i="1"/>
  <c r="AL125" i="1" s="1"/>
  <c r="AL83" i="1"/>
  <c r="AL70" i="1"/>
  <c r="AL95" i="1"/>
  <c r="AL60" i="1"/>
  <c r="AL14" i="5"/>
  <c r="AL14" i="4"/>
  <c r="AL25" i="4"/>
  <c r="BY12" i="9" l="1"/>
  <c r="BY16" i="9" s="1"/>
  <c r="BY444" i="9" s="1"/>
  <c r="AL52" i="4"/>
  <c r="AL12" i="4"/>
  <c r="AL44" i="1"/>
  <c r="AL19" i="1" s="1"/>
  <c r="AL17" i="1" s="1"/>
  <c r="AK71" i="4"/>
  <c r="AK70" i="4"/>
  <c r="AK69" i="4"/>
  <c r="AK51" i="4"/>
  <c r="AK66" i="4" s="1"/>
  <c r="AK43" i="4"/>
  <c r="AK60" i="4" s="1"/>
  <c r="AK40" i="4"/>
  <c r="AK59" i="4" s="1"/>
  <c r="AK37" i="4"/>
  <c r="AK58" i="4" s="1"/>
  <c r="AK32" i="4"/>
  <c r="AK57" i="4" s="1"/>
  <c r="AK27" i="4"/>
  <c r="AK21" i="4"/>
  <c r="AK55" i="4" s="1"/>
  <c r="AK16" i="4"/>
  <c r="AK31" i="5"/>
  <c r="AK23" i="5"/>
  <c r="AK20" i="5"/>
  <c r="AK18" i="5"/>
  <c r="AK16" i="5"/>
  <c r="AK160" i="1"/>
  <c r="AK155" i="1"/>
  <c r="AK150" i="1"/>
  <c r="AK139" i="1"/>
  <c r="AK131" i="1"/>
  <c r="AK116" i="1"/>
  <c r="AK110" i="1"/>
  <c r="AK99" i="1"/>
  <c r="AK89" i="1"/>
  <c r="AK84" i="1"/>
  <c r="AK78" i="1"/>
  <c r="AK74" i="1"/>
  <c r="AK71" i="1"/>
  <c r="AK66" i="1"/>
  <c r="AK63" i="1"/>
  <c r="AK56" i="1"/>
  <c r="AK53" i="1"/>
  <c r="AK40" i="1"/>
  <c r="AK37" i="1"/>
  <c r="BY448" i="9" l="1"/>
  <c r="AK56" i="4"/>
  <c r="AK54" i="4"/>
  <c r="AL15" i="1"/>
  <c r="AK83" i="1"/>
  <c r="AK95" i="1"/>
  <c r="AK14" i="4"/>
  <c r="AK67" i="4"/>
  <c r="AK32" i="1"/>
  <c r="AK21" i="1" s="1"/>
  <c r="AK60" i="1"/>
  <c r="AK70" i="1"/>
  <c r="AK14" i="5"/>
  <c r="AK138" i="1"/>
  <c r="AK125" i="1" s="1"/>
  <c r="AK45" i="1"/>
  <c r="AK25" i="4"/>
  <c r="BZ12" i="9" l="1"/>
  <c r="BZ16" i="9" s="1"/>
  <c r="BZ444" i="9" s="1"/>
  <c r="AK52" i="4"/>
  <c r="AL12" i="1"/>
  <c r="AK12" i="4"/>
  <c r="AK44" i="1"/>
  <c r="AK19" i="1" s="1"/>
  <c r="BZ448" i="9" l="1"/>
  <c r="AL10" i="1"/>
  <c r="AK17" i="1"/>
  <c r="AJ71" i="4"/>
  <c r="AJ70" i="4"/>
  <c r="AJ69" i="4"/>
  <c r="AJ51" i="4"/>
  <c r="AJ66" i="4" s="1"/>
  <c r="AJ43" i="4"/>
  <c r="AJ40" i="4"/>
  <c r="AJ59" i="4" s="1"/>
  <c r="AJ37" i="4"/>
  <c r="AJ58" i="4" s="1"/>
  <c r="AJ32" i="4"/>
  <c r="AJ27" i="4"/>
  <c r="AJ21" i="4"/>
  <c r="AJ55" i="4" s="1"/>
  <c r="AJ16" i="4"/>
  <c r="AJ31" i="5"/>
  <c r="AJ23" i="5"/>
  <c r="AJ20" i="5"/>
  <c r="AJ18" i="5"/>
  <c r="AJ16" i="5"/>
  <c r="AJ160" i="1"/>
  <c r="AI160" i="1"/>
  <c r="AJ155" i="1"/>
  <c r="AI155" i="1"/>
  <c r="AJ150" i="1"/>
  <c r="AI150" i="1"/>
  <c r="AJ139" i="1"/>
  <c r="AI139" i="1"/>
  <c r="AJ131" i="1"/>
  <c r="AI131" i="1"/>
  <c r="AJ116" i="1"/>
  <c r="AI116" i="1"/>
  <c r="AJ110" i="1"/>
  <c r="AI110" i="1"/>
  <c r="AJ99" i="1"/>
  <c r="AI99" i="1"/>
  <c r="AJ89" i="1"/>
  <c r="AI89" i="1"/>
  <c r="AJ84" i="1"/>
  <c r="AI84" i="1"/>
  <c r="AJ78" i="1"/>
  <c r="AI78" i="1"/>
  <c r="AJ74" i="1"/>
  <c r="AI74" i="1"/>
  <c r="AJ71" i="1"/>
  <c r="AI71" i="1"/>
  <c r="AJ66" i="1"/>
  <c r="AI66" i="1"/>
  <c r="AJ63" i="1"/>
  <c r="AI63" i="1"/>
  <c r="AJ56" i="1"/>
  <c r="AI56" i="1"/>
  <c r="AJ53" i="1"/>
  <c r="AI53" i="1"/>
  <c r="AJ40" i="1"/>
  <c r="AI40" i="1"/>
  <c r="AJ37" i="1"/>
  <c r="AI37" i="1"/>
  <c r="CA12" i="9" l="1"/>
  <c r="CA16" i="9" s="1"/>
  <c r="CA444" i="9" s="1"/>
  <c r="AJ60" i="4"/>
  <c r="AJ56" i="4"/>
  <c r="AK15" i="1"/>
  <c r="AJ45" i="1"/>
  <c r="AJ83" i="1"/>
  <c r="AJ95" i="1"/>
  <c r="AJ67" i="4"/>
  <c r="AJ138" i="1"/>
  <c r="AJ125" i="1" s="1"/>
  <c r="AJ32" i="1"/>
  <c r="AJ21" i="1" s="1"/>
  <c r="AJ25" i="4"/>
  <c r="AI32" i="1"/>
  <c r="AI21" i="1" s="1"/>
  <c r="AI45" i="1"/>
  <c r="AI83" i="1"/>
  <c r="AI70" i="1"/>
  <c r="AJ70" i="1"/>
  <c r="AI95" i="1"/>
  <c r="AJ14" i="4"/>
  <c r="AJ54" i="4"/>
  <c r="AJ57" i="4"/>
  <c r="AJ14" i="5"/>
  <c r="AI60" i="1"/>
  <c r="AJ60" i="1"/>
  <c r="AI138" i="1"/>
  <c r="AI125" i="1" s="1"/>
  <c r="CA448" i="9" l="1"/>
  <c r="AK12" i="1"/>
  <c r="AJ12" i="4"/>
  <c r="AI44" i="1"/>
  <c r="AI19" i="1" s="1"/>
  <c r="AI17" i="1" s="1"/>
  <c r="AI15" i="1" s="1"/>
  <c r="AJ52" i="4"/>
  <c r="AJ44" i="1"/>
  <c r="AJ19" i="1" s="1"/>
  <c r="CB12" i="9" l="1"/>
  <c r="CB16" i="9" s="1"/>
  <c r="CB444" i="9" s="1"/>
  <c r="AK10" i="1"/>
  <c r="AJ17" i="1"/>
  <c r="AI12" i="1"/>
  <c r="CB448" i="9" l="1"/>
  <c r="AJ15" i="1"/>
  <c r="AI10" i="1"/>
  <c r="CC12" i="9" l="1"/>
  <c r="CC16" i="9" s="1"/>
  <c r="CC444" i="9" s="1"/>
  <c r="AJ12" i="1"/>
  <c r="AI71" i="4"/>
  <c r="AI70" i="4"/>
  <c r="AI69" i="4"/>
  <c r="AI51" i="4"/>
  <c r="AI66" i="4" s="1"/>
  <c r="AI43" i="4"/>
  <c r="AI60" i="4" s="1"/>
  <c r="AI40" i="4"/>
  <c r="AI59" i="4" s="1"/>
  <c r="AI37" i="4"/>
  <c r="AI58" i="4" s="1"/>
  <c r="AI32" i="4"/>
  <c r="AI57" i="4" s="1"/>
  <c r="AI27" i="4"/>
  <c r="AI21" i="4"/>
  <c r="AI55" i="4" s="1"/>
  <c r="AI16" i="4"/>
  <c r="AI31" i="5"/>
  <c r="AI23" i="5"/>
  <c r="AI20" i="5"/>
  <c r="AI18" i="5"/>
  <c r="AI16" i="5"/>
  <c r="CC448" i="9" l="1"/>
  <c r="AJ10" i="1"/>
  <c r="AI14" i="4"/>
  <c r="AI67" i="4"/>
  <c r="AI56" i="4"/>
  <c r="AI14" i="5"/>
  <c r="AI54" i="4"/>
  <c r="AI25" i="4"/>
  <c r="CD12" i="9" l="1"/>
  <c r="CD16" i="9" s="1"/>
  <c r="CD444" i="9" s="1"/>
  <c r="AI52" i="4"/>
  <c r="AI12" i="4"/>
  <c r="AH71" i="4"/>
  <c r="AH70" i="4"/>
  <c r="AH69" i="4"/>
  <c r="AH51" i="4"/>
  <c r="AH66" i="4" s="1"/>
  <c r="AH43" i="4"/>
  <c r="AH40" i="4"/>
  <c r="AH59" i="4" s="1"/>
  <c r="AH37" i="4"/>
  <c r="AH58" i="4" s="1"/>
  <c r="AH32" i="4"/>
  <c r="AH27" i="4"/>
  <c r="AH21" i="4"/>
  <c r="AH55" i="4" s="1"/>
  <c r="AH16" i="4"/>
  <c r="AH31" i="5"/>
  <c r="AH23" i="5"/>
  <c r="AH20" i="5"/>
  <c r="AH18" i="5"/>
  <c r="AH16" i="5"/>
  <c r="CD448" i="9" l="1"/>
  <c r="CE12" i="9" s="1"/>
  <c r="CE16" i="9" s="1"/>
  <c r="CE444" i="9" s="1"/>
  <c r="AH60" i="4"/>
  <c r="AH56" i="4"/>
  <c r="AH14" i="5"/>
  <c r="AH14" i="4"/>
  <c r="AH67" i="4"/>
  <c r="AH54" i="4"/>
  <c r="AH25" i="4"/>
  <c r="AH57" i="4"/>
  <c r="AH160" i="1"/>
  <c r="AH155" i="1"/>
  <c r="AH150" i="1"/>
  <c r="AH139" i="1"/>
  <c r="AH131" i="1"/>
  <c r="AH116" i="1"/>
  <c r="AH110" i="1"/>
  <c r="AH99" i="1"/>
  <c r="AH89" i="1"/>
  <c r="AH84" i="1"/>
  <c r="AH78" i="1"/>
  <c r="AH74" i="1"/>
  <c r="AH71" i="1"/>
  <c r="AH66" i="1"/>
  <c r="AH63" i="1"/>
  <c r="AH56" i="1"/>
  <c r="AH53" i="1"/>
  <c r="AH40" i="1"/>
  <c r="AH37" i="1"/>
  <c r="CE448" i="9" l="1"/>
  <c r="CF12" i="9" s="1"/>
  <c r="AH70" i="1"/>
  <c r="AH83" i="1"/>
  <c r="AH12" i="4"/>
  <c r="AH52" i="4"/>
  <c r="AH32" i="1"/>
  <c r="AH21" i="1" s="1"/>
  <c r="AH60" i="1"/>
  <c r="AH138" i="1"/>
  <c r="AH125" i="1" s="1"/>
  <c r="AH45" i="1"/>
  <c r="AH95" i="1"/>
  <c r="CF16" i="9" l="1"/>
  <c r="AH44" i="1"/>
  <c r="AH19" i="1" s="1"/>
  <c r="CF444" i="9" l="1"/>
  <c r="AH17" i="1"/>
  <c r="CF448" i="9" l="1"/>
  <c r="CG12" i="9" s="1"/>
  <c r="CG16" i="9" s="1"/>
  <c r="CG444" i="9" s="1"/>
  <c r="CG448" i="9" s="1"/>
  <c r="CH12" i="9" s="1"/>
  <c r="CH16" i="9" s="1"/>
  <c r="CH444" i="9" s="1"/>
  <c r="CH448" i="9" s="1"/>
  <c r="CI12" i="9" s="1"/>
  <c r="AH15" i="1"/>
  <c r="AG71" i="4"/>
  <c r="AG70" i="4"/>
  <c r="AG69" i="4"/>
  <c r="AG51" i="4"/>
  <c r="AG66" i="4" s="1"/>
  <c r="AG43" i="4"/>
  <c r="AG40" i="4"/>
  <c r="AG59" i="4" s="1"/>
  <c r="AG37" i="4"/>
  <c r="AG58" i="4" s="1"/>
  <c r="AG32" i="4"/>
  <c r="AG27" i="4"/>
  <c r="AG21" i="4"/>
  <c r="AG55" i="4" s="1"/>
  <c r="AG16" i="4"/>
  <c r="AG31" i="5"/>
  <c r="AG23" i="5"/>
  <c r="AG20" i="5"/>
  <c r="AG18" i="5"/>
  <c r="AG16" i="5"/>
  <c r="CI16" i="9" l="1"/>
  <c r="AH12" i="1"/>
  <c r="AG60" i="4"/>
  <c r="AG67" i="4"/>
  <c r="AG14" i="4"/>
  <c r="AG54" i="4"/>
  <c r="AG56" i="4"/>
  <c r="AG57" i="4"/>
  <c r="AG25" i="4"/>
  <c r="AG14" i="5"/>
  <c r="AG160" i="1"/>
  <c r="AG155" i="1"/>
  <c r="AG150" i="1"/>
  <c r="AG139" i="1"/>
  <c r="AG131" i="1"/>
  <c r="AG116" i="1"/>
  <c r="AG110" i="1"/>
  <c r="AG99" i="1"/>
  <c r="AG89" i="1"/>
  <c r="AG84" i="1"/>
  <c r="AG78" i="1"/>
  <c r="AG74" i="1"/>
  <c r="AG71" i="1"/>
  <c r="AG66" i="1"/>
  <c r="AG63" i="1"/>
  <c r="AG56" i="1"/>
  <c r="AG53" i="1"/>
  <c r="AG40" i="1"/>
  <c r="AG37" i="1"/>
  <c r="CI444" i="9" l="1"/>
  <c r="AH10" i="1"/>
  <c r="AG83" i="1"/>
  <c r="AG138" i="1"/>
  <c r="AG125" i="1" s="1"/>
  <c r="AG32" i="1"/>
  <c r="AG21" i="1" s="1"/>
  <c r="AG52" i="4"/>
  <c r="AG45" i="1"/>
  <c r="AG70" i="1"/>
  <c r="AG60" i="1"/>
  <c r="AG12" i="4"/>
  <c r="AG95" i="1"/>
  <c r="CI448" i="9" l="1"/>
  <c r="CJ12" i="9" s="1"/>
  <c r="CJ16" i="9" s="1"/>
  <c r="CJ444" i="9" s="1"/>
  <c r="AG44" i="1"/>
  <c r="AG19" i="1" s="1"/>
  <c r="CJ448" i="9" l="1"/>
  <c r="AG17" i="1"/>
  <c r="AG15" i="1" l="1"/>
  <c r="AF71" i="4"/>
  <c r="AF70" i="4"/>
  <c r="AF69" i="4"/>
  <c r="AF51" i="4"/>
  <c r="AF66" i="4" s="1"/>
  <c r="AF43" i="4"/>
  <c r="AF60" i="4" s="1"/>
  <c r="AF40" i="4"/>
  <c r="AF59" i="4" s="1"/>
  <c r="AF37" i="4"/>
  <c r="AF58" i="4" s="1"/>
  <c r="AF32" i="4"/>
  <c r="AF27" i="4"/>
  <c r="AF21" i="4"/>
  <c r="AF55" i="4" s="1"/>
  <c r="AF16" i="4"/>
  <c r="AG12" i="1" l="1"/>
  <c r="AF57" i="4"/>
  <c r="AF56" i="4"/>
  <c r="AF67" i="4"/>
  <c r="AF14" i="4"/>
  <c r="AF25" i="4"/>
  <c r="AF54" i="4"/>
  <c r="AG10" i="1" l="1"/>
  <c r="AF52" i="4"/>
  <c r="AF12" i="4"/>
  <c r="AF31" i="5"/>
  <c r="AF23" i="5"/>
  <c r="AF20" i="5"/>
  <c r="AF18" i="5"/>
  <c r="AF16" i="5"/>
  <c r="AF14" i="5" l="1"/>
  <c r="AF160" i="1"/>
  <c r="AF155" i="1"/>
  <c r="AF150" i="1"/>
  <c r="AF139" i="1"/>
  <c r="AF131" i="1"/>
  <c r="AF116" i="1"/>
  <c r="AF110" i="1"/>
  <c r="AF99" i="1"/>
  <c r="AF89" i="1"/>
  <c r="AF84" i="1"/>
  <c r="AF78" i="1"/>
  <c r="AF74" i="1"/>
  <c r="AF71" i="1"/>
  <c r="AF66" i="1"/>
  <c r="AF63" i="1"/>
  <c r="AF56" i="1"/>
  <c r="AF53" i="1"/>
  <c r="AF40" i="1"/>
  <c r="AF37" i="1"/>
  <c r="AE71" i="4"/>
  <c r="AE70" i="4"/>
  <c r="AE69" i="4"/>
  <c r="AE51" i="4"/>
  <c r="AE66" i="4" s="1"/>
  <c r="AE43" i="4"/>
  <c r="AE40" i="4"/>
  <c r="AE59" i="4" s="1"/>
  <c r="AE37" i="4"/>
  <c r="AE32" i="4"/>
  <c r="AE27" i="4"/>
  <c r="AE21" i="4"/>
  <c r="AE55" i="4" s="1"/>
  <c r="AE16" i="4"/>
  <c r="AE31" i="5"/>
  <c r="AE23" i="5"/>
  <c r="AE20" i="5"/>
  <c r="AE18" i="5"/>
  <c r="AE16" i="5"/>
  <c r="AE160" i="1"/>
  <c r="AE155" i="1"/>
  <c r="AE150" i="1"/>
  <c r="AE139" i="1"/>
  <c r="AE131" i="1"/>
  <c r="AE116" i="1"/>
  <c r="AE110" i="1"/>
  <c r="AE99" i="1"/>
  <c r="AE89" i="1"/>
  <c r="AE84" i="1"/>
  <c r="AE78" i="1"/>
  <c r="AE74" i="1"/>
  <c r="AE71" i="1"/>
  <c r="AE66" i="1"/>
  <c r="AE63" i="1"/>
  <c r="AE56" i="1"/>
  <c r="AE53" i="1"/>
  <c r="AE40" i="1"/>
  <c r="AE37" i="1"/>
  <c r="AF83" i="1" l="1"/>
  <c r="AE60" i="4"/>
  <c r="AE58" i="4"/>
  <c r="AE56" i="4"/>
  <c r="AF70" i="1"/>
  <c r="AF60" i="1"/>
  <c r="AF138" i="1"/>
  <c r="AF125" i="1" s="1"/>
  <c r="AF32" i="1"/>
  <c r="AF21" i="1" s="1"/>
  <c r="AF95" i="1"/>
  <c r="AF45" i="1"/>
  <c r="AE70" i="1"/>
  <c r="AE32" i="1"/>
  <c r="AE21" i="1" s="1"/>
  <c r="AE45" i="1"/>
  <c r="AE83" i="1"/>
  <c r="AE14" i="5"/>
  <c r="AE138" i="1"/>
  <c r="AE125" i="1" s="1"/>
  <c r="AE67" i="4"/>
  <c r="AE25" i="4"/>
  <c r="AE14" i="4"/>
  <c r="AE57" i="4"/>
  <c r="AE54" i="4"/>
  <c r="AE60" i="1"/>
  <c r="AE95" i="1"/>
  <c r="AF44" i="1" l="1"/>
  <c r="AF19" i="1" s="1"/>
  <c r="AF17" i="1" s="1"/>
  <c r="AE12" i="4"/>
  <c r="AE44" i="1"/>
  <c r="AE19" i="1" s="1"/>
  <c r="AE52" i="4"/>
  <c r="AF15" i="1" l="1"/>
  <c r="AE17" i="1"/>
  <c r="AD160" i="1"/>
  <c r="AD155" i="1"/>
  <c r="AD150" i="1"/>
  <c r="AD139" i="1"/>
  <c r="AD131" i="1"/>
  <c r="AD116" i="1"/>
  <c r="AD110" i="1"/>
  <c r="AD99" i="1"/>
  <c r="AD89" i="1"/>
  <c r="AD84" i="1"/>
  <c r="AD78" i="1"/>
  <c r="AD74" i="1"/>
  <c r="AD71" i="1"/>
  <c r="AD66" i="1"/>
  <c r="AD63" i="1"/>
  <c r="AD56" i="1"/>
  <c r="AD53" i="1"/>
  <c r="AD40" i="1"/>
  <c r="AD37" i="1"/>
  <c r="AD71" i="4"/>
  <c r="AD70" i="4"/>
  <c r="AD69" i="4"/>
  <c r="AD51" i="4"/>
  <c r="AD66" i="4" s="1"/>
  <c r="AD43" i="4"/>
  <c r="AD40" i="4"/>
  <c r="AD59" i="4" s="1"/>
  <c r="AD37" i="4"/>
  <c r="AD32" i="4"/>
  <c r="AD27" i="4"/>
  <c r="AD21" i="4"/>
  <c r="AD55" i="4" s="1"/>
  <c r="AD16" i="4"/>
  <c r="AD54" i="4" s="1"/>
  <c r="AD31" i="5"/>
  <c r="AD23" i="5"/>
  <c r="AD20" i="5"/>
  <c r="AD18" i="5"/>
  <c r="AD16" i="5"/>
  <c r="AF12" i="1" l="1"/>
  <c r="AE15" i="1"/>
  <c r="AD60" i="4"/>
  <c r="AD58" i="4"/>
  <c r="AD57" i="4"/>
  <c r="AD56" i="4"/>
  <c r="AD83" i="1"/>
  <c r="AD60" i="1"/>
  <c r="AD95" i="1"/>
  <c r="AD14" i="4"/>
  <c r="AD45" i="1"/>
  <c r="AD138" i="1"/>
  <c r="AD14" i="5"/>
  <c r="AD25" i="4"/>
  <c r="AD67" i="4"/>
  <c r="AD32" i="1"/>
  <c r="AD21" i="1" s="1"/>
  <c r="AD70" i="1"/>
  <c r="C71" i="4"/>
  <c r="C70" i="4"/>
  <c r="C69" i="4"/>
  <c r="D71" i="4"/>
  <c r="D70" i="4"/>
  <c r="D69" i="4"/>
  <c r="E71" i="4"/>
  <c r="E70" i="4"/>
  <c r="E69" i="4"/>
  <c r="F71" i="4"/>
  <c r="F70" i="4"/>
  <c r="F69" i="4"/>
  <c r="G71" i="4"/>
  <c r="G70" i="4"/>
  <c r="G69" i="4"/>
  <c r="H71" i="4"/>
  <c r="H70" i="4"/>
  <c r="H69" i="4"/>
  <c r="I71" i="4"/>
  <c r="I70" i="4"/>
  <c r="I69" i="4"/>
  <c r="J71" i="4"/>
  <c r="J70" i="4"/>
  <c r="J69" i="4"/>
  <c r="K71" i="4"/>
  <c r="K70" i="4"/>
  <c r="K69" i="4"/>
  <c r="L71" i="4"/>
  <c r="L70" i="4"/>
  <c r="L69" i="4"/>
  <c r="M71" i="4"/>
  <c r="M70" i="4"/>
  <c r="M69" i="4"/>
  <c r="N71" i="4"/>
  <c r="N70" i="4"/>
  <c r="N69" i="4"/>
  <c r="O71" i="4"/>
  <c r="O70" i="4"/>
  <c r="O69" i="4"/>
  <c r="P71" i="4"/>
  <c r="P70" i="4"/>
  <c r="P69" i="4"/>
  <c r="Q71" i="4"/>
  <c r="Q70" i="4"/>
  <c r="Q69" i="4"/>
  <c r="R71" i="4"/>
  <c r="R70" i="4"/>
  <c r="R69" i="4"/>
  <c r="S71" i="4"/>
  <c r="S70" i="4"/>
  <c r="S69" i="4"/>
  <c r="T71" i="4"/>
  <c r="T70" i="4"/>
  <c r="T69" i="4"/>
  <c r="U71" i="4"/>
  <c r="U70" i="4"/>
  <c r="U69" i="4"/>
  <c r="V71" i="4"/>
  <c r="V70" i="4"/>
  <c r="V69" i="4"/>
  <c r="W71" i="4"/>
  <c r="W70" i="4"/>
  <c r="W69" i="4"/>
  <c r="X71" i="4"/>
  <c r="X70" i="4"/>
  <c r="X69" i="4"/>
  <c r="Y71" i="4"/>
  <c r="Y70" i="4"/>
  <c r="Y69" i="4"/>
  <c r="Z71" i="4"/>
  <c r="Z70" i="4"/>
  <c r="Z69" i="4"/>
  <c r="AA71" i="4"/>
  <c r="AA70" i="4"/>
  <c r="AA69" i="4"/>
  <c r="AB71" i="4"/>
  <c r="AB70" i="4"/>
  <c r="AB69" i="4"/>
  <c r="AC71" i="4"/>
  <c r="AC70" i="4"/>
  <c r="AC69" i="4"/>
  <c r="AC51" i="4"/>
  <c r="AC66" i="4" s="1"/>
  <c r="AC43" i="4"/>
  <c r="AC60" i="4" s="1"/>
  <c r="AC40" i="4"/>
  <c r="AC37" i="4"/>
  <c r="AC58" i="4" s="1"/>
  <c r="AC32" i="4"/>
  <c r="AC27" i="4"/>
  <c r="AC21" i="4"/>
  <c r="AC55" i="4" s="1"/>
  <c r="AC16" i="4"/>
  <c r="AC31" i="5"/>
  <c r="AC23" i="5"/>
  <c r="AC20" i="5"/>
  <c r="AC18" i="5"/>
  <c r="AC16" i="5"/>
  <c r="AD52" i="4" l="1"/>
  <c r="AF10" i="1"/>
  <c r="AE12" i="1"/>
  <c r="AD125" i="1"/>
  <c r="AD12" i="4"/>
  <c r="AD44" i="1"/>
  <c r="AD19" i="1" s="1"/>
  <c r="AC57" i="4"/>
  <c r="AC59" i="4"/>
  <c r="AC14" i="5"/>
  <c r="AC14" i="4"/>
  <c r="AC25" i="4"/>
  <c r="AC54" i="4"/>
  <c r="AC67" i="4"/>
  <c r="AC56" i="4"/>
  <c r="AC160" i="1"/>
  <c r="AC155" i="1"/>
  <c r="AC150" i="1"/>
  <c r="AC139" i="1"/>
  <c r="AC131" i="1"/>
  <c r="AC116" i="1"/>
  <c r="AC110" i="1"/>
  <c r="AC99" i="1"/>
  <c r="AC89" i="1"/>
  <c r="AC84" i="1"/>
  <c r="AC78" i="1"/>
  <c r="AC74" i="1"/>
  <c r="AC71" i="1"/>
  <c r="AC66" i="1"/>
  <c r="AC63" i="1"/>
  <c r="AC56" i="1"/>
  <c r="AC53" i="1"/>
  <c r="AC40" i="1"/>
  <c r="AC37" i="1"/>
  <c r="AE10" i="1" l="1"/>
  <c r="AD17" i="1"/>
  <c r="AC95" i="1"/>
  <c r="AC12" i="4"/>
  <c r="AC83" i="1"/>
  <c r="AC60" i="1"/>
  <c r="AC32" i="1"/>
  <c r="AC21" i="1" s="1"/>
  <c r="AC138" i="1"/>
  <c r="AC125" i="1" s="1"/>
  <c r="AC45" i="1"/>
  <c r="AC70" i="1"/>
  <c r="AC52" i="4"/>
  <c r="AD15" i="1" l="1"/>
  <c r="AC44" i="1"/>
  <c r="AC19" i="1" s="1"/>
  <c r="AC17" i="1" s="1"/>
  <c r="AB51" i="4"/>
  <c r="AB66" i="4" s="1"/>
  <c r="AB43" i="4"/>
  <c r="AB40" i="4"/>
  <c r="AB59" i="4" s="1"/>
  <c r="AB37" i="4"/>
  <c r="AB58" i="4" s="1"/>
  <c r="AB32" i="4"/>
  <c r="AB27" i="4"/>
  <c r="AB21" i="4"/>
  <c r="AB55" i="4" s="1"/>
  <c r="AB16" i="4"/>
  <c r="AB54" i="4" s="1"/>
  <c r="AB31" i="5"/>
  <c r="AB23" i="5"/>
  <c r="AB20" i="5"/>
  <c r="AB18" i="5"/>
  <c r="AB16" i="5"/>
  <c r="AB160" i="1"/>
  <c r="AB155" i="1"/>
  <c r="AB150" i="1"/>
  <c r="AB139" i="1"/>
  <c r="AB131" i="1"/>
  <c r="AB116" i="1"/>
  <c r="AB110" i="1"/>
  <c r="AB99" i="1"/>
  <c r="AB89" i="1"/>
  <c r="AB84" i="1"/>
  <c r="AB78" i="1"/>
  <c r="AB74" i="1"/>
  <c r="AB71" i="1"/>
  <c r="AB66" i="1"/>
  <c r="AB63" i="1"/>
  <c r="AB56" i="1"/>
  <c r="AB53" i="1"/>
  <c r="AB40" i="1"/>
  <c r="AB37" i="1"/>
  <c r="AD12" i="1" l="1"/>
  <c r="AB56" i="4"/>
  <c r="AB57" i="4"/>
  <c r="AB60" i="4"/>
  <c r="AC15" i="1"/>
  <c r="AB95" i="1"/>
  <c r="AB138" i="1"/>
  <c r="AB125" i="1" s="1"/>
  <c r="AB60" i="1"/>
  <c r="AB45" i="1"/>
  <c r="AB70" i="1"/>
  <c r="AB14" i="4"/>
  <c r="AB67" i="4"/>
  <c r="AB32" i="1"/>
  <c r="AB21" i="1" s="1"/>
  <c r="AB83" i="1"/>
  <c r="AB14" i="5"/>
  <c r="AB25" i="4"/>
  <c r="AD10" i="1" l="1"/>
  <c r="AB52" i="4"/>
  <c r="AC12" i="1"/>
  <c r="AB44" i="1"/>
  <c r="AB19" i="1" s="1"/>
  <c r="AB17" i="1" s="1"/>
  <c r="AB12" i="4"/>
  <c r="AB15" i="1" l="1"/>
  <c r="AC10" i="1"/>
  <c r="Y43" i="4"/>
  <c r="AA43" i="4"/>
  <c r="Z43" i="4"/>
  <c r="X139" i="1"/>
  <c r="AB12" i="1" l="1"/>
  <c r="AA51" i="4"/>
  <c r="AA66" i="4" s="1"/>
  <c r="AA60" i="4"/>
  <c r="AA40" i="4"/>
  <c r="AA59" i="4" s="1"/>
  <c r="AA37" i="4"/>
  <c r="AA58" i="4" s="1"/>
  <c r="AA32" i="4"/>
  <c r="AA27" i="4"/>
  <c r="AA21" i="4"/>
  <c r="AA55" i="4" s="1"/>
  <c r="AA16" i="4"/>
  <c r="AA31" i="5"/>
  <c r="AA23" i="5"/>
  <c r="AA20" i="5"/>
  <c r="AA18" i="5"/>
  <c r="AA16" i="5"/>
  <c r="AA160" i="1"/>
  <c r="AA155" i="1"/>
  <c r="AA150" i="1"/>
  <c r="AA139" i="1"/>
  <c r="AA131" i="1"/>
  <c r="AA116" i="1"/>
  <c r="AA110" i="1"/>
  <c r="AA99" i="1"/>
  <c r="AA89" i="1"/>
  <c r="AA84" i="1"/>
  <c r="AA78" i="1"/>
  <c r="AA74" i="1"/>
  <c r="AA71" i="1"/>
  <c r="AA66" i="1"/>
  <c r="AA63" i="1"/>
  <c r="AA56" i="1"/>
  <c r="AA53" i="1"/>
  <c r="AA40" i="1"/>
  <c r="AA37" i="1"/>
  <c r="AA32" i="1" l="1"/>
  <c r="AA21" i="1" s="1"/>
  <c r="AA54" i="4"/>
  <c r="AA57" i="4"/>
  <c r="AB10" i="1"/>
  <c r="AA14" i="4"/>
  <c r="AA83" i="1"/>
  <c r="AA95" i="1"/>
  <c r="AA138" i="1"/>
  <c r="AA125" i="1" s="1"/>
  <c r="AA14" i="5"/>
  <c r="AA25" i="4"/>
  <c r="AA45" i="1"/>
  <c r="AA70" i="1"/>
  <c r="AA56" i="4"/>
  <c r="AA60" i="1"/>
  <c r="AA67" i="4"/>
  <c r="Z160" i="1"/>
  <c r="Z155" i="1"/>
  <c r="Z150" i="1"/>
  <c r="Z139" i="1"/>
  <c r="Z131" i="1"/>
  <c r="Z116" i="1"/>
  <c r="Z110" i="1"/>
  <c r="Z99" i="1"/>
  <c r="Z89" i="1"/>
  <c r="Z84" i="1"/>
  <c r="Z78" i="1"/>
  <c r="Z74" i="1"/>
  <c r="Z71" i="1"/>
  <c r="Z66" i="1"/>
  <c r="Z63" i="1"/>
  <c r="Z56" i="1"/>
  <c r="Z53" i="1"/>
  <c r="Z40" i="1"/>
  <c r="Z37" i="1"/>
  <c r="Z51" i="4"/>
  <c r="Z66" i="4" s="1"/>
  <c r="Z40" i="4"/>
  <c r="Z59" i="4" s="1"/>
  <c r="Z37" i="4"/>
  <c r="Z58" i="4" s="1"/>
  <c r="Z32" i="4"/>
  <c r="Z27" i="4"/>
  <c r="Z21" i="4"/>
  <c r="Z55" i="4" s="1"/>
  <c r="Z16" i="4"/>
  <c r="Z31" i="5"/>
  <c r="Z23" i="5"/>
  <c r="Z20" i="5"/>
  <c r="Z18" i="5"/>
  <c r="Z16" i="5"/>
  <c r="AA52" i="4" l="1"/>
  <c r="AA12" i="4"/>
  <c r="AA44" i="1"/>
  <c r="AA19" i="1" s="1"/>
  <c r="AA17" i="1" s="1"/>
  <c r="Z60" i="4"/>
  <c r="Z57" i="4"/>
  <c r="Z56" i="4"/>
  <c r="Z60" i="1"/>
  <c r="Z95" i="1"/>
  <c r="Z14" i="5"/>
  <c r="Z14" i="4"/>
  <c r="Z45" i="1"/>
  <c r="Z32" i="1"/>
  <c r="Z21" i="1" s="1"/>
  <c r="Z54" i="4"/>
  <c r="Z67" i="4"/>
  <c r="Z25" i="4"/>
  <c r="Z83" i="1"/>
  <c r="Z138" i="1"/>
  <c r="Z125" i="1" s="1"/>
  <c r="Z70" i="1"/>
  <c r="AA15" i="1" l="1"/>
  <c r="Z52" i="4"/>
  <c r="Z12" i="4"/>
  <c r="Z44" i="1"/>
  <c r="Z19" i="1" s="1"/>
  <c r="Z17" i="1" s="1"/>
  <c r="AA12" i="1" l="1"/>
  <c r="Z15" i="1"/>
  <c r="Y51" i="4"/>
  <c r="Y66" i="4" s="1"/>
  <c r="Y40" i="4"/>
  <c r="Y37" i="4"/>
  <c r="Y32" i="4"/>
  <c r="Y27" i="4"/>
  <c r="Y21" i="4"/>
  <c r="Y16" i="4"/>
  <c r="Y31" i="5"/>
  <c r="Y23" i="5"/>
  <c r="Y20" i="5"/>
  <c r="Y18" i="5"/>
  <c r="Y16" i="5"/>
  <c r="Y160" i="1"/>
  <c r="Y155" i="1"/>
  <c r="Y150" i="1"/>
  <c r="Y139" i="1"/>
  <c r="Y116" i="1"/>
  <c r="Y110" i="1"/>
  <c r="Y99" i="1"/>
  <c r="Y89" i="1"/>
  <c r="Y84" i="1"/>
  <c r="Y78" i="1"/>
  <c r="Y74" i="1"/>
  <c r="Y71" i="1"/>
  <c r="Y66" i="1"/>
  <c r="Y63" i="1"/>
  <c r="Y56" i="1"/>
  <c r="Y53" i="1"/>
  <c r="Y40" i="1"/>
  <c r="Y37" i="1"/>
  <c r="AA10" i="1" l="1"/>
  <c r="Z12" i="1"/>
  <c r="Y60" i="1"/>
  <c r="Y60" i="4"/>
  <c r="Y59" i="4"/>
  <c r="Y58" i="4"/>
  <c r="Y57" i="4"/>
  <c r="Y54" i="4"/>
  <c r="Y32" i="1"/>
  <c r="Y21" i="1" s="1"/>
  <c r="Y14" i="5"/>
  <c r="Y83" i="1"/>
  <c r="Y95" i="1"/>
  <c r="Y70" i="1"/>
  <c r="Y14" i="4"/>
  <c r="Y67" i="4"/>
  <c r="Y138" i="1"/>
  <c r="Y125" i="1" s="1"/>
  <c r="Y55" i="4"/>
  <c r="Y25" i="4"/>
  <c r="Y56" i="4"/>
  <c r="Y45" i="1"/>
  <c r="Y44" i="1" l="1"/>
  <c r="Y19" i="1" s="1"/>
  <c r="Y17" i="1" s="1"/>
  <c r="Z10" i="1"/>
  <c r="Y12" i="4"/>
  <c r="Y52" i="4"/>
  <c r="Y15" i="1" l="1"/>
  <c r="X51" i="4"/>
  <c r="X66" i="4" s="1"/>
  <c r="X43" i="4"/>
  <c r="X40" i="4"/>
  <c r="X59" i="4" s="1"/>
  <c r="X37" i="4"/>
  <c r="X58" i="4" s="1"/>
  <c r="X32" i="4"/>
  <c r="X57" i="4" s="1"/>
  <c r="X27" i="4"/>
  <c r="X21" i="4"/>
  <c r="X55" i="4" s="1"/>
  <c r="X16" i="4"/>
  <c r="X31" i="5"/>
  <c r="X23" i="5"/>
  <c r="X20" i="5"/>
  <c r="X18" i="5"/>
  <c r="X16" i="5"/>
  <c r="X54" i="4" l="1"/>
  <c r="X60" i="4"/>
  <c r="Y12" i="1"/>
  <c r="X14" i="4"/>
  <c r="X67" i="4"/>
  <c r="X14" i="5"/>
  <c r="X25" i="4"/>
  <c r="X56" i="4"/>
  <c r="X160" i="1"/>
  <c r="X155" i="1"/>
  <c r="X150" i="1"/>
  <c r="X116" i="1"/>
  <c r="X110" i="1"/>
  <c r="X99" i="1"/>
  <c r="X89" i="1"/>
  <c r="X84" i="1"/>
  <c r="X78" i="1"/>
  <c r="X74" i="1"/>
  <c r="X71" i="1"/>
  <c r="X66" i="1"/>
  <c r="X63" i="1"/>
  <c r="X56" i="1"/>
  <c r="X53" i="1"/>
  <c r="X40" i="1"/>
  <c r="X37" i="1"/>
  <c r="X52" i="4" l="1"/>
  <c r="Y10" i="1"/>
  <c r="X60" i="1"/>
  <c r="X12" i="4"/>
  <c r="X95" i="1"/>
  <c r="X83" i="1"/>
  <c r="X45" i="1"/>
  <c r="X138" i="1"/>
  <c r="X32" i="1"/>
  <c r="X21" i="1" s="1"/>
  <c r="X70" i="1"/>
  <c r="X125" i="1" l="1"/>
  <c r="X44" i="1"/>
  <c r="X19" i="1" s="1"/>
  <c r="X17" i="1" l="1"/>
  <c r="X15" i="1" l="1"/>
  <c r="X12" i="1" l="1"/>
  <c r="W51" i="4"/>
  <c r="W66" i="4" s="1"/>
  <c r="W43" i="4"/>
  <c r="W60" i="4" s="1"/>
  <c r="W40" i="4"/>
  <c r="W59" i="4" s="1"/>
  <c r="W37" i="4"/>
  <c r="W58" i="4" s="1"/>
  <c r="W32" i="4"/>
  <c r="W27" i="4"/>
  <c r="W21" i="4"/>
  <c r="W55" i="4" s="1"/>
  <c r="W16" i="4"/>
  <c r="W31" i="5"/>
  <c r="W23" i="5"/>
  <c r="W20" i="5"/>
  <c r="W18" i="5"/>
  <c r="W16" i="5"/>
  <c r="W160" i="1"/>
  <c r="W155" i="1"/>
  <c r="W150" i="1"/>
  <c r="W139" i="1"/>
  <c r="W131" i="1"/>
  <c r="W116" i="1"/>
  <c r="W110" i="1"/>
  <c r="W99" i="1"/>
  <c r="W89" i="1"/>
  <c r="W84" i="1"/>
  <c r="W78" i="1"/>
  <c r="W74" i="1"/>
  <c r="W71" i="1"/>
  <c r="W66" i="1"/>
  <c r="W63" i="1"/>
  <c r="W56" i="1"/>
  <c r="W53" i="1"/>
  <c r="W40" i="1"/>
  <c r="W37" i="1"/>
  <c r="X10" i="1" l="1"/>
  <c r="W57" i="4"/>
  <c r="W56" i="4"/>
  <c r="W45" i="1"/>
  <c r="W14" i="5"/>
  <c r="W32" i="1"/>
  <c r="W21" i="1" s="1"/>
  <c r="W138" i="1"/>
  <c r="W125" i="1" s="1"/>
  <c r="W60" i="1"/>
  <c r="W83" i="1"/>
  <c r="W14" i="4"/>
  <c r="W67" i="4"/>
  <c r="W70" i="1"/>
  <c r="W95" i="1"/>
  <c r="W25" i="4"/>
  <c r="W54" i="4"/>
  <c r="W52" i="4" l="1"/>
  <c r="W12" i="4"/>
  <c r="W44" i="1"/>
  <c r="W19" i="1" s="1"/>
  <c r="W17" i="1" s="1"/>
  <c r="W15" i="1" l="1"/>
  <c r="V51" i="4"/>
  <c r="V66" i="4" s="1"/>
  <c r="V43" i="4"/>
  <c r="V40" i="4"/>
  <c r="V59" i="4" s="1"/>
  <c r="V37" i="4"/>
  <c r="V58" i="4" s="1"/>
  <c r="V32" i="4"/>
  <c r="V27" i="4"/>
  <c r="V21" i="4"/>
  <c r="V55" i="4" s="1"/>
  <c r="V16" i="4"/>
  <c r="V54" i="4" s="1"/>
  <c r="V31" i="5"/>
  <c r="V23" i="5"/>
  <c r="V20" i="5"/>
  <c r="V18" i="5"/>
  <c r="V16" i="5"/>
  <c r="V160" i="1"/>
  <c r="V155" i="1"/>
  <c r="V150" i="1"/>
  <c r="V139" i="1"/>
  <c r="V131" i="1"/>
  <c r="V116" i="1"/>
  <c r="V110" i="1"/>
  <c r="V99" i="1"/>
  <c r="V89" i="1"/>
  <c r="V84" i="1"/>
  <c r="V78" i="1"/>
  <c r="V74" i="1"/>
  <c r="V71" i="1"/>
  <c r="V66" i="1"/>
  <c r="V63" i="1"/>
  <c r="V56" i="1"/>
  <c r="V53" i="1"/>
  <c r="V40" i="1"/>
  <c r="V37" i="1"/>
  <c r="W12" i="1" l="1"/>
  <c r="V60" i="4"/>
  <c r="V57" i="4"/>
  <c r="V56" i="4"/>
  <c r="V14" i="4"/>
  <c r="V60" i="1"/>
  <c r="V45" i="1"/>
  <c r="V83" i="1"/>
  <c r="V14" i="5"/>
  <c r="V32" i="1"/>
  <c r="V95" i="1"/>
  <c r="V67" i="4"/>
  <c r="V25" i="4"/>
  <c r="V138" i="1"/>
  <c r="V70" i="1"/>
  <c r="CK18" i="5" l="1"/>
  <c r="CK20" i="5"/>
  <c r="W10" i="1"/>
  <c r="V52" i="4"/>
  <c r="V12" i="4"/>
  <c r="V125" i="1"/>
  <c r="V21" i="1"/>
  <c r="V44" i="1"/>
  <c r="U43" i="4"/>
  <c r="T43" i="4"/>
  <c r="S43" i="4"/>
  <c r="R43" i="4"/>
  <c r="Q43" i="4"/>
  <c r="P43" i="4"/>
  <c r="O43" i="4"/>
  <c r="N43" i="4"/>
  <c r="M43" i="4"/>
  <c r="L43" i="4"/>
  <c r="K43" i="4"/>
  <c r="J43" i="4"/>
  <c r="I43" i="4"/>
  <c r="H43" i="4"/>
  <c r="G43" i="4"/>
  <c r="F43" i="4"/>
  <c r="E43" i="4"/>
  <c r="D43" i="4"/>
  <c r="U40" i="4"/>
  <c r="T40" i="4"/>
  <c r="S40" i="4"/>
  <c r="R40" i="4"/>
  <c r="Q40" i="4"/>
  <c r="P40" i="4"/>
  <c r="O40" i="4"/>
  <c r="N40" i="4"/>
  <c r="M40" i="4"/>
  <c r="L40" i="4"/>
  <c r="K40" i="4"/>
  <c r="J40" i="4"/>
  <c r="I40" i="4"/>
  <c r="H40" i="4"/>
  <c r="G40" i="4"/>
  <c r="F40" i="4"/>
  <c r="E40" i="4"/>
  <c r="D40" i="4"/>
  <c r="U37" i="4"/>
  <c r="T37" i="4"/>
  <c r="S37" i="4"/>
  <c r="R37" i="4"/>
  <c r="Q37" i="4"/>
  <c r="P37" i="4"/>
  <c r="O37" i="4"/>
  <c r="N37" i="4"/>
  <c r="M37" i="4"/>
  <c r="L37" i="4"/>
  <c r="K37" i="4"/>
  <c r="J37" i="4"/>
  <c r="I37" i="4"/>
  <c r="H37" i="4"/>
  <c r="G37" i="4"/>
  <c r="F37" i="4"/>
  <c r="E37" i="4"/>
  <c r="D37" i="4"/>
  <c r="U32" i="4"/>
  <c r="T32" i="4"/>
  <c r="S32" i="4"/>
  <c r="R32" i="4"/>
  <c r="Q32" i="4"/>
  <c r="P32" i="4"/>
  <c r="O32" i="4"/>
  <c r="N32" i="4"/>
  <c r="M32" i="4"/>
  <c r="L32" i="4"/>
  <c r="K32" i="4"/>
  <c r="J32" i="4"/>
  <c r="I32" i="4"/>
  <c r="H32" i="4"/>
  <c r="G32" i="4"/>
  <c r="F32" i="4"/>
  <c r="E32" i="4"/>
  <c r="D32" i="4"/>
  <c r="U27" i="4"/>
  <c r="T27" i="4"/>
  <c r="S27" i="4"/>
  <c r="R27" i="4"/>
  <c r="Q27" i="4"/>
  <c r="P27" i="4"/>
  <c r="O27" i="4"/>
  <c r="N27" i="4"/>
  <c r="M27" i="4"/>
  <c r="L27" i="4"/>
  <c r="K27" i="4"/>
  <c r="J27" i="4"/>
  <c r="I27" i="4"/>
  <c r="H27" i="4"/>
  <c r="G27" i="4"/>
  <c r="F27" i="4"/>
  <c r="E27" i="4"/>
  <c r="D27" i="4"/>
  <c r="U21" i="4"/>
  <c r="T21" i="4"/>
  <c r="S21" i="4"/>
  <c r="R21" i="4"/>
  <c r="Q21" i="4"/>
  <c r="P21" i="4"/>
  <c r="O21" i="4"/>
  <c r="N21" i="4"/>
  <c r="M21" i="4"/>
  <c r="L21" i="4"/>
  <c r="K21" i="4"/>
  <c r="J21" i="4"/>
  <c r="I21" i="4"/>
  <c r="H21" i="4"/>
  <c r="G21" i="4"/>
  <c r="F21" i="4"/>
  <c r="E21" i="4"/>
  <c r="D21" i="4"/>
  <c r="U16" i="4"/>
  <c r="T16" i="4"/>
  <c r="S16" i="4"/>
  <c r="R16" i="4"/>
  <c r="Q16" i="4"/>
  <c r="P16" i="4"/>
  <c r="O16" i="4"/>
  <c r="N16" i="4"/>
  <c r="M16" i="4"/>
  <c r="L16" i="4"/>
  <c r="K16" i="4"/>
  <c r="J16" i="4"/>
  <c r="I16" i="4"/>
  <c r="H16" i="4"/>
  <c r="G16" i="4"/>
  <c r="F16" i="4"/>
  <c r="E16" i="4"/>
  <c r="D16" i="4"/>
  <c r="U31" i="5"/>
  <c r="T31" i="5"/>
  <c r="S31" i="5"/>
  <c r="R31" i="5"/>
  <c r="Q31" i="5"/>
  <c r="P31" i="5"/>
  <c r="O31" i="5"/>
  <c r="N31" i="5"/>
  <c r="M31" i="5"/>
  <c r="L31" i="5"/>
  <c r="K31" i="5"/>
  <c r="J31" i="5"/>
  <c r="I31" i="5"/>
  <c r="H31" i="5"/>
  <c r="G31" i="5"/>
  <c r="F31" i="5"/>
  <c r="E31" i="5"/>
  <c r="D31" i="5"/>
  <c r="U23" i="5"/>
  <c r="T23" i="5"/>
  <c r="S23" i="5"/>
  <c r="R23" i="5"/>
  <c r="Q23" i="5"/>
  <c r="P23" i="5"/>
  <c r="O23" i="5"/>
  <c r="N23" i="5"/>
  <c r="M23" i="5"/>
  <c r="L23" i="5"/>
  <c r="K23" i="5"/>
  <c r="J23" i="5"/>
  <c r="I23" i="5"/>
  <c r="H23" i="5"/>
  <c r="G23" i="5"/>
  <c r="F23" i="5"/>
  <c r="E23" i="5"/>
  <c r="D23" i="5"/>
  <c r="U20" i="5"/>
  <c r="T20" i="5"/>
  <c r="S20" i="5"/>
  <c r="R20" i="5"/>
  <c r="Q20" i="5"/>
  <c r="P20" i="5"/>
  <c r="O20" i="5"/>
  <c r="N20" i="5"/>
  <c r="M20" i="5"/>
  <c r="L20" i="5"/>
  <c r="K20" i="5"/>
  <c r="J20" i="5"/>
  <c r="I20" i="5"/>
  <c r="H20" i="5"/>
  <c r="G20" i="5"/>
  <c r="F20" i="5"/>
  <c r="E20" i="5"/>
  <c r="D20" i="5"/>
  <c r="U18" i="5"/>
  <c r="T18" i="5"/>
  <c r="S18" i="5"/>
  <c r="R18" i="5"/>
  <c r="Q18" i="5"/>
  <c r="P18" i="5"/>
  <c r="O18" i="5"/>
  <c r="N18" i="5"/>
  <c r="M18" i="5"/>
  <c r="L18" i="5"/>
  <c r="K18" i="5"/>
  <c r="J18" i="5"/>
  <c r="I18" i="5"/>
  <c r="H18" i="5"/>
  <c r="G18" i="5"/>
  <c r="F18" i="5"/>
  <c r="E18" i="5"/>
  <c r="D18" i="5"/>
  <c r="U16" i="5"/>
  <c r="T16" i="5"/>
  <c r="S16" i="5"/>
  <c r="R16" i="5"/>
  <c r="Q16" i="5"/>
  <c r="P16" i="5"/>
  <c r="O16" i="5"/>
  <c r="N16" i="5"/>
  <c r="M16" i="5"/>
  <c r="L16" i="5"/>
  <c r="K16" i="5"/>
  <c r="J16" i="5"/>
  <c r="I16" i="5"/>
  <c r="H16" i="5"/>
  <c r="G16" i="5"/>
  <c r="F16" i="5"/>
  <c r="E16" i="5"/>
  <c r="D16" i="5"/>
  <c r="U150" i="1"/>
  <c r="T150" i="1"/>
  <c r="S150" i="1"/>
  <c r="R150" i="1"/>
  <c r="Q150" i="1"/>
  <c r="P150" i="1"/>
  <c r="O150" i="1"/>
  <c r="N150" i="1"/>
  <c r="M150" i="1"/>
  <c r="L150" i="1"/>
  <c r="K150" i="1"/>
  <c r="J150" i="1"/>
  <c r="I150" i="1"/>
  <c r="H150" i="1"/>
  <c r="G150" i="1"/>
  <c r="F150" i="1"/>
  <c r="E150" i="1"/>
  <c r="D150" i="1"/>
  <c r="U139" i="1"/>
  <c r="T139" i="1"/>
  <c r="S139" i="1"/>
  <c r="R139" i="1"/>
  <c r="Q139" i="1"/>
  <c r="P139" i="1"/>
  <c r="O139" i="1"/>
  <c r="N139" i="1"/>
  <c r="M139" i="1"/>
  <c r="L139" i="1"/>
  <c r="K139" i="1"/>
  <c r="J139" i="1"/>
  <c r="I139" i="1"/>
  <c r="H139" i="1"/>
  <c r="G139" i="1"/>
  <c r="F139" i="1"/>
  <c r="E139" i="1"/>
  <c r="D139" i="1"/>
  <c r="U131" i="1"/>
  <c r="T131" i="1"/>
  <c r="S131" i="1"/>
  <c r="R131" i="1"/>
  <c r="Q131" i="1"/>
  <c r="P131" i="1"/>
  <c r="O131" i="1"/>
  <c r="N131" i="1"/>
  <c r="M131" i="1"/>
  <c r="L131" i="1"/>
  <c r="K131" i="1"/>
  <c r="J131" i="1"/>
  <c r="I131" i="1"/>
  <c r="H131" i="1"/>
  <c r="G131" i="1"/>
  <c r="F131" i="1"/>
  <c r="E131" i="1"/>
  <c r="D131" i="1"/>
  <c r="U116" i="1"/>
  <c r="T116" i="1"/>
  <c r="S116" i="1"/>
  <c r="R116" i="1"/>
  <c r="Q116" i="1"/>
  <c r="P116" i="1"/>
  <c r="O116" i="1"/>
  <c r="N116" i="1"/>
  <c r="M116" i="1"/>
  <c r="L116" i="1"/>
  <c r="K116" i="1"/>
  <c r="J116" i="1"/>
  <c r="I116" i="1"/>
  <c r="H116" i="1"/>
  <c r="G116" i="1"/>
  <c r="F116" i="1"/>
  <c r="E116" i="1"/>
  <c r="D116" i="1"/>
  <c r="U110" i="1"/>
  <c r="T110" i="1"/>
  <c r="S110" i="1"/>
  <c r="R110" i="1"/>
  <c r="Q110" i="1"/>
  <c r="P110" i="1"/>
  <c r="O110" i="1"/>
  <c r="N110" i="1"/>
  <c r="M110" i="1"/>
  <c r="L110" i="1"/>
  <c r="K110" i="1"/>
  <c r="J110" i="1"/>
  <c r="I110" i="1"/>
  <c r="H110" i="1"/>
  <c r="G110" i="1"/>
  <c r="F110" i="1"/>
  <c r="E110" i="1"/>
  <c r="D110" i="1"/>
  <c r="U99" i="1"/>
  <c r="T99" i="1"/>
  <c r="S99" i="1"/>
  <c r="R99" i="1"/>
  <c r="Q99" i="1"/>
  <c r="P99" i="1"/>
  <c r="O99" i="1"/>
  <c r="N99" i="1"/>
  <c r="M99" i="1"/>
  <c r="L99" i="1"/>
  <c r="K99" i="1"/>
  <c r="J99" i="1"/>
  <c r="I99" i="1"/>
  <c r="H99" i="1"/>
  <c r="G99" i="1"/>
  <c r="F99" i="1"/>
  <c r="E99" i="1"/>
  <c r="D99" i="1"/>
  <c r="D53" i="1"/>
  <c r="E53" i="1"/>
  <c r="F53" i="1"/>
  <c r="G53" i="1"/>
  <c r="H53" i="1"/>
  <c r="I53" i="1"/>
  <c r="J53" i="1"/>
  <c r="K53" i="1"/>
  <c r="O53" i="1"/>
  <c r="P53" i="1"/>
  <c r="Q53" i="1"/>
  <c r="R53" i="1"/>
  <c r="S53" i="1"/>
  <c r="T53" i="1"/>
  <c r="U53" i="1"/>
  <c r="M45" i="1"/>
  <c r="M44" i="1" s="1"/>
  <c r="N45" i="1"/>
  <c r="N44" i="1" s="1"/>
  <c r="L45" i="1"/>
  <c r="L44" i="1" s="1"/>
  <c r="M32" i="1"/>
  <c r="L32" i="1"/>
  <c r="J32" i="1"/>
  <c r="D56" i="1"/>
  <c r="E56" i="1"/>
  <c r="F56" i="1"/>
  <c r="G56" i="1"/>
  <c r="H56" i="1"/>
  <c r="I56" i="1"/>
  <c r="J56" i="1"/>
  <c r="K56" i="1"/>
  <c r="O56" i="1"/>
  <c r="P56" i="1"/>
  <c r="Q56" i="1"/>
  <c r="R56" i="1"/>
  <c r="S56" i="1"/>
  <c r="T56" i="1"/>
  <c r="U56" i="1"/>
  <c r="F14" i="5" l="1"/>
  <c r="J14" i="5"/>
  <c r="D14" i="5"/>
  <c r="H14" i="5"/>
  <c r="R45" i="1"/>
  <c r="K45" i="1"/>
  <c r="G45" i="1"/>
  <c r="V19" i="1"/>
  <c r="G14" i="5"/>
  <c r="K14" i="5"/>
  <c r="O14" i="5"/>
  <c r="Q45" i="1"/>
  <c r="K138" i="1"/>
  <c r="M14" i="5"/>
  <c r="Q14" i="5"/>
  <c r="U14" i="5"/>
  <c r="F14" i="4"/>
  <c r="E45" i="1"/>
  <c r="G138" i="1"/>
  <c r="G14" i="4"/>
  <c r="K14" i="4"/>
  <c r="O14" i="4"/>
  <c r="N14" i="4"/>
  <c r="D14" i="4"/>
  <c r="H14" i="4"/>
  <c r="T14" i="4"/>
  <c r="J14" i="4"/>
  <c r="O25" i="4"/>
  <c r="L138" i="1"/>
  <c r="F45" i="1"/>
  <c r="P138" i="1"/>
  <c r="L95" i="1"/>
  <c r="P95" i="1"/>
  <c r="O138" i="1"/>
  <c r="U45" i="1"/>
  <c r="J45" i="1"/>
  <c r="E138" i="1"/>
  <c r="I138" i="1"/>
  <c r="M138" i="1"/>
  <c r="Q138" i="1"/>
  <c r="U138" i="1"/>
  <c r="G95" i="1"/>
  <c r="K95" i="1"/>
  <c r="O95" i="1"/>
  <c r="F138" i="1"/>
  <c r="J138" i="1"/>
  <c r="N138" i="1"/>
  <c r="P14" i="5"/>
  <c r="P14" i="4"/>
  <c r="L21" i="1"/>
  <c r="L19" i="1" s="1"/>
  <c r="S45" i="1"/>
  <c r="O45" i="1"/>
  <c r="H45" i="1"/>
  <c r="D45" i="1"/>
  <c r="E14" i="5"/>
  <c r="I14" i="5"/>
  <c r="N25" i="4"/>
  <c r="G25" i="4"/>
  <c r="L14" i="4"/>
  <c r="F25" i="4"/>
  <c r="J25" i="4"/>
  <c r="S25" i="4"/>
  <c r="R25" i="4"/>
  <c r="R14" i="4"/>
  <c r="S14" i="4"/>
  <c r="L14" i="5"/>
  <c r="T14" i="5"/>
  <c r="S14" i="5"/>
  <c r="R14" i="5"/>
  <c r="F95" i="1"/>
  <c r="J95" i="1"/>
  <c r="N95" i="1"/>
  <c r="D138" i="1"/>
  <c r="H138" i="1"/>
  <c r="T138" i="1"/>
  <c r="J21" i="1"/>
  <c r="D95" i="1"/>
  <c r="H95" i="1"/>
  <c r="S138" i="1"/>
  <c r="T45" i="1"/>
  <c r="P45" i="1"/>
  <c r="I45" i="1"/>
  <c r="R138" i="1"/>
  <c r="R95" i="1"/>
  <c r="T95" i="1"/>
  <c r="S95" i="1"/>
  <c r="L25" i="4"/>
  <c r="P25" i="4"/>
  <c r="D25" i="4"/>
  <c r="H25" i="4"/>
  <c r="T25" i="4"/>
  <c r="K25" i="4"/>
  <c r="E25" i="4"/>
  <c r="I25" i="4"/>
  <c r="M25" i="4"/>
  <c r="Q25" i="4"/>
  <c r="U25" i="4"/>
  <c r="E14" i="4"/>
  <c r="I14" i="4"/>
  <c r="M14" i="4"/>
  <c r="Q14" i="4"/>
  <c r="U14" i="4"/>
  <c r="N14" i="5"/>
  <c r="E95" i="1"/>
  <c r="I95" i="1"/>
  <c r="M95" i="1"/>
  <c r="Q95" i="1"/>
  <c r="U95" i="1"/>
  <c r="M21" i="1"/>
  <c r="M19" i="1" s="1"/>
  <c r="K12" i="4" l="1"/>
  <c r="F12" i="4"/>
  <c r="L17" i="1"/>
  <c r="L15" i="1" s="1"/>
  <c r="L12" i="1" s="1"/>
  <c r="L10" i="1" s="1"/>
  <c r="H12" i="4"/>
  <c r="V17" i="1"/>
  <c r="N12" i="4"/>
  <c r="O12" i="4"/>
  <c r="T12" i="4"/>
  <c r="G12" i="4"/>
  <c r="D12" i="4"/>
  <c r="J12" i="4"/>
  <c r="M17" i="1"/>
  <c r="M15" i="1" s="1"/>
  <c r="M12" i="1" s="1"/>
  <c r="M10" i="1" s="1"/>
  <c r="L12" i="4"/>
  <c r="P12" i="4"/>
  <c r="S12" i="4"/>
  <c r="R12" i="4"/>
  <c r="U12" i="4"/>
  <c r="E12" i="4"/>
  <c r="I12" i="4"/>
  <c r="M12" i="4"/>
  <c r="Q12" i="4"/>
  <c r="V15" i="1" l="1"/>
  <c r="C139" i="1"/>
  <c r="C116" i="1"/>
  <c r="C99" i="1"/>
  <c r="U60" i="4"/>
  <c r="U59" i="4"/>
  <c r="U58" i="4"/>
  <c r="U56" i="4"/>
  <c r="U55" i="4"/>
  <c r="U51" i="4"/>
  <c r="U66" i="4" s="1"/>
  <c r="U57" i="4"/>
  <c r="U54" i="4"/>
  <c r="U160" i="1"/>
  <c r="U155" i="1"/>
  <c r="U125" i="1"/>
  <c r="U89" i="1"/>
  <c r="U84" i="1"/>
  <c r="U78" i="1"/>
  <c r="U74" i="1"/>
  <c r="U71" i="1"/>
  <c r="U66" i="1"/>
  <c r="U63" i="1"/>
  <c r="U40" i="1"/>
  <c r="U37" i="1"/>
  <c r="V12" i="1" l="1"/>
  <c r="U70" i="1"/>
  <c r="U67" i="4"/>
  <c r="U60" i="1"/>
  <c r="U32" i="1"/>
  <c r="U83" i="1"/>
  <c r="U52" i="4"/>
  <c r="V10" i="1" l="1"/>
  <c r="U44" i="1"/>
  <c r="U21" i="1"/>
  <c r="T51" i="4"/>
  <c r="T66" i="4" s="1"/>
  <c r="T60" i="4"/>
  <c r="T59" i="4"/>
  <c r="T58" i="4"/>
  <c r="T57" i="4"/>
  <c r="T55" i="4"/>
  <c r="T54" i="4"/>
  <c r="T160" i="1"/>
  <c r="T155" i="1"/>
  <c r="T89" i="1"/>
  <c r="T84" i="1"/>
  <c r="T78" i="1"/>
  <c r="T74" i="1"/>
  <c r="T71" i="1"/>
  <c r="T66" i="1"/>
  <c r="T63" i="1"/>
  <c r="T40" i="1"/>
  <c r="T37" i="1"/>
  <c r="CK134" i="1" l="1"/>
  <c r="U19" i="1"/>
  <c r="T32" i="1"/>
  <c r="T21" i="1" s="1"/>
  <c r="T70" i="1"/>
  <c r="T83" i="1"/>
  <c r="T67" i="4"/>
  <c r="T60" i="1"/>
  <c r="T125" i="1"/>
  <c r="T56" i="4"/>
  <c r="T52" i="4" s="1"/>
  <c r="U17" i="1" l="1"/>
  <c r="T44" i="1"/>
  <c r="T19" i="1" s="1"/>
  <c r="T17" i="1" s="1"/>
  <c r="T15" i="1" s="1"/>
  <c r="S51" i="4"/>
  <c r="S66" i="4" s="1"/>
  <c r="S60" i="4"/>
  <c r="S59" i="4"/>
  <c r="S58" i="4"/>
  <c r="S57" i="4"/>
  <c r="S55" i="4"/>
  <c r="S54" i="4"/>
  <c r="S160" i="1"/>
  <c r="S155" i="1"/>
  <c r="S89" i="1"/>
  <c r="S84" i="1"/>
  <c r="S78" i="1"/>
  <c r="S74" i="1"/>
  <c r="S71" i="1"/>
  <c r="S66" i="1"/>
  <c r="S63" i="1"/>
  <c r="S40" i="1"/>
  <c r="S37" i="1"/>
  <c r="U15" i="1" l="1"/>
  <c r="S32" i="1"/>
  <c r="S21" i="1" s="1"/>
  <c r="T12" i="1"/>
  <c r="S60" i="1"/>
  <c r="S70" i="1"/>
  <c r="S125" i="1"/>
  <c r="S56" i="4"/>
  <c r="S67" i="4"/>
  <c r="S83" i="1"/>
  <c r="N60" i="4"/>
  <c r="M60" i="4"/>
  <c r="L60" i="4"/>
  <c r="K60" i="4"/>
  <c r="J60" i="4"/>
  <c r="I60" i="4"/>
  <c r="H60" i="4"/>
  <c r="F60" i="4"/>
  <c r="E60" i="4"/>
  <c r="D60" i="4"/>
  <c r="C43" i="4"/>
  <c r="C60" i="4" s="1"/>
  <c r="N59" i="4"/>
  <c r="M59" i="4"/>
  <c r="L59" i="4"/>
  <c r="K59" i="4"/>
  <c r="J59" i="4"/>
  <c r="I59" i="4"/>
  <c r="H59" i="4"/>
  <c r="G59" i="4"/>
  <c r="F59" i="4"/>
  <c r="E59" i="4"/>
  <c r="D59" i="4"/>
  <c r="C40" i="4"/>
  <c r="C59" i="4" s="1"/>
  <c r="N58" i="4"/>
  <c r="M58" i="4"/>
  <c r="L58" i="4"/>
  <c r="K58" i="4"/>
  <c r="J58" i="4"/>
  <c r="I58" i="4"/>
  <c r="H58" i="4"/>
  <c r="G58" i="4"/>
  <c r="F58" i="4"/>
  <c r="E58" i="4"/>
  <c r="D58" i="4"/>
  <c r="C37" i="4"/>
  <c r="C58" i="4" s="1"/>
  <c r="N57" i="4"/>
  <c r="M57" i="4"/>
  <c r="L57" i="4"/>
  <c r="K57" i="4"/>
  <c r="J57" i="4"/>
  <c r="I57" i="4"/>
  <c r="H57" i="4"/>
  <c r="G57" i="4"/>
  <c r="F57" i="4"/>
  <c r="E57" i="4"/>
  <c r="D57" i="4"/>
  <c r="C32" i="4"/>
  <c r="C57" i="4" s="1"/>
  <c r="N56" i="4"/>
  <c r="M56" i="4"/>
  <c r="L56" i="4"/>
  <c r="K56" i="4"/>
  <c r="J56" i="4"/>
  <c r="I56" i="4"/>
  <c r="H56" i="4"/>
  <c r="G56" i="4"/>
  <c r="F56" i="4"/>
  <c r="E56" i="4"/>
  <c r="D56" i="4"/>
  <c r="C27" i="4"/>
  <c r="C56" i="4" s="1"/>
  <c r="N55" i="4"/>
  <c r="M55" i="4"/>
  <c r="L55" i="4"/>
  <c r="K55" i="4"/>
  <c r="J55" i="4"/>
  <c r="I55" i="4"/>
  <c r="H55" i="4"/>
  <c r="G55" i="4"/>
  <c r="F55" i="4"/>
  <c r="E55" i="4"/>
  <c r="D55" i="4"/>
  <c r="C21" i="4"/>
  <c r="C55" i="4" s="1"/>
  <c r="N54" i="4"/>
  <c r="M54" i="4"/>
  <c r="L54" i="4"/>
  <c r="K54" i="4"/>
  <c r="J54" i="4"/>
  <c r="I54" i="4"/>
  <c r="G54" i="4"/>
  <c r="F54" i="4"/>
  <c r="E54" i="4"/>
  <c r="D54" i="4"/>
  <c r="C16" i="4"/>
  <c r="C54" i="4" s="1"/>
  <c r="U12" i="1" l="1"/>
  <c r="O67" i="4"/>
  <c r="C25" i="4"/>
  <c r="C67" i="4"/>
  <c r="S44" i="1"/>
  <c r="S19" i="1" s="1"/>
  <c r="S17" i="1" s="1"/>
  <c r="S15" i="1" s="1"/>
  <c r="S12" i="1" s="1"/>
  <c r="H67" i="4"/>
  <c r="S52" i="4"/>
  <c r="T10" i="1"/>
  <c r="M67" i="4"/>
  <c r="I67" i="4"/>
  <c r="J67" i="4"/>
  <c r="E67" i="4"/>
  <c r="C52" i="4"/>
  <c r="G67" i="4"/>
  <c r="K67" i="4"/>
  <c r="D67" i="4"/>
  <c r="L67" i="4"/>
  <c r="M52" i="4"/>
  <c r="N67" i="4"/>
  <c r="K52" i="4"/>
  <c r="J52" i="4"/>
  <c r="L52" i="4"/>
  <c r="C14" i="4"/>
  <c r="F52" i="4"/>
  <c r="N52" i="4"/>
  <c r="H54" i="4"/>
  <c r="H52" i="4" s="1"/>
  <c r="G60" i="4"/>
  <c r="G52" i="4" s="1"/>
  <c r="F67" i="4"/>
  <c r="D52" i="4"/>
  <c r="E52" i="4"/>
  <c r="I52" i="4"/>
  <c r="P67" i="4"/>
  <c r="U10" i="1" l="1"/>
  <c r="C12" i="4"/>
  <c r="S10" i="1"/>
  <c r="P40" i="1" l="1"/>
  <c r="P32" i="1" s="1"/>
  <c r="P21" i="1" s="1"/>
  <c r="O40" i="1"/>
  <c r="O32" i="1" s="1"/>
  <c r="O21" i="1" s="1"/>
  <c r="N40" i="1"/>
  <c r="N32" i="1" s="1"/>
  <c r="N21" i="1" s="1"/>
  <c r="N19" i="1" s="1"/>
  <c r="N17" i="1" s="1"/>
  <c r="N15" i="1" s="1"/>
  <c r="N12" i="1" s="1"/>
  <c r="N10" i="1" s="1"/>
  <c r="R51" i="4" l="1"/>
  <c r="R66" i="4" s="1"/>
  <c r="R60" i="4"/>
  <c r="R59" i="4"/>
  <c r="R58" i="4"/>
  <c r="R57" i="4"/>
  <c r="R56" i="4"/>
  <c r="R55" i="4"/>
  <c r="R54" i="4"/>
  <c r="R160" i="1"/>
  <c r="R155" i="1"/>
  <c r="R89" i="1"/>
  <c r="R84" i="1"/>
  <c r="R78" i="1"/>
  <c r="R74" i="1"/>
  <c r="R71" i="1"/>
  <c r="R66" i="1"/>
  <c r="R63" i="1"/>
  <c r="R40" i="1"/>
  <c r="R37" i="1"/>
  <c r="R32" i="1" l="1"/>
  <c r="R21" i="1" s="1"/>
  <c r="R83" i="1"/>
  <c r="R125" i="1"/>
  <c r="R60" i="1"/>
  <c r="R70" i="1"/>
  <c r="R67" i="4"/>
  <c r="R52" i="4"/>
  <c r="R44" i="1" l="1"/>
  <c r="R19" i="1" s="1"/>
  <c r="R17" i="1" s="1"/>
  <c r="R15" i="1" s="1"/>
  <c r="Q51" i="4"/>
  <c r="Q66" i="4" s="1"/>
  <c r="Q60" i="4"/>
  <c r="Q59" i="4"/>
  <c r="Q58" i="4"/>
  <c r="Q55" i="4"/>
  <c r="Q54" i="4"/>
  <c r="Q160" i="1"/>
  <c r="Q155" i="1"/>
  <c r="Q89" i="1"/>
  <c r="Q84" i="1"/>
  <c r="Q78" i="1"/>
  <c r="Q74" i="1"/>
  <c r="Q71" i="1"/>
  <c r="Q66" i="1"/>
  <c r="Q63" i="1"/>
  <c r="Q40" i="1"/>
  <c r="Q37" i="1"/>
  <c r="P51" i="4"/>
  <c r="P66" i="4" s="1"/>
  <c r="P59" i="4"/>
  <c r="P58" i="4"/>
  <c r="P55" i="4"/>
  <c r="Q32" i="1" l="1"/>
  <c r="Q21" i="1" s="1"/>
  <c r="R12" i="1"/>
  <c r="P54" i="4"/>
  <c r="Q57" i="4"/>
  <c r="P60" i="4"/>
  <c r="P57" i="4"/>
  <c r="P56" i="4"/>
  <c r="Q60" i="1"/>
  <c r="Q56" i="4"/>
  <c r="Q67" i="4"/>
  <c r="Q70" i="1"/>
  <c r="Q83" i="1"/>
  <c r="P160" i="1"/>
  <c r="P155" i="1"/>
  <c r="P89" i="1"/>
  <c r="P84" i="1"/>
  <c r="P78" i="1"/>
  <c r="P74" i="1"/>
  <c r="P71" i="1"/>
  <c r="P66" i="1"/>
  <c r="P63" i="1"/>
  <c r="Q44" i="1" l="1"/>
  <c r="Q19" i="1" s="1"/>
  <c r="Q17" i="1" s="1"/>
  <c r="R10" i="1"/>
  <c r="Q52" i="4"/>
  <c r="P52" i="4"/>
  <c r="Q125" i="1"/>
  <c r="P70" i="1"/>
  <c r="P83" i="1"/>
  <c r="P60" i="1"/>
  <c r="P44" i="1" l="1"/>
  <c r="P19" i="1" s="1"/>
  <c r="P17" i="1" s="1"/>
  <c r="Q15" i="1"/>
  <c r="Q12" i="1" s="1"/>
  <c r="Q10" i="1" s="1"/>
  <c r="P125" i="1"/>
  <c r="P15" i="1" l="1"/>
  <c r="P12" i="1" s="1"/>
  <c r="P10" i="1" s="1"/>
  <c r="C131" i="1"/>
  <c r="K51" i="4" l="1"/>
  <c r="K66" i="4" s="1"/>
  <c r="J51" i="4"/>
  <c r="J66" i="4" s="1"/>
  <c r="I51" i="4"/>
  <c r="I66" i="4" s="1"/>
  <c r="H51" i="4"/>
  <c r="H66" i="4" s="1"/>
  <c r="G51" i="4"/>
  <c r="G66" i="4" s="1"/>
  <c r="F51" i="4"/>
  <c r="F66" i="4" s="1"/>
  <c r="E51" i="4"/>
  <c r="E66" i="4" s="1"/>
  <c r="D51" i="4"/>
  <c r="D66" i="4" s="1"/>
  <c r="C51" i="4"/>
  <c r="C66" i="4" s="1"/>
  <c r="O51" i="4"/>
  <c r="O66" i="4" s="1"/>
  <c r="N51" i="4"/>
  <c r="N66" i="4" s="1"/>
  <c r="M51" i="4"/>
  <c r="M66" i="4" s="1"/>
  <c r="L51" i="4"/>
  <c r="L66" i="4" s="1"/>
  <c r="O160" i="1" l="1"/>
  <c r="O155" i="1"/>
  <c r="O89" i="1"/>
  <c r="O84" i="1"/>
  <c r="O78" i="1"/>
  <c r="O74" i="1"/>
  <c r="O71" i="1"/>
  <c r="O66" i="1"/>
  <c r="O63" i="1"/>
  <c r="O60" i="4"/>
  <c r="O59" i="4"/>
  <c r="O58" i="4"/>
  <c r="O57" i="4"/>
  <c r="O56" i="4"/>
  <c r="O55" i="4"/>
  <c r="O54" i="4" l="1"/>
  <c r="O52" i="4" s="1"/>
  <c r="O60" i="1"/>
  <c r="O70" i="1"/>
  <c r="O83" i="1"/>
  <c r="O44" i="1" l="1"/>
  <c r="O19" i="1" s="1"/>
  <c r="O17" i="1" s="1"/>
  <c r="O125" i="1"/>
  <c r="CK23" i="5"/>
  <c r="CK56" i="4" l="1"/>
  <c r="CK54" i="4"/>
  <c r="CK59" i="4"/>
  <c r="CK57" i="4"/>
  <c r="CK55" i="4"/>
  <c r="CK60" i="4"/>
  <c r="CK69" i="4"/>
  <c r="CK70" i="4"/>
  <c r="CK71" i="4"/>
  <c r="CK58" i="4"/>
  <c r="O15" i="1"/>
  <c r="O12" i="1" s="1"/>
  <c r="O10" i="1" s="1"/>
  <c r="CK52" i="4" l="1"/>
  <c r="CK67" i="4"/>
  <c r="CK17" i="1" l="1"/>
  <c r="CK99" i="1"/>
  <c r="CK114" i="1"/>
  <c r="CK160" i="1"/>
  <c r="CK22" i="1"/>
  <c r="CK97" i="1"/>
  <c r="CK83" i="1"/>
  <c r="CK84" i="1"/>
  <c r="CK78" i="1"/>
  <c r="CK95" i="1"/>
  <c r="CK60" i="1"/>
  <c r="CK127" i="1"/>
  <c r="CK70" i="1"/>
  <c r="CK136" i="1"/>
  <c r="CK44" i="1"/>
  <c r="CK123" i="1"/>
  <c r="CK45" i="1"/>
  <c r="CK155" i="1"/>
  <c r="CK129" i="1"/>
  <c r="CK131" i="1"/>
  <c r="CK138" i="1"/>
  <c r="CK15" i="1"/>
  <c r="CK116" i="1"/>
  <c r="CK32" i="1"/>
  <c r="CK121" i="1"/>
  <c r="CK19" i="1"/>
  <c r="CK110" i="1"/>
  <c r="CK21" i="1"/>
  <c r="CK125" i="1"/>
  <c r="CK150" i="1"/>
  <c r="CK81" i="1"/>
  <c r="CK139" i="1"/>
  <c r="K84" i="1"/>
  <c r="K89" i="1"/>
  <c r="C150" i="1" l="1"/>
  <c r="K160" i="1" l="1"/>
  <c r="J160" i="1"/>
  <c r="K155" i="1"/>
  <c r="J155" i="1"/>
  <c r="J89" i="1"/>
  <c r="J84" i="1"/>
  <c r="K78" i="1"/>
  <c r="J78" i="1"/>
  <c r="K74" i="1"/>
  <c r="J74" i="1"/>
  <c r="K71" i="1"/>
  <c r="J71" i="1"/>
  <c r="K66" i="1"/>
  <c r="J66" i="1"/>
  <c r="K63" i="1"/>
  <c r="J63" i="1"/>
  <c r="J83" i="1" l="1"/>
  <c r="K60" i="1"/>
  <c r="K70" i="1"/>
  <c r="K83" i="1"/>
  <c r="J70" i="1"/>
  <c r="J60" i="1"/>
  <c r="J44" i="1" l="1"/>
  <c r="J19" i="1" s="1"/>
  <c r="J17" i="1" s="1"/>
  <c r="K44" i="1"/>
  <c r="K125" i="1"/>
  <c r="J125" i="1"/>
  <c r="J15" i="1" l="1"/>
  <c r="J12" i="1" s="1"/>
  <c r="J10" i="1" s="1"/>
  <c r="K40" i="1"/>
  <c r="K37" i="1"/>
  <c r="K32" i="1" l="1"/>
  <c r="K21" i="1" s="1"/>
  <c r="K19" i="1" s="1"/>
  <c r="K17" i="1" s="1"/>
  <c r="K15" i="1" s="1"/>
  <c r="K12" i="1" s="1"/>
  <c r="K10" i="1" s="1"/>
  <c r="C110" i="1"/>
  <c r="I89" i="1" l="1"/>
  <c r="H89" i="1"/>
  <c r="G89" i="1"/>
  <c r="F89" i="1"/>
  <c r="E89" i="1"/>
  <c r="D89" i="1"/>
  <c r="C89" i="1"/>
  <c r="I160" i="1" l="1"/>
  <c r="I155" i="1"/>
  <c r="I84" i="1"/>
  <c r="I78" i="1"/>
  <c r="I74" i="1"/>
  <c r="I71" i="1"/>
  <c r="I66" i="1"/>
  <c r="I63" i="1"/>
  <c r="I40" i="1"/>
  <c r="I37" i="1"/>
  <c r="I32" i="1" l="1"/>
  <c r="I21" i="1" s="1"/>
  <c r="I60" i="1"/>
  <c r="I70" i="1"/>
  <c r="I83" i="1"/>
  <c r="I44" i="1" l="1"/>
  <c r="I19" i="1" s="1"/>
  <c r="I17" i="1" s="1"/>
  <c r="I125" i="1"/>
  <c r="I15" i="1" l="1"/>
  <c r="I12" i="1" s="1"/>
  <c r="I10" i="1" s="1"/>
  <c r="H160" i="1"/>
  <c r="G160" i="1"/>
  <c r="F160" i="1"/>
  <c r="E160" i="1"/>
  <c r="D160" i="1"/>
  <c r="H155" i="1"/>
  <c r="G155" i="1"/>
  <c r="F155" i="1"/>
  <c r="E155" i="1"/>
  <c r="D155" i="1"/>
  <c r="H84" i="1"/>
  <c r="G84" i="1"/>
  <c r="F84" i="1"/>
  <c r="E84" i="1"/>
  <c r="D84" i="1"/>
  <c r="H78" i="1"/>
  <c r="G78" i="1"/>
  <c r="F78" i="1"/>
  <c r="E78" i="1"/>
  <c r="D78" i="1"/>
  <c r="H74" i="1"/>
  <c r="G74" i="1"/>
  <c r="F74" i="1"/>
  <c r="E74" i="1"/>
  <c r="D74" i="1"/>
  <c r="H71" i="1"/>
  <c r="G71" i="1"/>
  <c r="F71" i="1"/>
  <c r="E71" i="1"/>
  <c r="D71" i="1"/>
  <c r="H66" i="1"/>
  <c r="G66" i="1"/>
  <c r="F66" i="1"/>
  <c r="E66" i="1"/>
  <c r="D66" i="1"/>
  <c r="H63" i="1"/>
  <c r="G63" i="1"/>
  <c r="F63" i="1"/>
  <c r="E63" i="1"/>
  <c r="D63" i="1"/>
  <c r="C56" i="1"/>
  <c r="C53" i="1"/>
  <c r="H40" i="1"/>
  <c r="G40" i="1"/>
  <c r="F40" i="1"/>
  <c r="E40" i="1"/>
  <c r="D40" i="1"/>
  <c r="H37" i="1"/>
  <c r="G37" i="1"/>
  <c r="F37" i="1"/>
  <c r="E37" i="1"/>
  <c r="D37" i="1"/>
  <c r="C40" i="1"/>
  <c r="C37" i="1"/>
  <c r="C160" i="1"/>
  <c r="C155" i="1"/>
  <c r="C95" i="1"/>
  <c r="C84" i="1"/>
  <c r="C83" i="1" s="1"/>
  <c r="C78" i="1"/>
  <c r="C74" i="1"/>
  <c r="C71" i="1"/>
  <c r="C66" i="1"/>
  <c r="C63" i="1"/>
  <c r="F32" i="1" l="1"/>
  <c r="F21" i="1" s="1"/>
  <c r="E32" i="1"/>
  <c r="E21" i="1" s="1"/>
  <c r="D32" i="1"/>
  <c r="D21" i="1" s="1"/>
  <c r="H32" i="1"/>
  <c r="H21" i="1" s="1"/>
  <c r="G32" i="1"/>
  <c r="G21" i="1" s="1"/>
  <c r="C70" i="1"/>
  <c r="C45" i="1"/>
  <c r="C32" i="1"/>
  <c r="C21" i="1" s="1"/>
  <c r="H60" i="1"/>
  <c r="D70" i="1"/>
  <c r="C60" i="1"/>
  <c r="C138" i="1"/>
  <c r="E83" i="1"/>
  <c r="H83" i="1"/>
  <c r="E70" i="1"/>
  <c r="G70" i="1"/>
  <c r="D60" i="1"/>
  <c r="D83" i="1"/>
  <c r="G60" i="1"/>
  <c r="E60" i="1"/>
  <c r="H70" i="1"/>
  <c r="G83" i="1"/>
  <c r="F83" i="1"/>
  <c r="F70" i="1"/>
  <c r="F60" i="1"/>
  <c r="F44" i="1" l="1"/>
  <c r="F19" i="1" s="1"/>
  <c r="F17" i="1" s="1"/>
  <c r="E44" i="1"/>
  <c r="E19" i="1" s="1"/>
  <c r="E17" i="1" s="1"/>
  <c r="D44" i="1"/>
  <c r="D19" i="1" s="1"/>
  <c r="D17" i="1" s="1"/>
  <c r="G44" i="1"/>
  <c r="G19" i="1" s="1"/>
  <c r="G17" i="1" s="1"/>
  <c r="H44" i="1"/>
  <c r="H19" i="1" s="1"/>
  <c r="H17" i="1" s="1"/>
  <c r="G125" i="1"/>
  <c r="H125" i="1"/>
  <c r="F125" i="1"/>
  <c r="E125" i="1"/>
  <c r="D125" i="1"/>
  <c r="C125" i="1"/>
  <c r="C44" i="1"/>
  <c r="C19" i="1" s="1"/>
  <c r="F15" i="1" l="1"/>
  <c r="F12" i="1" s="1"/>
  <c r="F10" i="1" s="1"/>
  <c r="D15" i="1"/>
  <c r="D12" i="1" s="1"/>
  <c r="D10" i="1" s="1"/>
  <c r="G15" i="1"/>
  <c r="G12" i="1" s="1"/>
  <c r="G10" i="1" s="1"/>
  <c r="H15" i="1"/>
  <c r="H12" i="1" s="1"/>
  <c r="H10" i="1" s="1"/>
  <c r="E15" i="1"/>
  <c r="E12" i="1" s="1"/>
  <c r="E10" i="1" s="1"/>
  <c r="CK25" i="4" l="1"/>
  <c r="C31" i="5" l="1"/>
  <c r="C23" i="5"/>
  <c r="C20" i="5" l="1"/>
  <c r="C18" i="5"/>
  <c r="C16" i="5"/>
  <c r="C17" i="1"/>
  <c r="C15" i="1" l="1"/>
  <c r="C12" i="1" l="1"/>
  <c r="C10" i="1" l="1"/>
  <c r="C14" i="5" l="1"/>
  <c r="CK12" i="4" l="1"/>
</calcChain>
</file>

<file path=xl/sharedStrings.xml><?xml version="1.0" encoding="utf-8"?>
<sst xmlns="http://schemas.openxmlformats.org/spreadsheetml/2006/main" count="2068" uniqueCount="433">
  <si>
    <t>SECRETARÍA DE FINANZAS</t>
  </si>
  <si>
    <t xml:space="preserve">        MEDIANO Y LARGO PLAZO</t>
  </si>
  <si>
    <t>TÍTULOS PÚBLICOS</t>
  </si>
  <si>
    <t xml:space="preserve"> - Moneda nacional</t>
  </si>
  <si>
    <t>Deuda no ajustable por CER</t>
  </si>
  <si>
    <t>BONAR</t>
  </si>
  <si>
    <t>BONTE</t>
  </si>
  <si>
    <t>BOTAPO</t>
  </si>
  <si>
    <t>BOGATO</t>
  </si>
  <si>
    <t>Deuda ajustable por CER</t>
  </si>
  <si>
    <t>BONCER</t>
  </si>
  <si>
    <t>CUASIPAR/$+CER/3,31%/2045</t>
  </si>
  <si>
    <t>DISCOUNT/$+CER/5,83%/2033</t>
  </si>
  <si>
    <t>- Canje 2005</t>
  </si>
  <si>
    <t>- Canje 2010</t>
  </si>
  <si>
    <t>PAR/$+CER/T.FIJA/2038</t>
  </si>
  <si>
    <t xml:space="preserve"> - Moneda extranjera </t>
  </si>
  <si>
    <t>Deuda en dólares estadounidenses</t>
  </si>
  <si>
    <t>BIRAD</t>
  </si>
  <si>
    <t>DISCOUNT/U$S/8,28%/2033</t>
  </si>
  <si>
    <t>PAR/U$S/T.FIJA/2038</t>
  </si>
  <si>
    <t>Deuda en euros</t>
  </si>
  <si>
    <t>BIRAE</t>
  </si>
  <si>
    <t>DISCOUNT/EUR/7,82%/2033</t>
  </si>
  <si>
    <t>PAR/EUR/T.FIJA/2038</t>
  </si>
  <si>
    <t>Deuda en yenes</t>
  </si>
  <si>
    <t>DISCOUNT/JPY/4,33%/2033</t>
  </si>
  <si>
    <t>PAR/JPY/T.FIJA/2038</t>
  </si>
  <si>
    <t>Deuda en Franco suizo</t>
  </si>
  <si>
    <t>BIRAF</t>
  </si>
  <si>
    <t xml:space="preserve"> - Amparos y excepciones</t>
  </si>
  <si>
    <t>LETRAS DEL TESORO</t>
  </si>
  <si>
    <t>LETRA CMEA</t>
  </si>
  <si>
    <t>ORGANISMOS INTERNACIONALES</t>
  </si>
  <si>
    <t>ORGANISMOS OFICIALES</t>
  </si>
  <si>
    <t>BANCA COMERCIAL</t>
  </si>
  <si>
    <t>PAGARÉS DEL TESORO</t>
  </si>
  <si>
    <t>PAGARÉ 2019 - $</t>
  </si>
  <si>
    <t>PAGARÉ 2038 - UCP</t>
  </si>
  <si>
    <t>AVALES</t>
  </si>
  <si>
    <t>ADELANTOS TRANSITORIOS BCRA - Extraordinarios</t>
  </si>
  <si>
    <t>ADELANTOS TRANSITORIOS BCRA - Ordinarios</t>
  </si>
  <si>
    <t xml:space="preserve">    CAPITAL</t>
  </si>
  <si>
    <t xml:space="preserve">    INTERÉS</t>
  </si>
  <si>
    <t>BONO PGN</t>
  </si>
  <si>
    <t>LECAP</t>
  </si>
  <si>
    <t>BONO CONSOLIDADO 2089</t>
  </si>
  <si>
    <t>LETRA BCRA FDA</t>
  </si>
  <si>
    <t>LETRA BCRA FOI</t>
  </si>
  <si>
    <t>LETRA BCRA</t>
  </si>
  <si>
    <t>LETRA FFRH</t>
  </si>
  <si>
    <t>LETRA FFSIT</t>
  </si>
  <si>
    <t>LETRA SRT</t>
  </si>
  <si>
    <t>LETRA ANSES</t>
  </si>
  <si>
    <t>LETES - U$S</t>
  </si>
  <si>
    <t>LETRAS EN GARANTÍA - U$S</t>
  </si>
  <si>
    <t>PAGARÉ 2021 - CAMMESA - U$S</t>
  </si>
  <si>
    <t xml:space="preserve"> </t>
  </si>
  <si>
    <t>Moneda local (1)</t>
  </si>
  <si>
    <t xml:space="preserve">     Deuda no ajustable por CER</t>
  </si>
  <si>
    <t xml:space="preserve">        Tasa Cero</t>
  </si>
  <si>
    <t xml:space="preserve">     Deuda ajustable por CER</t>
  </si>
  <si>
    <t>Moneda extranjera</t>
  </si>
  <si>
    <t xml:space="preserve">     Deuda en dólares estadounidenses</t>
  </si>
  <si>
    <t xml:space="preserve">     Deuda en otras monedas extranjeras (2)</t>
  </si>
  <si>
    <t>(1) La deuda emitida en dólares, pero cuyo pago de capital e interés es en pesos, se clasifica como deuda en Moneda Local.</t>
  </si>
  <si>
    <t>COMPOSICIÓN POR TASA</t>
  </si>
  <si>
    <t>II - DEUDA ELEGIBLE PENDIENTE DE REESTRUCTURACIÓN, AL INICIO DEL PERÍODO</t>
  </si>
  <si>
    <t xml:space="preserve">  VARIACIONES</t>
  </si>
  <si>
    <t>Letras del Tesoro</t>
  </si>
  <si>
    <t>LETRA ANSES - $</t>
  </si>
  <si>
    <t>LETRA FFSIT - $</t>
  </si>
  <si>
    <t>LETES - $</t>
  </si>
  <si>
    <t>BONCER/$/4,25%+CER/15-01-2019</t>
  </si>
  <si>
    <t>BONAR/U$S/8,75%/2024</t>
  </si>
  <si>
    <t>BONCER/$/2,25%+CER/28-04-2020</t>
  </si>
  <si>
    <t>BONAR/$/BADLAR+200/08-02-2021</t>
  </si>
  <si>
    <t>BONAR/U$S/7,625%/18-04-2037</t>
  </si>
  <si>
    <t>BONCER/$/2,50%+CER/22-07-2021</t>
  </si>
  <si>
    <t>BONCER/$/4,25%+CER/15-04-2019</t>
  </si>
  <si>
    <t>BIRF</t>
  </si>
  <si>
    <t>BID</t>
  </si>
  <si>
    <t>CAF</t>
  </si>
  <si>
    <t>FONPLATA</t>
  </si>
  <si>
    <t>OFID</t>
  </si>
  <si>
    <t>FMI</t>
  </si>
  <si>
    <t>LECAP - $</t>
  </si>
  <si>
    <t>LETRA CMEA - U$S</t>
  </si>
  <si>
    <t>BONAR/$/6,72763943%/31-12-2028</t>
  </si>
  <si>
    <t>BONAR/$/BADLAR+250pb/2019</t>
  </si>
  <si>
    <t>BONAR/U$S/9%/2019/15-03-2019</t>
  </si>
  <si>
    <t>BIRAD/U$S/6,25%/22-04-2019</t>
  </si>
  <si>
    <t>FIDA</t>
  </si>
  <si>
    <t>BONO CONSOLIDADO/$/T.CERO/2089</t>
  </si>
  <si>
    <t>PR 13</t>
  </si>
  <si>
    <t>PAGARÉ CUT - $</t>
  </si>
  <si>
    <t xml:space="preserve"> b) Avales netos de cancelaciones</t>
  </si>
  <si>
    <t xml:space="preserve"> c) Emisión Bonos de Consolidación</t>
  </si>
  <si>
    <t>PR 15</t>
  </si>
  <si>
    <t>Tipo de Cambio (excluye deudas ajustables por CER)</t>
  </si>
  <si>
    <t>Variación de la deuda ajustable por CER (efectos tipo de cambio y CER)</t>
  </si>
  <si>
    <t>VI - DEUDA ELEGIBLE PENDIENTE DE REESTRUCTURACIÓN, AL FINAL DEL PERÍODO</t>
  </si>
  <si>
    <t>ÍNDICE</t>
  </si>
  <si>
    <t>HOJA</t>
  </si>
  <si>
    <t>CONTENIDO</t>
  </si>
  <si>
    <t>A.1</t>
  </si>
  <si>
    <t>A.2</t>
  </si>
  <si>
    <t>A.3</t>
  </si>
  <si>
    <t>Indice</t>
  </si>
  <si>
    <t>(2) Incluye: Libras esterlinas, Franco Suizo, Corona Danesa, Corona Sueca, Dólar Canadiense, Dinar Kuwaiti, Dólar Australiano y Dirham de Emiratos Árabes Unidos.</t>
  </si>
  <si>
    <t xml:space="preserve">     Deuda en euros</t>
  </si>
  <si>
    <t xml:space="preserve">     Deuda en yenes</t>
  </si>
  <si>
    <t xml:space="preserve">     Deuda en derechos especiales de giro</t>
  </si>
  <si>
    <t xml:space="preserve">        Tasa Variable</t>
  </si>
  <si>
    <t xml:space="preserve">        Tasa Fija</t>
  </si>
  <si>
    <t>Deuda Bruta de la Administración Central - Por instrumento y tipo de plazo</t>
  </si>
  <si>
    <t>Flujos y variaciones de la Deuda Bruta de la Administración Central</t>
  </si>
  <si>
    <t>COMPOSICIÓN POR MONEDA</t>
  </si>
  <si>
    <t xml:space="preserve">  Pesos no ajustable por CER</t>
  </si>
  <si>
    <t xml:space="preserve">  Pesos ajustable por CER</t>
  </si>
  <si>
    <t xml:space="preserve">  Dólares</t>
  </si>
  <si>
    <t xml:space="preserve">  Euros</t>
  </si>
  <si>
    <t xml:space="preserve">  Yenes</t>
  </si>
  <si>
    <t xml:space="preserve">  DEG</t>
  </si>
  <si>
    <t xml:space="preserve">  Tasa Fija</t>
  </si>
  <si>
    <t xml:space="preserve">  Tasa Cero</t>
  </si>
  <si>
    <t xml:space="preserve">  Tasa Variable</t>
  </si>
  <si>
    <t xml:space="preserve">I - DEUDA BRUTA (EXCLUIDA LA ELEGIBLE PENDIENTE DE REESTRUCTURACIÓN), AL INICIO DEL PERÍODO </t>
  </si>
  <si>
    <t>VII - DEUDA BRUTA (EXCLUIDA LA ELEGIBLE PENDIENTE DE REESTRUCTURACIÓN), AL FINAL DEL PERÍODO (V - VI)</t>
  </si>
  <si>
    <t>(1) Incluye operaciones de hasta un año de plazo.</t>
  </si>
  <si>
    <t xml:space="preserve"> - EN SITUACIÓN DE PAGO NORMAL</t>
  </si>
  <si>
    <t>I- LEGISLACIÓN ARGENTINA</t>
  </si>
  <si>
    <t>II- LEGISLACIÓN EXTRANJERA</t>
  </si>
  <si>
    <t xml:space="preserve"> POR LEGISLACIÓN Y SITUACIÓN</t>
  </si>
  <si>
    <t>Deuda Bruta de la Administración Central - Por legislación y situación</t>
  </si>
  <si>
    <t>A- DEUDA BRUTA ( I + II  + III)</t>
  </si>
  <si>
    <t>DEUDA BRUTA</t>
  </si>
  <si>
    <t>III - DEUDA BRUTA (I + II)</t>
  </si>
  <si>
    <t xml:space="preserve">V - DEUDA BRUTA (III + IV) </t>
  </si>
  <si>
    <t>POR MONEDA Y TASA</t>
  </si>
  <si>
    <t>I- DEUDA EN SITUACIÓN DE PAGO NORMAL</t>
  </si>
  <si>
    <t>B- DEUDA BRUTA (EXCLUIDA LA ELEGIBLE PENDIENTE DE REESTRUCTURACIÓN) ( I + II )</t>
  </si>
  <si>
    <t>DEUDA BRUTA EN SITUACIÓN DE PAGO NORMAL</t>
  </si>
  <si>
    <t>(*) Datos preliminares</t>
  </si>
  <si>
    <t>LETES $</t>
  </si>
  <si>
    <t>BEI</t>
  </si>
  <si>
    <t>BONAR/$/1,7056 %/08-02-2019</t>
  </si>
  <si>
    <t>BONAR/U$S/4,5%/21-06-2019</t>
  </si>
  <si>
    <t>BONOS PGN/U$S/28-06-2021</t>
  </si>
  <si>
    <t>PAGARÉ 2021 - U$S - CAMMESA</t>
  </si>
  <si>
    <t>A.4</t>
  </si>
  <si>
    <t>LETRA - U$S</t>
  </si>
  <si>
    <t>BOTAPO/$/TPM/21-06-2020</t>
  </si>
  <si>
    <t>BONAR/$/BADLAR+300pb/10-06-2019</t>
  </si>
  <si>
    <t>PRÉSTAMOS</t>
  </si>
  <si>
    <t>PRÉSTAMOS GARANTIZADOS</t>
  </si>
  <si>
    <t>BOGATO/$/1,1602%/CER+4%/06-03-2020</t>
  </si>
  <si>
    <t>Deuda Bruta de la Administración Central en Situación de Pago Normal - Por tipo de moneda y tasa</t>
  </si>
  <si>
    <t>LETRA FFDP - $</t>
  </si>
  <si>
    <t>BONAR/U$S/0%/05-08-2019</t>
  </si>
  <si>
    <t>BONAR/U$S/5,75%/2025</t>
  </si>
  <si>
    <t>LETRA MENDOZA - U$S</t>
  </si>
  <si>
    <t>LETES - U$S - Pagan en pesos</t>
  </si>
  <si>
    <t>BONTE/$/26%/21-11-2020</t>
  </si>
  <si>
    <t>BCIE</t>
  </si>
  <si>
    <t>OTROS BILATERALES</t>
  </si>
  <si>
    <t>Otras Operaciones (Bajas Ley n° 27.249, amparos y excepciones y otros ajustes)</t>
  </si>
  <si>
    <t>LETRA FGS</t>
  </si>
  <si>
    <t>LETRA FGS - U$S</t>
  </si>
  <si>
    <t>LETRA FGS - $</t>
  </si>
  <si>
    <t>LETRA - $</t>
  </si>
  <si>
    <t xml:space="preserve">LETRA AFIP - $ </t>
  </si>
  <si>
    <t xml:space="preserve">LETRA BICE - $ </t>
  </si>
  <si>
    <t xml:space="preserve">LETRA CORREDORES VIALES S.A. - $ </t>
  </si>
  <si>
    <t xml:space="preserve">LETRA FAAD - $ </t>
  </si>
  <si>
    <t xml:space="preserve">LETRA FFOGS - $ </t>
  </si>
  <si>
    <t xml:space="preserve">LETRA FFSNA - $ </t>
  </si>
  <si>
    <t xml:space="preserve">LETRA FIDEICOMISO DEC. 976/01 GASOIL Y TASAS VIALES - $ </t>
  </si>
  <si>
    <t xml:space="preserve">LETRA FOBOSQUE - $ </t>
  </si>
  <si>
    <t xml:space="preserve">LETRA FOGAR - $ </t>
  </si>
  <si>
    <t xml:space="preserve">LETRA PUERTOS - $ </t>
  </si>
  <si>
    <t>LETRA FFDP</t>
  </si>
  <si>
    <t>LETRA INTERCARGO SAC - U$S</t>
  </si>
  <si>
    <t>MINISTERIO DE ECONOMÍA</t>
  </si>
  <si>
    <t xml:space="preserve">LETRA PLAYAS FERROVIARIAS - $ </t>
  </si>
  <si>
    <t>Títulos Públicos</t>
  </si>
  <si>
    <t xml:space="preserve">LETRA PLAYAS FERROVIARIAS - U$S </t>
  </si>
  <si>
    <t>en %</t>
  </si>
  <si>
    <t>DEUDA BRUTA DE LA ADMINISTRACIÓN CENTRAL (*)</t>
  </si>
  <si>
    <t>DEUDA BRUTA DE LA ADMINISTRACIÓN CENTRAL (**)</t>
  </si>
  <si>
    <t>DEUDA BRUTA DE LA ADMINISTRACIÓN CENTRAL EN SITUACIÓN DE PAGO NORMAL (**)</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</si>
  <si>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</si>
  <si>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 xml:space="preserve"> - Nothing in this report, or in any communication from the Republic, constitutes an acknowledgment or admission of the existence of any claim or any liability of the Republic to pay that claim or an acknowledgment that any ability to bring proceedings in any jurisdiction in respect of such claim or any limitation period relating thereto has been revived or reinstated, or an express or implied promise to pay any such claim (or part thereof).  All defenses available to the Republic relating to any applicable statute of limitations or otherwise are expressly preserved for all purposes.</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</si>
  <si>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</si>
  <si>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BONTE 2021/$/BADLAR + 100 PB/0</t>
  </si>
  <si>
    <t>BONTE DUAL/$/34%/05-08-21</t>
  </si>
  <si>
    <t>BONCER/$/1%+CER/05-08-2021</t>
  </si>
  <si>
    <t>BONAR DUAL 2020/U$S/4,5%</t>
  </si>
  <si>
    <t>PAGARE CUT</t>
  </si>
  <si>
    <t>BONTE /U$S/4%/05-08-21</t>
  </si>
  <si>
    <t xml:space="preserve">LETRA FONDCE - U$S </t>
  </si>
  <si>
    <t>LETRA FODER - U$S</t>
  </si>
  <si>
    <t>BONCER/$/1,20%+CER/18-03-2022</t>
  </si>
  <si>
    <t>BONCER/$/1,40%+CER/25-03-2023</t>
  </si>
  <si>
    <t>BONCER/$/1,50%+CER/25-03-2024</t>
  </si>
  <si>
    <t>BOGATO/$/1,1602%/CER+4%/6-3-20</t>
  </si>
  <si>
    <t>BONAR/$/BADLAR+325pb/01-03-2020</t>
  </si>
  <si>
    <t xml:space="preserve">        CORTO PLAZO (1)</t>
  </si>
  <si>
    <t>II- DEUDA EN SITUACIÓN DE PAGO DIFERIDO (2)</t>
  </si>
  <si>
    <t>III- DEUDA ELEGIBLE PENDIENTE DE REESTRUCTURACIÓN (3)</t>
  </si>
  <si>
    <t xml:space="preserve"> - EN SITUACIÓN DE PAGO DIFERIDO (1)</t>
  </si>
  <si>
    <t xml:space="preserve"> - ELEGIBLE PENDIENTE DE REESTRUCTURACIÓN (2)</t>
  </si>
  <si>
    <t>BONCER/$/1,10%+CER/17-04-2021</t>
  </si>
  <si>
    <t>LETRA BCRA - U$S</t>
  </si>
  <si>
    <t>LETRA PROV. MENDOZA - U$S</t>
  </si>
  <si>
    <t>BONTE/$/22%/21-05-2022</t>
  </si>
  <si>
    <t>BONCER/$/1,30%+CER/20-09-2022</t>
  </si>
  <si>
    <t xml:space="preserve">LETRA FFRH - $ </t>
  </si>
  <si>
    <t xml:space="preserve">LETRA SRT - $ </t>
  </si>
  <si>
    <t>LETRA SISVIAL - $</t>
  </si>
  <si>
    <t>LETRA REFLOTA - $</t>
  </si>
  <si>
    <t>LETRA REFOP - $</t>
  </si>
  <si>
    <t xml:space="preserve">LETRA AGP - $ </t>
  </si>
  <si>
    <t xml:space="preserve">LETRA FERROSUR CANON - $ </t>
  </si>
  <si>
    <t xml:space="preserve">LETRA FERROSUR SERV GRALES - $ </t>
  </si>
  <si>
    <t xml:space="preserve">LETRA GASODUCTO SUR - $ </t>
  </si>
  <si>
    <t xml:space="preserve">LETRA NUEVO CENTRAL CANON - $ </t>
  </si>
  <si>
    <t>BONCER/$/1,45%+CER/13-08-2023</t>
  </si>
  <si>
    <t>BONO R.A. U$S</t>
  </si>
  <si>
    <t>BONO GLOBAL U$S</t>
  </si>
  <si>
    <t>BONO GLOBAL EUR</t>
  </si>
  <si>
    <t>BONCER/$/2,25%+CER/09-11-2028</t>
  </si>
  <si>
    <t>BONCER/$/2%+CER/09-11-2026</t>
  </si>
  <si>
    <t>BIRAD/U$S/4,625%/11-01-2023</t>
  </si>
  <si>
    <t>BIRAD/U$S/5,625%/26-01-2022</t>
  </si>
  <si>
    <t>BIRAD/U$S/5,875%/11-01-2028</t>
  </si>
  <si>
    <t>BIRAD/U$S/6,625%/06-07-2028</t>
  </si>
  <si>
    <t>BIRAD/U$S/6,875%/11-01-2048</t>
  </si>
  <si>
    <t>BIRAD/U$S/6,875%/22-04-2021</t>
  </si>
  <si>
    <t>BIRAD/U$S/6,875%/26-01-2027</t>
  </si>
  <si>
    <t>BIRAD/U$S/7,125%/06-07-2036</t>
  </si>
  <si>
    <t>BIRAD/U$S/7,125%/28-06-2117</t>
  </si>
  <si>
    <t>BIRAD/U$S/7,5%/22-04-2026</t>
  </si>
  <si>
    <t>BIRAD/U$S/7,625%/22-04-2046</t>
  </si>
  <si>
    <t>BIRAE/EUR/3,375%/15-01-2023</t>
  </si>
  <si>
    <t>BIRAE/EUR/3,875%/15-01-2022</t>
  </si>
  <si>
    <t>BIRAE/EUR/5,00%/15-01-2027</t>
  </si>
  <si>
    <t>BIRAE/EUR/5,250%/15-01-2028</t>
  </si>
  <si>
    <t>BIRAE/EUR/6,250%/09-11-2047</t>
  </si>
  <si>
    <t>BIRAF/CHF/3,375%/12-10-2020</t>
  </si>
  <si>
    <t>BONAD 2021/U$S/4%/05-08-21</t>
  </si>
  <si>
    <t>BONAR 2020/U$S/ 8%/29-05-20</t>
  </si>
  <si>
    <t>BONAR/U$S/1%/05-08-2023</t>
  </si>
  <si>
    <t>BONAR/U$S/7,75 %/30-12-2022</t>
  </si>
  <si>
    <t>BONAR/U$S/7,875%/30-12-2025</t>
  </si>
  <si>
    <t>BONAR/U$S/7,875%/30-12-2027</t>
  </si>
  <si>
    <t>BONAR/U$S/8%/08-10-2020 (R )</t>
  </si>
  <si>
    <t xml:space="preserve"> d) Ajustes de valuación y saldo al inicio - Excluyendo la deuda no presentada al canje</t>
  </si>
  <si>
    <t xml:space="preserve"> e) Ajustes de valuación sobre deuda no presentada al canje</t>
  </si>
  <si>
    <t>IV - TOTAL VARIACIONES (a+b+c+d+e)</t>
  </si>
  <si>
    <t>BONO GLOBAL/U$S/1,00%/09-07-2029</t>
  </si>
  <si>
    <t>BONO GLOBAL/EUR/0,50%/09-07-2029</t>
  </si>
  <si>
    <t>BONO GLOBAL/EUR/0,125%/09-07-2030</t>
  </si>
  <si>
    <t>BONO GLOBAL/U$S/STEP UP/09-07-2030</t>
  </si>
  <si>
    <t>BONO GLOBAL/U$S/STEP UP/09-07-2046</t>
  </si>
  <si>
    <t>BONO GLOBAL/U$S/STEP UP/09-07-2035</t>
  </si>
  <si>
    <t>BONO GLOBAL/U$S/STEP UP/09-01-2038</t>
  </si>
  <si>
    <t>BONO GLOBAL/U$S/STEP UP/09-07-2041</t>
  </si>
  <si>
    <t>BONO GLOBAL/EUR/STEP UP/09-07-2046</t>
  </si>
  <si>
    <t>BONO GLOBAL/EUR/STEP UP/09-07-2035</t>
  </si>
  <si>
    <t>BONO GLOBAL/EUR/STEP UP/09-01-2038</t>
  </si>
  <si>
    <t>BONO GLOBAL/EUR/STEP UP/09-07-2041</t>
  </si>
  <si>
    <t>BONO R.A./U$S/STEP UP/09-07-2030</t>
  </si>
  <si>
    <t>BONO R.A./U$S/STEP UP/09-07-2035</t>
  </si>
  <si>
    <t>BONO R.A./U$S/STEP UP/09-01-2038</t>
  </si>
  <si>
    <t>BONO R.A./U$S/STEP UP/09-07-2041</t>
  </si>
  <si>
    <t>BONO R.A./U$S/1,00%/09-07-2029</t>
  </si>
  <si>
    <t xml:space="preserve"> 2 - Amortizaciones, canjes y cancelaciones</t>
  </si>
  <si>
    <t xml:space="preserve"> 1 - Financiamiento, canjes y emisiones</t>
  </si>
  <si>
    <t xml:space="preserve"> a) Operaciones netas del período ( 1 - 2 )</t>
  </si>
  <si>
    <t>A.5</t>
  </si>
  <si>
    <t xml:space="preserve">LETRA FERRO EXPRESO PAMPEANO CANON - $ </t>
  </si>
  <si>
    <t xml:space="preserve">LETRA FERRO EXPRESO PAMPEANO SERV GRALES - $ </t>
  </si>
  <si>
    <t xml:space="preserve">LETRA GENERAL PAZ - $ </t>
  </si>
  <si>
    <t xml:space="preserve">LETRA NUEVO CENTRAL SERV GRALES - $ </t>
  </si>
  <si>
    <t>LETRA SIFER - $</t>
  </si>
  <si>
    <t>BONTE/U$S/0,10%/29-04-2022</t>
  </si>
  <si>
    <t>BONTE/U$S/0,10%/30-11-2021</t>
  </si>
  <si>
    <t>LEPASE - $</t>
  </si>
  <si>
    <t>BONAR/$/BADLAR+300/23-12-2020</t>
  </si>
  <si>
    <t>BONTE/$/BADLAR+525PB/06-02-2023</t>
  </si>
  <si>
    <t>BONCER/$/1,55%+CER/26-07-2024</t>
  </si>
  <si>
    <t>BONTE/U$S/0,20%/30-11-2022</t>
  </si>
  <si>
    <t>Moneda local</t>
  </si>
  <si>
    <t>Legislación Argentina</t>
  </si>
  <si>
    <t>Legislación extranjera</t>
  </si>
  <si>
    <t xml:space="preserve">  Otras monedas</t>
  </si>
  <si>
    <t>(2) Deuda en situacion de pago diferido, no elegible para canjes de Decretos 1735/04 y 563/10.</t>
  </si>
  <si>
    <t>(1) Deuda en situacion de pago diferido, no elegible para canjes de Decretos 1735/04 y 563/10.</t>
  </si>
  <si>
    <t>(3) Se trata de la deuda elegible y no presentada al canje (Decretos 1735/04 y 563/10) y no cancelada a la fecha en el marco de los acuerdos contemplados en la Ley N° 27.249.</t>
  </si>
  <si>
    <t>(2) Se trata de la deuda elegible y no presentada al canje (Decretos 1735/04 y 563/10) y no cancelada a la fecha en el marco de los acuerdos contemplados en la Ley N° 27.249.</t>
  </si>
  <si>
    <t>BONTE/$/BADLAR/05-07-2030</t>
  </si>
  <si>
    <t>BONTE/$/BADLAR+100PB/05-08-2021</t>
  </si>
  <si>
    <t>BONTE DUAL/$/34%/05-08-2021</t>
  </si>
  <si>
    <t>BONTE/$/ BADLAR+400PB/17-08-2031</t>
  </si>
  <si>
    <t>BONAR/$/BADLAR+200/03-04-2022</t>
  </si>
  <si>
    <t>BONTE/U$S/0,30%/28-04-2023</t>
  </si>
  <si>
    <t>BONTE/$/17,25%/13-09-2021</t>
  </si>
  <si>
    <t>BONTE/$/18,20%/03-10-2021</t>
  </si>
  <si>
    <t xml:space="preserve"> Adelantos Transitorios BCRA</t>
  </si>
  <si>
    <t xml:space="preserve"> Préstamos Organismos Internacionales</t>
  </si>
  <si>
    <t xml:space="preserve"> Préstamos Bilaterales</t>
  </si>
  <si>
    <t xml:space="preserve"> Financiamiento Banco Nación</t>
  </si>
  <si>
    <t xml:space="preserve"> Pagarés</t>
  </si>
  <si>
    <t xml:space="preserve"> Otros Préstamos </t>
  </si>
  <si>
    <t xml:space="preserve"> Letras del Tesoro</t>
  </si>
  <si>
    <t xml:space="preserve"> Títulos Públicos</t>
  </si>
  <si>
    <t xml:space="preserve"> Club de París</t>
  </si>
  <si>
    <t xml:space="preserve"> Bonos de Consolidación</t>
  </si>
  <si>
    <t xml:space="preserve"> Préstamos Garantizados</t>
  </si>
  <si>
    <t xml:space="preserve"> Amparos</t>
  </si>
  <si>
    <t>BONTE/$/ BADLAR/22-12-2026</t>
  </si>
  <si>
    <t>BONTE/U$S/0,40%/30-04-2024</t>
  </si>
  <si>
    <t>BONTE/$/BADLAR+500PB/18-04-2024</t>
  </si>
  <si>
    <t>BONCER/$/1,80%+CER/09-11-2025</t>
  </si>
  <si>
    <t>BONTE/$/43,25% ó 1%+CER /23-05-2027</t>
  </si>
  <si>
    <t xml:space="preserve">LETRA SIMPAC - $ </t>
  </si>
  <si>
    <t>BONTE/U$S/31-07-2023</t>
  </si>
  <si>
    <t xml:space="preserve">LETRA TELAM S.E. - $ </t>
  </si>
  <si>
    <t>BONAR DUAL/U$S/30-06-2023</t>
  </si>
  <si>
    <t>BONAR DUAL/U$S/31-07-2023</t>
  </si>
  <si>
    <t>BONAR DUAL/U$S/29-09-2023</t>
  </si>
  <si>
    <t xml:space="preserve">LETRA DIOXITEK S.A - $ </t>
  </si>
  <si>
    <t>BONAR DUAL/U$S/28-02-2024</t>
  </si>
  <si>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 aplicando el tipo de cambio del último día hábil del período para convertir a dicha moneda las restantes deudas emitidas y pagaderas en: pesos, derechos especiales de giro (DEG), euro, yen, etc.</t>
    </r>
  </si>
  <si>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t>
    </r>
  </si>
  <si>
    <t>BONCER/$/2,50%+CER/30-11-2031</t>
  </si>
  <si>
    <t>BONTE/$/BADLAR/23-11-2027</t>
  </si>
  <si>
    <t>BONCER/$/8,5%+CER/29-11-2022</t>
  </si>
  <si>
    <t>BONTE/U$S/28-04-2023</t>
  </si>
  <si>
    <t>BOCON</t>
  </si>
  <si>
    <t>CLUB DE PARIS</t>
  </si>
  <si>
    <t>LETRA - U$S - Pagan en pesos</t>
  </si>
  <si>
    <t>BONCER/$/4%+CER/06-03-2023</t>
  </si>
  <si>
    <t>BONCER/$/3,75%+CER/14-04-2024</t>
  </si>
  <si>
    <t>BONCER/$/4%+CER/14-10-2024</t>
  </si>
  <si>
    <t>BONCER/$/4,25%+CER/14-02-2025</t>
  </si>
  <si>
    <t>BONAR DUAL/U$S/30-04-2024</t>
  </si>
  <si>
    <t>TOTAL PAGADO POR MONEDA</t>
  </si>
  <si>
    <t xml:space="preserve"> - MONEDA NACIONAL</t>
  </si>
  <si>
    <t xml:space="preserve">     CAPITAL</t>
  </si>
  <si>
    <t xml:space="preserve">     INTERES</t>
  </si>
  <si>
    <t xml:space="preserve"> - MONEDA EXTRANJERA</t>
  </si>
  <si>
    <t>TOTAL PAGADO POR TIPO DE ACREEDOR E INSTRUMENTO</t>
  </si>
  <si>
    <t>ADELANTOS TRANSITORIOS BCRA</t>
  </si>
  <si>
    <t xml:space="preserve">          BID</t>
  </si>
  <si>
    <t xml:space="preserve">              CAPITAL</t>
  </si>
  <si>
    <t xml:space="preserve">              INTERES</t>
  </si>
  <si>
    <t xml:space="preserve">          BIRF</t>
  </si>
  <si>
    <t xml:space="preserve">          CAF</t>
  </si>
  <si>
    <t xml:space="preserve">          FMI</t>
  </si>
  <si>
    <t xml:space="preserve">          CLUB DE PARIS</t>
  </si>
  <si>
    <t xml:space="preserve">          OTROS PRESTAMOS</t>
  </si>
  <si>
    <t xml:space="preserve"> POR MONEDA DE PAGO Y TIPO DE ACREEDOR E INSTRUMENTO</t>
  </si>
  <si>
    <t>Pagos de Deuda Bruta de la Administración Central - Por moneda de pago e instrumento</t>
  </si>
  <si>
    <t>BONCER/$/4,5%+CER/18-06-2025</t>
  </si>
  <si>
    <t>BONTE/U$S/0,5%/30-09-2024</t>
  </si>
  <si>
    <t>BONAR DUAL/U$S/30-08-2024</t>
  </si>
  <si>
    <t>BONAR DUAL/U$S/29-11-2024</t>
  </si>
  <si>
    <t>BONAR DUAL/U$S/31-01-2025</t>
  </si>
  <si>
    <t>BONCER/$/4,25%+CER/13-12-2024</t>
  </si>
  <si>
    <t>BONCER/$/3,75%+CER/20-05-2024</t>
  </si>
  <si>
    <t>BONCER/$/4%+CER/19-08-2024</t>
  </si>
  <si>
    <t>BONAR DUAL/U$S/30-06-2024</t>
  </si>
  <si>
    <t>BONTE/U$S/0,5%/31-03-2025</t>
  </si>
  <si>
    <t>BONAR DUAL/U$S/29-09-2036</t>
  </si>
  <si>
    <t>BONTE/$/16,00%/17-10-2023</t>
  </si>
  <si>
    <t>BONCER-BTS/$/4,25%+CER/23-05-2025</t>
  </si>
  <si>
    <t>PR 17</t>
  </si>
  <si>
    <t>BONCER/$/0%+CER/30-06-2026</t>
  </si>
  <si>
    <t>BONCER/$/0%+CER/30-06-2027</t>
  </si>
  <si>
    <t>BONCER/$/0%+CER/30-06-2025</t>
  </si>
  <si>
    <t>BONTE/U$S/30-06-2025</t>
  </si>
  <si>
    <t>BONCER/$/0%+CER/30-06-2028</t>
  </si>
  <si>
    <t>BONCER/$/0%+CER/15-12-2025</t>
  </si>
  <si>
    <t>BONCER/$/0%+CER/15-12-2026</t>
  </si>
  <si>
    <t>BONCER/$/0%+CER/15-12-2027</t>
  </si>
  <si>
    <t>BONCER/$/0%+CER/31-03-2026</t>
  </si>
  <si>
    <t>BONCER/$/0%+CER/31-03-2025</t>
  </si>
  <si>
    <t>BONCER/$/0%+CER/31-03-2027</t>
  </si>
  <si>
    <t>LEFI/$/TPM/17-07-2025</t>
  </si>
  <si>
    <t>BONTE/U$S/15-12-2025</t>
  </si>
  <si>
    <t>BONTE/U$S/30-06-2026</t>
  </si>
  <si>
    <t>BONCER/$/0%+CER/23-08-2025</t>
  </si>
  <si>
    <t>BONCAP</t>
  </si>
  <si>
    <t>BONCER/$/0%+CER/30-05-2025</t>
  </si>
  <si>
    <t>BONCER/$/0%+CER/31-10-2025</t>
  </si>
  <si>
    <t>BONCER/$/0%+CER/30-10-2026</t>
  </si>
  <si>
    <t>BONCAP/$/17-10-2025</t>
  </si>
  <si>
    <t>BONCAP/$/15-12-2025</t>
  </si>
  <si>
    <t>BONCAP/$/13-02-2026</t>
  </si>
  <si>
    <t>BONCAP/$/30-01-2026</t>
  </si>
  <si>
    <t>BONCAP/$/30-06-2026</t>
  </si>
  <si>
    <t>BONCAP/$/15-01-2027</t>
  </si>
  <si>
    <t>BONCAP DUAL/$/16-03-2026</t>
  </si>
  <si>
    <t>BONCAP DUAL/$/30-06-2026</t>
  </si>
  <si>
    <t>BONCAP DUAL/$/15-09-2026</t>
  </si>
  <si>
    <t>BONCAP DUAL/$/15-12-2026</t>
  </si>
  <si>
    <t>BONCER/$/4%+CER/27-04-2025</t>
  </si>
  <si>
    <t>BONTE/$/29,5%/30-05-2030</t>
  </si>
  <si>
    <t>Capitalización de Bonos, Letras y otros préstamos (1)</t>
  </si>
  <si>
    <t>Otras Operaciones (Registro CCF, amparos, excepciones, avales (2) y otros ajustes)</t>
  </si>
  <si>
    <t xml:space="preserve"> (2) EX-2019-102447651- -APN-DGD#MHA / Actualización del registro de instrumentos de la deuda pública indirecta - Avales otorgados y/o endosados a favor de distintas entidades.</t>
  </si>
  <si>
    <t xml:space="preserve"> (1) Incluye capitalización acumulada por ampliaciones de bonos y letras.</t>
  </si>
  <si>
    <t>sep-25 (*)</t>
  </si>
  <si>
    <t>BONCAP/$/30-04-2027</t>
  </si>
  <si>
    <t>PAGOS DE DEUDA BRUTA DE LA ADMINISTRACION CENTRAL</t>
  </si>
  <si>
    <t>FLUJOS Y VARIACIONES (**)</t>
  </si>
  <si>
    <t>BONCER/$/0%+CER/30-04-2027</t>
  </si>
  <si>
    <t>BONTE/U$S/6,5%/30-11-2029</t>
  </si>
  <si>
    <t>BONCER/$/0%+CER/31-05-2027</t>
  </si>
  <si>
    <t>BONCAP/$/31-05-2027</t>
  </si>
  <si>
    <t>BONAR / BONTE</t>
  </si>
  <si>
    <t>ene-26 (*)</t>
  </si>
  <si>
    <t>SERIE MENSUAL - 2019 / 2026</t>
  </si>
  <si>
    <t>BONCAP/$/30-06-2027</t>
  </si>
  <si>
    <t>Año 2019 / 2026 - Datos en millones de U$S</t>
  </si>
  <si>
    <t>Año 2019 / 2026 - Datos en millones de U$S - Tipo de cambio aplicado: fecha de efectivo pago</t>
  </si>
  <si>
    <t>Información actualizada al 28/02/2026</t>
  </si>
  <si>
    <t>feb-26 (*)</t>
  </si>
  <si>
    <t>BONCAP/$/TAMAR+6,5%/26-02-2027</t>
  </si>
  <si>
    <t>BONTE/U$S/30-06-2027</t>
  </si>
  <si>
    <t>BONAR/U$S/6%/29-10-2027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</si>
</sst>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3">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00\ _€_-;\-* #,##0.00\ _€_-;_-* &quot;-&quot;??\ _€_-;_-@_-"/>
    <numFmt numFmtId="169" formatCode="_(* #,##0_);_(* \(#,##0\);_(* &quot;-&quot;_);_(@_)"/>
    <numFmt numFmtId="170" formatCode="_(* #,##0.00_);_(* \(#,##0.00\);_(* &quot;-&quot;??_);_(@_)"/>
    <numFmt numFmtId="171" formatCode="_-* #,##0\ _€_-;\-* #,##0\ _€_-;_-* &quot;-&quot;??\ _€_-;_-@_-"/>
    <numFmt numFmtId="172" formatCode="_-* #,##0_-;\-* #,##0_-;_-* &quot;-&quot;??_-;_-@_-"/>
    <numFmt numFmtId="173" formatCode="_-* #,##0.00\ _P_t_s_-;\-* #,##0.00\ _P_t_s_-;_-* &quot;-&quot;??\ _P_t_s_-;_-@_-"/>
    <numFmt numFmtId="174" formatCode="0.00000%"/>
    <numFmt numFmtId="175" formatCode="0.00_)"/>
    <numFmt numFmtId="176" formatCode="_-* #,##0.00\ _P_t_a_-;\-* #,##0.00\ _P_t_a_-;_-* &quot;-&quot;??\ _P_t_a_-;_-@_-"/>
    <numFmt numFmtId="177" formatCode="_ * #,##0.0000_ ;_ * \-#,##0.0000_ ;_ * &quot;-&quot;????_ ;_ @_ "/>
    <numFmt numFmtId="178" formatCode="_ * #,##0_ ;_ * \-#,##0_ ;_ * &quot;-&quot;??_ ;_ @_ "/>
    <numFmt numFmtId="179" formatCode="#,##0.0"/>
    <numFmt numFmtId="180" formatCode="_ * #,##0.0_ ;_ * \-#,##0.0_ ;_ * &quot;-&quot;??_ ;_ @_ "/>
    <numFmt numFmtId="181" formatCode="#,##0.00_ ;\-#,##0.00\ "/>
    <numFmt numFmtId="182" formatCode="_(* #,##0.0000000_);_(* \(#,##0.0000000\);_(* &quot;-&quot;??_);_(@_)"/>
    <numFmt numFmtId="183" formatCode="#,##0,;\-\ #,##0,;&quot;--- &quot;"/>
    <numFmt numFmtId="184" formatCode="#,##0,,;\-\ #,##0,,;&quot;--- &quot;"/>
    <numFmt numFmtId="185" formatCode="_-[$€]* #,##0.00_-;\-[$€]* #,##0.00_-;_-[$€]* &quot;-&quot;??_-;_-@_-"/>
    <numFmt numFmtId="186" formatCode="_-* #,##0\ _P_t_s_-;\-* #,##0\ _P_t_s_-;_-* &quot;-&quot;\ _P_t_s_-;_-@_-"/>
    <numFmt numFmtId="187" formatCode="_ * #,##0.00_ ;_ * \-#,##0.00_ ;_ * &quot;-&quot;????_ ;_ @_ "/>
    <numFmt numFmtId="188" formatCode="_-* #,##0.00\ _p_t_a_-;\-* #,##0.00\ _p_t_a_-;_-* &quot;-&quot;??\ _p_t_a_-;_-@_-"/>
    <numFmt numFmtId="189" formatCode="#,##0.00_);\(#,##0.00\);&quot; --- &quot;"/>
    <numFmt numFmtId="190" formatCode="#,"/>
    <numFmt numFmtId="191" formatCode="_ * #,##0.000_ ;_ * \-#,##0.000_ ;_ * &quot;-&quot;??_ ;_ @_ "/>
    <numFmt numFmtId="192" formatCode="#,##0_ ;\-#,##0\ "/>
    <numFmt numFmtId="193" formatCode="_ * #,##0.00000_ ;_ * \-#,##0.00000_ ;_ * &quot;-&quot;?_ ;_ @_ "/>
    <numFmt numFmtId="194" formatCode="_ * #,##0.000000_ ;_ * \-#,##0.000000_ ;_ * &quot;-&quot;??_ ;_ @_ "/>
  </numFmts>
  <fonts count="74" x14ac:knownFonts="1">
    <font>
      <sz val="11"/>
      <color theme="1"/>
      <name val="Calibri"/>
      <family val="2"/>
      <scheme val="minor"/>
    </font>
    <font>
      <sz val="11"/>
      <color theme="1"/>
      <name val="Calibri"/>
      <family val="2"/>
      <scheme val="minor"/>
    </font>
    <font>
      <sz val="10"/>
      <name val="Arial"/>
      <family val="2"/>
    </font>
    <font>
      <sz val="11"/>
      <name val="Times New Roman"/>
      <family val="1"/>
    </font>
    <font>
      <sz val="10"/>
      <color indexed="8"/>
      <name val="MS Sans Serif"/>
      <family val="2"/>
    </font>
    <font>
      <u/>
      <sz val="10"/>
      <color indexed="12"/>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10"/>
      <name val="Calibri"/>
      <family val="2"/>
    </font>
    <font>
      <b/>
      <sz val="11"/>
      <color indexed="52"/>
      <name val="Calibri"/>
      <family val="2"/>
    </font>
    <font>
      <b/>
      <sz val="11"/>
      <color indexed="9"/>
      <name val="Calibri"/>
      <family val="2"/>
    </font>
    <font>
      <sz val="11"/>
      <color indexed="52"/>
      <name val="Calibri"/>
      <family val="2"/>
    </font>
    <font>
      <sz val="10"/>
      <color indexed="22"/>
      <name val="MS Sans Serif"/>
      <family val="2"/>
    </font>
    <font>
      <sz val="11"/>
      <name val="Book Antiqua"/>
      <family val="1"/>
    </font>
    <font>
      <b/>
      <sz val="11"/>
      <color indexed="56"/>
      <name val="Calibri"/>
      <family val="2"/>
    </font>
    <font>
      <sz val="11"/>
      <color indexed="62"/>
      <name val="Calibri"/>
      <family val="2"/>
    </font>
    <font>
      <i/>
      <sz val="11"/>
      <color indexed="23"/>
      <name val="Calibri"/>
      <family val="2"/>
    </font>
    <font>
      <sz val="1"/>
      <color indexed="8"/>
      <name val="Courier"/>
      <family val="3"/>
    </font>
    <font>
      <sz val="10"/>
      <name val="MS Sans Serif"/>
      <family val="2"/>
    </font>
    <font>
      <b/>
      <sz val="15"/>
      <color indexed="62"/>
      <name val="Calibri"/>
      <family val="2"/>
    </font>
    <font>
      <b/>
      <sz val="13"/>
      <color indexed="62"/>
      <name val="Calibri"/>
      <family val="2"/>
    </font>
    <font>
      <b/>
      <sz val="11"/>
      <color indexed="62"/>
      <name val="Calibri"/>
      <family val="2"/>
    </font>
    <font>
      <sz val="10"/>
      <color indexed="12"/>
      <name val="Arial"/>
      <family val="2"/>
    </font>
    <font>
      <u/>
      <sz val="7.5"/>
      <color indexed="12"/>
      <name val="Arial"/>
      <family val="2"/>
    </font>
    <font>
      <sz val="11"/>
      <color indexed="10"/>
      <name val="Calibri"/>
      <family val="2"/>
    </font>
    <font>
      <sz val="11"/>
      <color indexed="60"/>
      <name val="Calibri"/>
      <family val="2"/>
    </font>
    <font>
      <i/>
      <sz val="10"/>
      <name val="Arial"/>
      <family val="2"/>
    </font>
    <font>
      <b/>
      <sz val="1"/>
      <color indexed="8"/>
      <name val="Courier"/>
      <family val="3"/>
    </font>
    <font>
      <b/>
      <sz val="11"/>
      <color indexed="63"/>
      <name val="Calibri"/>
      <family val="2"/>
    </font>
    <font>
      <b/>
      <sz val="18"/>
      <color indexed="62"/>
      <name val="Cambria"/>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b/>
      <sz val="12"/>
      <name val="Encode Sans"/>
    </font>
    <font>
      <sz val="12"/>
      <name val="Encode Sans"/>
    </font>
    <font>
      <sz val="11"/>
      <color theme="1"/>
      <name val="Encode Sans"/>
    </font>
    <font>
      <u/>
      <sz val="10"/>
      <color indexed="12"/>
      <name val="Encode Sans"/>
    </font>
    <font>
      <sz val="10"/>
      <name val="Encode Sans"/>
    </font>
    <font>
      <sz val="11"/>
      <name val="Encode Sans"/>
    </font>
    <font>
      <sz val="9"/>
      <color theme="1"/>
      <name val="Encode Sans"/>
    </font>
    <font>
      <b/>
      <sz val="11"/>
      <color theme="1"/>
      <name val="Encode Sans"/>
    </font>
    <font>
      <b/>
      <sz val="11"/>
      <name val="Encode Sans"/>
    </font>
    <font>
      <sz val="10"/>
      <color theme="1"/>
      <name val="Encode Sans"/>
    </font>
    <font>
      <b/>
      <sz val="13"/>
      <name val="Encode Sans"/>
    </font>
    <font>
      <b/>
      <i/>
      <sz val="12"/>
      <name val="Encode Sans"/>
    </font>
    <font>
      <sz val="9"/>
      <name val="Encode Sans"/>
    </font>
    <font>
      <sz val="11"/>
      <color theme="0"/>
      <name val="Encode Sans"/>
    </font>
    <font>
      <i/>
      <sz val="10"/>
      <name val="Encode Sans"/>
    </font>
    <font>
      <b/>
      <sz val="10"/>
      <name val="Encode Sans"/>
    </font>
    <font>
      <b/>
      <u/>
      <sz val="10"/>
      <name val="Encode Sans"/>
    </font>
    <font>
      <b/>
      <i/>
      <sz val="10"/>
      <name val="Encode Sans"/>
    </font>
    <font>
      <sz val="8"/>
      <color theme="1"/>
      <name val="Encode Sans"/>
    </font>
    <font>
      <sz val="8"/>
      <name val="Encode Sans"/>
    </font>
    <font>
      <b/>
      <sz val="12"/>
      <color indexed="9"/>
      <name val="Encode Sans"/>
    </font>
    <font>
      <b/>
      <sz val="13"/>
      <color indexed="9"/>
      <name val="Encode Sans"/>
    </font>
    <font>
      <sz val="13"/>
      <color indexed="9"/>
      <name val="Encode Sans"/>
    </font>
    <font>
      <b/>
      <sz val="9"/>
      <name val="Encode Sans"/>
    </font>
    <font>
      <sz val="10"/>
      <color theme="0"/>
      <name val="Encode Sans"/>
    </font>
    <font>
      <sz val="14"/>
      <name val="Encode Sans"/>
    </font>
    <font>
      <b/>
      <sz val="11"/>
      <color theme="0"/>
      <name val="Encode Sans"/>
    </font>
    <font>
      <i/>
      <sz val="11"/>
      <name val="Encode Sans"/>
    </font>
    <font>
      <b/>
      <i/>
      <sz val="11"/>
      <name val="Encode Sans"/>
    </font>
    <font>
      <sz val="10"/>
      <color indexed="8"/>
      <name val="Encode Sans"/>
    </font>
    <font>
      <b/>
      <sz val="13"/>
      <color theme="1"/>
      <name val="Encode Sans"/>
    </font>
    <font>
      <b/>
      <i/>
      <sz val="13"/>
      <name val="Encode Sans"/>
    </font>
    <font>
      <sz val="11"/>
      <color indexed="9"/>
      <name val="Encode Sans"/>
    </font>
    <font>
      <b/>
      <sz val="14"/>
      <color theme="1"/>
      <name val="Encode Sans"/>
    </font>
    <font>
      <b/>
      <sz val="12"/>
      <color theme="1"/>
      <name val="Encode Sans"/>
    </font>
    <font>
      <b/>
      <sz val="12"/>
      <color theme="0"/>
      <name val="Encode Sans"/>
    </font>
    <font>
      <b/>
      <u/>
      <sz val="10"/>
      <color indexed="12"/>
      <name val="Encode Sans"/>
    </font>
    <font>
      <b/>
      <sz val="10"/>
      <color theme="1"/>
      <name val="Encode Sans"/>
    </font>
  </fonts>
  <fills count="3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rgb="FF00B0F0"/>
        <bgColor indexed="64"/>
      </patternFill>
    </fill>
  </fills>
  <borders count="41">
    <border>
      <left/>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38">
    <xf numFmtId="0" fontId="0" fillId="0" borderId="0"/>
    <xf numFmtId="167" fontId="1" fillId="0" borderId="0" applyFont="0" applyFill="0" applyBorder="0" applyAlignment="0" applyProtection="0"/>
    <xf numFmtId="0" fontId="2" fillId="0" borderId="0" applyNumberFormat="0" applyFill="0" applyBorder="0" applyAlignment="0" applyProtection="0"/>
    <xf numFmtId="0" fontId="1" fillId="0" borderId="0"/>
    <xf numFmtId="171" fontId="1" fillId="0" borderId="0" applyFont="0" applyFill="0" applyBorder="0" applyAlignment="0" applyProtection="0"/>
    <xf numFmtId="0" fontId="2" fillId="0" borderId="0" applyNumberFormat="0" applyFill="0" applyBorder="0" applyAlignment="0" applyProtection="0"/>
    <xf numFmtId="165" fontId="2"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72" fontId="1" fillId="0" borderId="0" applyFont="0" applyFill="0" applyBorder="0" applyAlignment="0" applyProtection="0"/>
    <xf numFmtId="173" fontId="2"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176" fontId="2" fillId="0" borderId="0" applyFont="0" applyFill="0" applyBorder="0" applyAlignment="0" applyProtection="0"/>
    <xf numFmtId="0" fontId="1" fillId="0" borderId="0"/>
    <xf numFmtId="177" fontId="2" fillId="0" borderId="0" applyFont="0" applyFill="0" applyBorder="0" applyAlignment="0" applyProtection="0"/>
    <xf numFmtId="0" fontId="2" fillId="0" borderId="0" applyNumberFormat="0" applyFill="0" applyBorder="0" applyAlignment="0" applyProtection="0"/>
    <xf numFmtId="0" fontId="4" fillId="0" borderId="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167" fontId="1" fillId="0" borderId="0" applyFont="0" applyFill="0" applyBorder="0" applyAlignment="0" applyProtection="0"/>
    <xf numFmtId="165" fontId="1" fillId="0" borderId="0" applyFont="0" applyFill="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5"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2" fillId="0" borderId="0" applyNumberFormat="0" applyFill="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10" fillId="24"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165" fontId="2" fillId="0" borderId="0" applyFont="0" applyFill="0" applyBorder="0" applyAlignment="0" applyProtection="0"/>
    <xf numFmtId="167" fontId="2" fillId="0" borderId="0" applyFont="0" applyFill="0" applyBorder="0" applyAlignment="0" applyProtection="0"/>
    <xf numFmtId="3" fontId="14" fillId="0" borderId="0" applyFont="0" applyFill="0" applyBorder="0" applyAlignment="0" applyProtection="0"/>
    <xf numFmtId="164" fontId="2" fillId="0" borderId="0" applyFont="0" applyFill="0" applyBorder="0" applyAlignment="0" applyProtection="0"/>
    <xf numFmtId="166" fontId="2" fillId="0" borderId="0" applyFont="0" applyFill="0" applyBorder="0" applyAlignment="0" applyProtection="0"/>
    <xf numFmtId="182" fontId="2" fillId="0" borderId="0" applyFont="0" applyFill="0" applyBorder="0" applyAlignment="0" applyProtection="0"/>
    <xf numFmtId="183" fontId="15" fillId="0" borderId="0" applyFont="0" applyFill="0" applyBorder="0" applyAlignment="0" applyProtection="0"/>
    <xf numFmtId="184" fontId="1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0" fontId="2"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20" fillId="0" borderId="0"/>
    <xf numFmtId="0" fontId="2" fillId="0" borderId="0" applyNumberFormat="0" applyFill="0" applyBorder="0" applyAlignment="0" applyProtection="0">
      <alignment vertical="top"/>
      <protection locked="0"/>
    </xf>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21" fillId="0" borderId="17" applyNumberFormat="0" applyFill="0" applyAlignment="0" applyProtection="0"/>
    <xf numFmtId="0" fontId="22" fillId="0" borderId="18" applyNumberFormat="0" applyFill="0" applyAlignment="0" applyProtection="0"/>
    <xf numFmtId="0" fontId="23" fillId="0" borderId="19" applyNumberFormat="0" applyFill="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15" fontId="2" fillId="0" borderId="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41" fontId="2" fillId="0" borderId="0" applyFont="0" applyFill="0" applyBorder="0" applyAlignment="0" applyProtection="0"/>
    <xf numFmtId="186" fontId="2" fillId="0" borderId="0" applyFont="0" applyFill="0" applyBorder="0" applyAlignment="0" applyProtection="0"/>
    <xf numFmtId="41"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6" fontId="2"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3" fontId="2" fillId="0" borderId="0" applyFont="0" applyFill="0" applyBorder="0" applyAlignment="0" applyProtection="0"/>
    <xf numFmtId="188" fontId="2" fillId="0" borderId="0" applyFont="0" applyFill="0" applyBorder="0" applyAlignment="0" applyProtection="0"/>
    <xf numFmtId="168" fontId="6"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7" fontId="1" fillId="0" borderId="0" applyFont="0" applyFill="0" applyBorder="0" applyAlignment="0" applyProtection="0"/>
    <xf numFmtId="173"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2" fillId="0" borderId="0" applyFont="0" applyFill="0" applyBorder="0" applyAlignment="0" applyProtection="0"/>
    <xf numFmtId="168" fontId="1" fillId="0" borderId="0" applyFont="0" applyFill="0" applyBorder="0" applyAlignment="0" applyProtection="0"/>
    <xf numFmtId="43" fontId="2" fillId="0" borderId="0" applyFont="0" applyFill="0" applyBorder="0" applyAlignment="0" applyProtection="0"/>
    <xf numFmtId="176" fontId="2" fillId="0" borderId="0" applyFont="0" applyFill="0" applyBorder="0" applyAlignment="0" applyProtection="0"/>
    <xf numFmtId="43" fontId="2"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77" fontId="2" fillId="0" borderId="0" applyFont="0" applyFill="0" applyBorder="0" applyAlignment="0" applyProtection="0"/>
    <xf numFmtId="167" fontId="6" fillId="0" borderId="0" applyFont="0" applyFill="0" applyBorder="0" applyAlignment="0" applyProtection="0"/>
    <xf numFmtId="173"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2" fillId="0" borderId="0"/>
    <xf numFmtId="0" fontId="1" fillId="0" borderId="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2" fillId="6" borderId="21" applyNumberFormat="0" applyFont="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90" fontId="29" fillId="0" borderId="0">
      <protection locked="0"/>
    </xf>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1" fillId="0" borderId="0" applyNumberFormat="0" applyFill="0" applyBorder="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20"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170" fontId="1" fillId="0" borderId="0" applyFont="0" applyFill="0" applyBorder="0" applyAlignment="0" applyProtection="0"/>
  </cellStyleXfs>
  <cellXfs count="461">
    <xf numFmtId="0" fontId="0" fillId="0" borderId="0" xfId="0"/>
    <xf numFmtId="0" fontId="38" fillId="3" borderId="0" xfId="0" applyFont="1" applyFill="1"/>
    <xf numFmtId="0" fontId="37" fillId="2" borderId="0" xfId="8" applyFont="1" applyFill="1"/>
    <xf numFmtId="0" fontId="36" fillId="2" borderId="10" xfId="8" applyFont="1" applyFill="1" applyBorder="1" applyAlignment="1">
      <alignment horizontal="center" vertical="center"/>
    </xf>
    <xf numFmtId="0" fontId="36" fillId="2" borderId="9" xfId="8" applyFont="1" applyFill="1" applyBorder="1" applyAlignment="1">
      <alignment horizontal="center" vertical="center"/>
    </xf>
    <xf numFmtId="0" fontId="40" fillId="2" borderId="12" xfId="19" applyFont="1" applyFill="1" applyBorder="1" applyAlignment="1" applyProtection="1">
      <alignment vertical="center" wrapText="1"/>
    </xf>
    <xf numFmtId="0" fontId="41" fillId="3" borderId="0" xfId="0" applyFont="1" applyFill="1"/>
    <xf numFmtId="0" fontId="39" fillId="2" borderId="0" xfId="19" applyFont="1" applyFill="1" applyBorder="1" applyAlignment="1" applyProtection="1">
      <alignment horizontal="center" vertical="center"/>
    </xf>
    <xf numFmtId="0" fontId="38" fillId="0" borderId="0" xfId="3" applyFont="1" applyBorder="1"/>
    <xf numFmtId="167" fontId="43" fillId="0" borderId="0" xfId="1" applyFont="1"/>
    <xf numFmtId="0" fontId="38" fillId="0" borderId="0" xfId="3" applyFont="1"/>
    <xf numFmtId="0" fontId="44" fillId="2" borderId="0" xfId="2" applyFont="1" applyFill="1"/>
    <xf numFmtId="167" fontId="38" fillId="0" borderId="0" xfId="1" applyFont="1"/>
    <xf numFmtId="0" fontId="44" fillId="2" borderId="0" xfId="2" applyFont="1" applyFill="1" applyAlignment="1"/>
    <xf numFmtId="178" fontId="38" fillId="0" borderId="0" xfId="1" applyNumberFormat="1" applyFont="1"/>
    <xf numFmtId="0" fontId="45" fillId="0" borderId="0" xfId="3" applyFont="1"/>
    <xf numFmtId="0" fontId="46" fillId="2" borderId="0" xfId="5" applyFont="1" applyFill="1" applyAlignment="1"/>
    <xf numFmtId="3" fontId="46" fillId="2" borderId="0" xfId="5" applyNumberFormat="1" applyFont="1" applyFill="1" applyAlignment="1"/>
    <xf numFmtId="0" fontId="47" fillId="3" borderId="0" xfId="5" applyFont="1" applyFill="1" applyAlignment="1"/>
    <xf numFmtId="167" fontId="47" fillId="3" borderId="0" xfId="1" applyFont="1" applyFill="1" applyAlignment="1"/>
    <xf numFmtId="49" fontId="40" fillId="2" borderId="0" xfId="5" applyNumberFormat="1" applyFont="1" applyFill="1"/>
    <xf numFmtId="191" fontId="38" fillId="0" borderId="0" xfId="1" applyNumberFormat="1" applyFont="1"/>
    <xf numFmtId="178" fontId="41" fillId="0" borderId="0" xfId="1" applyNumberFormat="1" applyFont="1"/>
    <xf numFmtId="167" fontId="41" fillId="0" borderId="0" xfId="1" applyNumberFormat="1" applyFont="1"/>
    <xf numFmtId="167" fontId="38" fillId="0" borderId="0" xfId="1" applyNumberFormat="1" applyFont="1"/>
    <xf numFmtId="3" fontId="48" fillId="3" borderId="0" xfId="8" applyNumberFormat="1" applyFont="1" applyFill="1" applyAlignment="1">
      <alignment horizontal="centerContinuous"/>
    </xf>
    <xf numFmtId="178" fontId="48" fillId="3" borderId="0" xfId="1" applyNumberFormat="1" applyFont="1" applyFill="1" applyAlignment="1">
      <alignment horizontal="centerContinuous"/>
    </xf>
    <xf numFmtId="192" fontId="48" fillId="3" borderId="0" xfId="1" applyNumberFormat="1" applyFont="1" applyFill="1" applyAlignment="1">
      <alignment horizontal="centerContinuous"/>
    </xf>
    <xf numFmtId="49" fontId="40" fillId="2" borderId="2" xfId="5" applyNumberFormat="1" applyFont="1" applyFill="1" applyBorder="1"/>
    <xf numFmtId="0" fontId="38" fillId="0" borderId="2" xfId="3" applyFont="1" applyBorder="1"/>
    <xf numFmtId="49" fontId="51" fillId="2" borderId="2" xfId="6" applyNumberFormat="1" applyFont="1" applyFill="1" applyBorder="1"/>
    <xf numFmtId="3" fontId="38" fillId="0" borderId="2" xfId="3" applyNumberFormat="1" applyFont="1" applyBorder="1"/>
    <xf numFmtId="3" fontId="40" fillId="2" borderId="0" xfId="5" applyNumberFormat="1" applyFont="1" applyFill="1"/>
    <xf numFmtId="49" fontId="52" fillId="2" borderId="2" xfId="5" applyNumberFormat="1" applyFont="1" applyFill="1" applyBorder="1"/>
    <xf numFmtId="3" fontId="36" fillId="0" borderId="2" xfId="5" applyNumberFormat="1" applyFont="1" applyFill="1" applyBorder="1"/>
    <xf numFmtId="0" fontId="38" fillId="0" borderId="2" xfId="3" applyFont="1" applyFill="1" applyBorder="1"/>
    <xf numFmtId="49" fontId="52" fillId="0" borderId="2" xfId="7" applyNumberFormat="1" applyFont="1" applyFill="1" applyBorder="1" applyAlignment="1">
      <alignment horizontal="left" indent="2"/>
    </xf>
    <xf numFmtId="3" fontId="51" fillId="0" borderId="2" xfId="5" applyNumberFormat="1" applyFont="1" applyFill="1" applyBorder="1"/>
    <xf numFmtId="3" fontId="40" fillId="0" borderId="0" xfId="5" applyNumberFormat="1" applyFont="1" applyFill="1"/>
    <xf numFmtId="49" fontId="53" fillId="2" borderId="2" xfId="7" applyNumberFormat="1" applyFont="1" applyFill="1" applyBorder="1" applyAlignment="1">
      <alignment horizontal="left" indent="4"/>
    </xf>
    <xf numFmtId="3" fontId="53" fillId="0" borderId="2" xfId="5" applyNumberFormat="1" applyFont="1" applyFill="1" applyBorder="1"/>
    <xf numFmtId="49" fontId="40" fillId="2" borderId="2" xfId="7" applyNumberFormat="1" applyFont="1" applyFill="1" applyBorder="1" applyAlignment="1">
      <alignment horizontal="left" indent="9"/>
    </xf>
    <xf numFmtId="49" fontId="40" fillId="2" borderId="2" xfId="7" applyNumberFormat="1" applyFont="1" applyFill="1" applyBorder="1" applyAlignment="1">
      <alignment horizontal="left" indent="4"/>
    </xf>
    <xf numFmtId="0" fontId="41" fillId="0" borderId="2" xfId="3" applyFont="1" applyFill="1" applyBorder="1"/>
    <xf numFmtId="49" fontId="53" fillId="0" borderId="2" xfId="7" applyNumberFormat="1" applyFont="1" applyFill="1" applyBorder="1" applyAlignment="1">
      <alignment horizontal="left" indent="4"/>
    </xf>
    <xf numFmtId="49" fontId="40" fillId="2" borderId="2" xfId="5" applyNumberFormat="1" applyFont="1" applyFill="1" applyBorder="1" applyAlignment="1">
      <alignment horizontal="left" indent="9"/>
    </xf>
    <xf numFmtId="49" fontId="40" fillId="0" borderId="2" xfId="7" applyNumberFormat="1" applyFont="1" applyFill="1" applyBorder="1" applyAlignment="1">
      <alignment horizontal="left" indent="9"/>
    </xf>
    <xf numFmtId="172" fontId="50" fillId="2" borderId="2" xfId="7" applyNumberFormat="1" applyFont="1" applyFill="1" applyBorder="1" applyAlignment="1">
      <alignment horizontal="left" indent="15"/>
    </xf>
    <xf numFmtId="49" fontId="40" fillId="0" borderId="2" xfId="5" applyNumberFormat="1" applyFont="1" applyFill="1" applyBorder="1" applyAlignment="1">
      <alignment horizontal="left" indent="9"/>
    </xf>
    <xf numFmtId="49" fontId="53" fillId="0" borderId="2" xfId="7" applyNumberFormat="1" applyFont="1" applyFill="1" applyBorder="1" applyAlignment="1">
      <alignment horizontal="left" indent="2"/>
    </xf>
    <xf numFmtId="168" fontId="38" fillId="0" borderId="0" xfId="4" applyNumberFormat="1" applyFont="1"/>
    <xf numFmtId="49" fontId="51" fillId="2" borderId="2" xfId="5" applyNumberFormat="1" applyFont="1" applyFill="1" applyBorder="1"/>
    <xf numFmtId="49" fontId="51" fillId="2" borderId="2" xfId="5" applyNumberFormat="1" applyFont="1" applyFill="1" applyBorder="1" applyAlignment="1">
      <alignment horizontal="left" indent="2"/>
    </xf>
    <xf numFmtId="49" fontId="51" fillId="0" borderId="2" xfId="5" applyNumberFormat="1" applyFont="1" applyFill="1" applyBorder="1" applyAlignment="1">
      <alignment horizontal="left" indent="2"/>
    </xf>
    <xf numFmtId="3" fontId="51" fillId="3" borderId="2" xfId="5" applyNumberFormat="1" applyFont="1" applyFill="1" applyBorder="1"/>
    <xf numFmtId="0" fontId="38" fillId="0" borderId="0" xfId="3" applyFont="1" applyFill="1"/>
    <xf numFmtId="3" fontId="50" fillId="3" borderId="2" xfId="5" applyNumberFormat="1" applyFont="1" applyFill="1" applyBorder="1"/>
    <xf numFmtId="172" fontId="51" fillId="2" borderId="2" xfId="7" applyNumberFormat="1" applyFont="1" applyFill="1" applyBorder="1"/>
    <xf numFmtId="0" fontId="40" fillId="2" borderId="2" xfId="5" applyFont="1" applyFill="1" applyBorder="1"/>
    <xf numFmtId="4" fontId="40" fillId="3" borderId="2" xfId="5" applyNumberFormat="1" applyFont="1" applyFill="1" applyBorder="1"/>
    <xf numFmtId="0" fontId="38" fillId="0" borderId="3" xfId="3" applyFont="1" applyBorder="1"/>
    <xf numFmtId="0" fontId="38" fillId="3" borderId="3" xfId="3" applyFont="1" applyFill="1" applyBorder="1"/>
    <xf numFmtId="3" fontId="45" fillId="0" borderId="0" xfId="3" applyNumberFormat="1" applyFont="1"/>
    <xf numFmtId="167" fontId="45" fillId="0" borderId="0" xfId="1" applyFont="1"/>
    <xf numFmtId="167" fontId="41" fillId="0" borderId="0" xfId="1" applyFont="1"/>
    <xf numFmtId="0" fontId="40" fillId="3" borderId="0" xfId="13" applyFont="1" applyFill="1" applyAlignment="1">
      <alignment vertical="top"/>
    </xf>
    <xf numFmtId="3" fontId="38" fillId="0" borderId="0" xfId="3" applyNumberFormat="1" applyFont="1"/>
    <xf numFmtId="9" fontId="38" fillId="0" borderId="0" xfId="12" applyFont="1"/>
    <xf numFmtId="49" fontId="38" fillId="0" borderId="0" xfId="3" applyNumberFormat="1" applyFont="1"/>
    <xf numFmtId="10" fontId="38" fillId="0" borderId="0" xfId="12" applyNumberFormat="1" applyFont="1"/>
    <xf numFmtId="3" fontId="54" fillId="0" borderId="0" xfId="3" applyNumberFormat="1" applyFont="1"/>
    <xf numFmtId="168" fontId="40" fillId="3" borderId="0" xfId="1" applyNumberFormat="1" applyFont="1" applyFill="1" applyBorder="1"/>
    <xf numFmtId="167" fontId="41" fillId="3" borderId="0" xfId="1" applyFont="1" applyFill="1"/>
    <xf numFmtId="0" fontId="40" fillId="3" borderId="0" xfId="13" applyFont="1" applyFill="1"/>
    <xf numFmtId="0" fontId="40" fillId="3" borderId="0" xfId="8" applyFont="1" applyFill="1"/>
    <xf numFmtId="0" fontId="36" fillId="2" borderId="0" xfId="2" applyFont="1" applyFill="1"/>
    <xf numFmtId="167" fontId="44" fillId="3" borderId="0" xfId="1" applyFont="1" applyFill="1" applyAlignment="1">
      <alignment vertical="center"/>
    </xf>
    <xf numFmtId="0" fontId="55" fillId="3" borderId="0" xfId="8" applyFont="1" applyFill="1"/>
    <xf numFmtId="0" fontId="44" fillId="3" borderId="0" xfId="8" applyFont="1" applyFill="1" applyAlignment="1"/>
    <xf numFmtId="0" fontId="36" fillId="3" borderId="0" xfId="8" applyFont="1" applyFill="1" applyAlignment="1">
      <alignment horizontal="left"/>
    </xf>
    <xf numFmtId="0" fontId="48" fillId="3" borderId="0" xfId="8" applyFont="1" applyFill="1" applyAlignment="1">
      <alignment horizontal="center"/>
    </xf>
    <xf numFmtId="167" fontId="48" fillId="3" borderId="0" xfId="1" applyFont="1" applyFill="1" applyAlignment="1">
      <alignment horizontal="center"/>
    </xf>
    <xf numFmtId="0" fontId="48" fillId="3" borderId="0" xfId="8" applyFont="1" applyFill="1"/>
    <xf numFmtId="178" fontId="48" fillId="3" borderId="0" xfId="1" applyNumberFormat="1" applyFont="1" applyFill="1"/>
    <xf numFmtId="167" fontId="48" fillId="3" borderId="0" xfId="1" applyNumberFormat="1" applyFont="1" applyFill="1"/>
    <xf numFmtId="0" fontId="46" fillId="3" borderId="0" xfId="5" applyFont="1" applyFill="1" applyAlignment="1"/>
    <xf numFmtId="167" fontId="46" fillId="3" borderId="0" xfId="1" applyFont="1" applyFill="1" applyAlignment="1"/>
    <xf numFmtId="167" fontId="48" fillId="3" borderId="0" xfId="1" applyFont="1" applyFill="1"/>
    <xf numFmtId="167" fontId="38" fillId="3" borderId="0" xfId="1" applyFont="1" applyFill="1"/>
    <xf numFmtId="3" fontId="48" fillId="3" borderId="0" xfId="8" applyNumberFormat="1" applyFont="1" applyFill="1"/>
    <xf numFmtId="181" fontId="48" fillId="3" borderId="0" xfId="1" applyNumberFormat="1" applyFont="1" applyFill="1"/>
    <xf numFmtId="0" fontId="40" fillId="3" borderId="0" xfId="8" applyFont="1" applyFill="1" applyAlignment="1">
      <alignment vertical="center"/>
    </xf>
    <xf numFmtId="167" fontId="40" fillId="3" borderId="0" xfId="1" applyFont="1" applyFill="1" applyAlignment="1">
      <alignment vertical="center"/>
    </xf>
    <xf numFmtId="0" fontId="40" fillId="2" borderId="4" xfId="8" applyFont="1" applyFill="1" applyBorder="1"/>
    <xf numFmtId="178" fontId="40" fillId="2" borderId="1" xfId="1" applyNumberFormat="1" applyFont="1" applyFill="1" applyBorder="1"/>
    <xf numFmtId="0" fontId="56" fillId="2" borderId="5" xfId="8" applyFont="1" applyFill="1" applyBorder="1"/>
    <xf numFmtId="178" fontId="57" fillId="2" borderId="2" xfId="1" applyNumberFormat="1" applyFont="1" applyFill="1" applyBorder="1"/>
    <xf numFmtId="10" fontId="57" fillId="2" borderId="2" xfId="12" applyNumberFormat="1" applyFont="1" applyFill="1" applyBorder="1"/>
    <xf numFmtId="0" fontId="40" fillId="2" borderId="6" xfId="8" applyFont="1" applyFill="1" applyBorder="1"/>
    <xf numFmtId="178" fontId="40" fillId="2" borderId="3" xfId="1" applyNumberFormat="1" applyFont="1" applyFill="1" applyBorder="1"/>
    <xf numFmtId="10" fontId="40" fillId="2" borderId="3" xfId="12" applyNumberFormat="1" applyFont="1" applyFill="1" applyBorder="1"/>
    <xf numFmtId="10" fontId="40" fillId="2" borderId="1" xfId="12" applyNumberFormat="1" applyFont="1" applyFill="1" applyBorder="1"/>
    <xf numFmtId="0" fontId="49" fillId="3" borderId="0" xfId="0" applyFont="1" applyFill="1"/>
    <xf numFmtId="0" fontId="57" fillId="2" borderId="5" xfId="8" applyFont="1" applyFill="1" applyBorder="1"/>
    <xf numFmtId="178" fontId="58" fillId="3" borderId="5" xfId="1" applyNumberFormat="1" applyFont="1" applyFill="1" applyBorder="1"/>
    <xf numFmtId="0" fontId="41" fillId="2" borderId="5" xfId="8" applyFont="1" applyFill="1" applyBorder="1" applyAlignment="1">
      <alignment vertical="center"/>
    </xf>
    <xf numFmtId="178" fontId="41" fillId="3" borderId="5" xfId="1" applyNumberFormat="1" applyFont="1" applyFill="1" applyBorder="1" applyAlignment="1">
      <alignment vertical="center"/>
    </xf>
    <xf numFmtId="178" fontId="41" fillId="0" borderId="2" xfId="1" applyNumberFormat="1" applyFont="1" applyFill="1" applyBorder="1" applyAlignment="1">
      <alignment vertical="center"/>
    </xf>
    <xf numFmtId="0" fontId="41" fillId="2" borderId="5" xfId="8" applyFont="1" applyFill="1" applyBorder="1"/>
    <xf numFmtId="178" fontId="41" fillId="3" borderId="5" xfId="1" applyNumberFormat="1" applyFont="1" applyFill="1" applyBorder="1"/>
    <xf numFmtId="178" fontId="41" fillId="3" borderId="2" xfId="1" applyNumberFormat="1" applyFont="1" applyFill="1" applyBorder="1"/>
    <xf numFmtId="178" fontId="41" fillId="3" borderId="2" xfId="1" applyNumberFormat="1" applyFont="1" applyFill="1" applyBorder="1" applyAlignment="1">
      <alignment vertical="center"/>
    </xf>
    <xf numFmtId="0" fontId="37" fillId="2" borderId="5" xfId="8" applyFont="1" applyFill="1" applyBorder="1"/>
    <xf numFmtId="178" fontId="37" fillId="3" borderId="2" xfId="1" applyNumberFormat="1" applyFont="1" applyFill="1" applyBorder="1"/>
    <xf numFmtId="10" fontId="37" fillId="3" borderId="2" xfId="12" applyNumberFormat="1" applyFont="1" applyFill="1" applyBorder="1"/>
    <xf numFmtId="178" fontId="57" fillId="3" borderId="2" xfId="1" applyNumberFormat="1" applyFont="1" applyFill="1" applyBorder="1"/>
    <xf numFmtId="10" fontId="57" fillId="3" borderId="2" xfId="12" applyNumberFormat="1" applyFont="1" applyFill="1" applyBorder="1"/>
    <xf numFmtId="178" fontId="41" fillId="2" borderId="5" xfId="1" applyNumberFormat="1" applyFont="1" applyFill="1" applyBorder="1" applyAlignment="1">
      <alignment vertical="center"/>
    </xf>
    <xf numFmtId="178" fontId="41" fillId="2" borderId="5" xfId="1" applyNumberFormat="1" applyFont="1" applyFill="1" applyBorder="1"/>
    <xf numFmtId="0" fontId="40" fillId="3" borderId="13" xfId="8" applyFont="1" applyFill="1" applyBorder="1" applyAlignment="1">
      <alignment vertical="center"/>
    </xf>
    <xf numFmtId="178" fontId="40" fillId="3" borderId="13" xfId="1" applyNumberFormat="1" applyFont="1" applyFill="1" applyBorder="1" applyAlignment="1">
      <alignment vertical="center"/>
    </xf>
    <xf numFmtId="0" fontId="40" fillId="3" borderId="0" xfId="8" applyFont="1" applyFill="1" applyBorder="1" applyAlignment="1">
      <alignment horizontal="left" vertical="center" wrapText="1"/>
    </xf>
    <xf numFmtId="167" fontId="40" fillId="3" borderId="0" xfId="1" applyFont="1" applyFill="1" applyBorder="1" applyAlignment="1">
      <alignment horizontal="left" vertical="center" wrapText="1"/>
    </xf>
    <xf numFmtId="178" fontId="40" fillId="3" borderId="0" xfId="1" applyNumberFormat="1" applyFont="1" applyFill="1" applyBorder="1" applyAlignment="1">
      <alignment horizontal="left" vertical="center" wrapText="1"/>
    </xf>
    <xf numFmtId="167" fontId="40" fillId="3" borderId="0" xfId="1" applyFont="1" applyFill="1" applyAlignment="1">
      <alignment vertical="top"/>
    </xf>
    <xf numFmtId="167" fontId="40" fillId="3" borderId="0" xfId="1" applyFont="1" applyFill="1" applyBorder="1" applyAlignment="1">
      <alignment vertical="center" wrapText="1"/>
    </xf>
    <xf numFmtId="178" fontId="40" fillId="3" borderId="0" xfId="1" applyNumberFormat="1" applyFont="1" applyFill="1" applyBorder="1" applyAlignment="1">
      <alignment vertical="center" wrapText="1"/>
    </xf>
    <xf numFmtId="180" fontId="40" fillId="3" borderId="0" xfId="1" applyNumberFormat="1" applyFont="1" applyFill="1"/>
    <xf numFmtId="178" fontId="40" fillId="3" borderId="0" xfId="1" applyNumberFormat="1" applyFont="1" applyFill="1"/>
    <xf numFmtId="167" fontId="40" fillId="3" borderId="0" xfId="1" applyFont="1" applyFill="1"/>
    <xf numFmtId="3" fontId="40" fillId="3" borderId="0" xfId="13" applyNumberFormat="1" applyFont="1" applyFill="1"/>
    <xf numFmtId="167" fontId="59" fillId="3" borderId="0" xfId="1" applyFont="1" applyFill="1" applyBorder="1"/>
    <xf numFmtId="0" fontId="44" fillId="3" borderId="0" xfId="2" applyFont="1" applyFill="1" applyAlignment="1"/>
    <xf numFmtId="0" fontId="36" fillId="3" borderId="0" xfId="2" applyFont="1" applyFill="1" applyAlignment="1"/>
    <xf numFmtId="174" fontId="40" fillId="3" borderId="0" xfId="12" applyNumberFormat="1" applyFont="1" applyFill="1"/>
    <xf numFmtId="0" fontId="60" fillId="3" borderId="0" xfId="13" applyFont="1" applyFill="1"/>
    <xf numFmtId="0" fontId="61" fillId="3" borderId="0" xfId="8" applyFont="1" applyFill="1"/>
    <xf numFmtId="175" fontId="36" fillId="3" borderId="0" xfId="8" applyNumberFormat="1" applyFont="1" applyFill="1" applyBorder="1" applyAlignment="1" applyProtection="1"/>
    <xf numFmtId="175" fontId="44" fillId="3" borderId="0" xfId="8" applyNumberFormat="1" applyFont="1" applyFill="1" applyBorder="1" applyAlignment="1" applyProtection="1"/>
    <xf numFmtId="175" fontId="44" fillId="3" borderId="0" xfId="8" applyNumberFormat="1" applyFont="1" applyFill="1" applyBorder="1" applyAlignment="1" applyProtection="1">
      <alignment horizontal="center"/>
    </xf>
    <xf numFmtId="167" fontId="55" fillId="3" borderId="0" xfId="1" applyFont="1" applyFill="1"/>
    <xf numFmtId="175" fontId="55" fillId="2" borderId="2" xfId="8" applyNumberFormat="1" applyFont="1" applyFill="1" applyBorder="1" applyAlignment="1" applyProtection="1"/>
    <xf numFmtId="3" fontId="40" fillId="3" borderId="2" xfId="8" applyNumberFormat="1" applyFont="1" applyFill="1" applyBorder="1" applyAlignment="1">
      <alignment horizontal="right"/>
    </xf>
    <xf numFmtId="175" fontId="62" fillId="2" borderId="0" xfId="8" applyNumberFormat="1" applyFont="1" applyFill="1" applyBorder="1" applyAlignment="1" applyProtection="1"/>
    <xf numFmtId="175" fontId="44" fillId="2" borderId="2" xfId="8" applyNumberFormat="1" applyFont="1" applyFill="1" applyBorder="1" applyAlignment="1" applyProtection="1"/>
    <xf numFmtId="3" fontId="44" fillId="3" borderId="2" xfId="8" applyNumberFormat="1" applyFont="1" applyFill="1" applyBorder="1" applyAlignment="1" applyProtection="1">
      <alignment horizontal="right"/>
    </xf>
    <xf numFmtId="10" fontId="51" fillId="3" borderId="2" xfId="12" applyNumberFormat="1" applyFont="1" applyFill="1" applyBorder="1" applyAlignment="1">
      <alignment horizontal="right"/>
    </xf>
    <xf numFmtId="175" fontId="63" fillId="2" borderId="2" xfId="8" applyNumberFormat="1" applyFont="1" applyFill="1" applyBorder="1" applyAlignment="1" applyProtection="1"/>
    <xf numFmtId="175" fontId="62" fillId="3" borderId="0" xfId="8" applyNumberFormat="1" applyFont="1" applyFill="1" applyBorder="1" applyAlignment="1" applyProtection="1"/>
    <xf numFmtId="175" fontId="50" fillId="2" borderId="2" xfId="8" applyNumberFormat="1" applyFont="1" applyFill="1" applyBorder="1" applyAlignment="1" applyProtection="1"/>
    <xf numFmtId="3" fontId="40" fillId="0" borderId="2" xfId="8" applyNumberFormat="1" applyFont="1" applyFill="1" applyBorder="1" applyAlignment="1">
      <alignment horizontal="right"/>
    </xf>
    <xf numFmtId="175" fontId="63" fillId="2" borderId="5" xfId="8" applyNumberFormat="1" applyFont="1" applyFill="1" applyBorder="1" applyAlignment="1" applyProtection="1"/>
    <xf numFmtId="175" fontId="44" fillId="2" borderId="5" xfId="8" applyNumberFormat="1" applyFont="1" applyFill="1" applyBorder="1" applyAlignment="1" applyProtection="1"/>
    <xf numFmtId="175" fontId="63" fillId="2" borderId="6" xfId="8" applyNumberFormat="1" applyFont="1" applyFill="1" applyBorder="1" applyAlignment="1" applyProtection="1"/>
    <xf numFmtId="3" fontId="40" fillId="3" borderId="3" xfId="8" applyNumberFormat="1" applyFont="1" applyFill="1" applyBorder="1" applyAlignment="1">
      <alignment horizontal="right"/>
    </xf>
    <xf numFmtId="175" fontId="55" fillId="3" borderId="0" xfId="8" applyNumberFormat="1" applyFont="1" applyFill="1" applyBorder="1" applyAlignment="1" applyProtection="1"/>
    <xf numFmtId="167" fontId="55" fillId="3" borderId="0" xfId="1" applyFont="1" applyFill="1" applyBorder="1" applyAlignment="1" applyProtection="1"/>
    <xf numFmtId="0" fontId="40" fillId="3" borderId="0" xfId="13" applyFont="1" applyFill="1" applyAlignment="1">
      <alignment wrapText="1"/>
    </xf>
    <xf numFmtId="181" fontId="40" fillId="3" borderId="0" xfId="13" applyNumberFormat="1" applyFont="1" applyFill="1" applyAlignment="1">
      <alignment wrapText="1"/>
    </xf>
    <xf numFmtId="175" fontId="55" fillId="2" borderId="5" xfId="8" applyNumberFormat="1" applyFont="1" applyFill="1" applyBorder="1" applyAlignment="1" applyProtection="1"/>
    <xf numFmtId="175" fontId="64" fillId="2" borderId="5" xfId="8" applyNumberFormat="1" applyFont="1" applyFill="1" applyBorder="1" applyAlignment="1" applyProtection="1"/>
    <xf numFmtId="173" fontId="40" fillId="3" borderId="0" xfId="14" applyNumberFormat="1" applyFont="1" applyFill="1" applyAlignment="1"/>
    <xf numFmtId="175" fontId="40" fillId="3" borderId="0" xfId="13" applyNumberFormat="1" applyFont="1" applyFill="1"/>
    <xf numFmtId="168" fontId="40" fillId="3" borderId="0" xfId="21" applyNumberFormat="1" applyFont="1" applyFill="1" applyBorder="1"/>
    <xf numFmtId="169" fontId="40" fillId="3" borderId="0" xfId="21" applyNumberFormat="1" applyFont="1" applyFill="1" applyBorder="1"/>
    <xf numFmtId="3" fontId="38" fillId="3" borderId="0" xfId="0" applyNumberFormat="1" applyFont="1" applyFill="1"/>
    <xf numFmtId="0" fontId="40" fillId="3" borderId="0" xfId="5" applyFont="1" applyFill="1"/>
    <xf numFmtId="169" fontId="40" fillId="3" borderId="0" xfId="21" applyNumberFormat="1" applyFont="1" applyFill="1"/>
    <xf numFmtId="0" fontId="44" fillId="3" borderId="0" xfId="5" applyFont="1" applyFill="1" applyAlignment="1"/>
    <xf numFmtId="0" fontId="36" fillId="3" borderId="0" xfId="5" applyFont="1" applyFill="1" applyAlignment="1"/>
    <xf numFmtId="167" fontId="40" fillId="3" borderId="0" xfId="21" applyFont="1" applyFill="1"/>
    <xf numFmtId="3" fontId="40" fillId="3" borderId="0" xfId="21" applyNumberFormat="1" applyFont="1" applyFill="1"/>
    <xf numFmtId="168" fontId="40" fillId="3" borderId="0" xfId="21" applyNumberFormat="1" applyFont="1" applyFill="1"/>
    <xf numFmtId="0" fontId="40" fillId="3" borderId="0" xfId="5" applyFont="1" applyFill="1" applyBorder="1"/>
    <xf numFmtId="175" fontId="44" fillId="3" borderId="0" xfId="5" applyNumberFormat="1" applyFont="1" applyFill="1" applyBorder="1" applyAlignment="1" applyProtection="1">
      <alignment horizontal="center"/>
    </xf>
    <xf numFmtId="168" fontId="44" fillId="3" borderId="0" xfId="21" applyNumberFormat="1" applyFont="1" applyFill="1" applyBorder="1" applyAlignment="1" applyProtection="1">
      <alignment horizontal="center"/>
    </xf>
    <xf numFmtId="175" fontId="44" fillId="3" borderId="0" xfId="5" applyNumberFormat="1" applyFont="1" applyFill="1" applyBorder="1" applyAlignment="1" applyProtection="1"/>
    <xf numFmtId="3" fontId="44" fillId="3" borderId="0" xfId="5" applyNumberFormat="1" applyFont="1" applyFill="1" applyBorder="1" applyAlignment="1" applyProtection="1"/>
    <xf numFmtId="172" fontId="36" fillId="3" borderId="7" xfId="21" applyNumberFormat="1" applyFont="1" applyFill="1" applyBorder="1" applyAlignment="1">
      <alignment horizontal="center"/>
    </xf>
    <xf numFmtId="172" fontId="36" fillId="3" borderId="4" xfId="21" applyNumberFormat="1" applyFont="1" applyFill="1" applyBorder="1" applyAlignment="1">
      <alignment horizontal="center"/>
    </xf>
    <xf numFmtId="169" fontId="36" fillId="3" borderId="1" xfId="21" applyNumberFormat="1" applyFont="1" applyFill="1" applyBorder="1" applyAlignment="1">
      <alignment horizontal="center" vertical="center"/>
    </xf>
    <xf numFmtId="3" fontId="36" fillId="3" borderId="1" xfId="21" applyNumberFormat="1" applyFont="1" applyFill="1" applyBorder="1" applyAlignment="1">
      <alignment horizontal="center" vertical="center"/>
    </xf>
    <xf numFmtId="3" fontId="40" fillId="2" borderId="2" xfId="21" applyNumberFormat="1" applyFont="1" applyFill="1" applyBorder="1"/>
    <xf numFmtId="0" fontId="48" fillId="2" borderId="5" xfId="5" applyFont="1" applyFill="1" applyBorder="1"/>
    <xf numFmtId="3" fontId="48" fillId="2" borderId="2" xfId="22" applyNumberFormat="1" applyFont="1" applyFill="1" applyBorder="1"/>
    <xf numFmtId="3" fontId="48" fillId="3" borderId="2" xfId="22" applyNumberFormat="1" applyFont="1" applyFill="1" applyBorder="1"/>
    <xf numFmtId="0" fontId="44" fillId="3" borderId="5" xfId="5" applyFont="1" applyFill="1" applyBorder="1"/>
    <xf numFmtId="3" fontId="51" fillId="3" borderId="2" xfId="22" applyNumberFormat="1" applyFont="1" applyFill="1" applyBorder="1"/>
    <xf numFmtId="0" fontId="59" fillId="3" borderId="5" xfId="5" applyFont="1" applyFill="1" applyBorder="1"/>
    <xf numFmtId="3" fontId="59" fillId="3" borderId="2" xfId="22" applyNumberFormat="1" applyFont="1" applyFill="1" applyBorder="1"/>
    <xf numFmtId="0" fontId="36" fillId="3" borderId="5" xfId="5" applyFont="1" applyFill="1" applyBorder="1"/>
    <xf numFmtId="3" fontId="36" fillId="3" borderId="2" xfId="22" applyNumberFormat="1" applyFont="1" applyFill="1" applyBorder="1"/>
    <xf numFmtId="0" fontId="41" fillId="3" borderId="5" xfId="5" applyFont="1" applyFill="1" applyBorder="1"/>
    <xf numFmtId="3" fontId="41" fillId="3" borderId="2" xfId="22" applyNumberFormat="1" applyFont="1" applyFill="1" applyBorder="1" applyAlignment="1">
      <alignment horizontal="right"/>
    </xf>
    <xf numFmtId="3" fontId="41" fillId="0" borderId="2" xfId="22" applyNumberFormat="1" applyFont="1" applyFill="1" applyBorder="1" applyAlignment="1">
      <alignment horizontal="right"/>
    </xf>
    <xf numFmtId="178" fontId="41" fillId="0" borderId="5" xfId="1" applyNumberFormat="1" applyFont="1" applyFill="1" applyBorder="1"/>
    <xf numFmtId="178" fontId="41" fillId="3" borderId="2" xfId="1" applyNumberFormat="1" applyFont="1" applyFill="1" applyBorder="1" applyAlignment="1">
      <alignment horizontal="right"/>
    </xf>
    <xf numFmtId="0" fontId="40" fillId="3" borderId="5" xfId="5" applyFont="1" applyFill="1" applyBorder="1" applyAlignment="1">
      <alignment horizontal="left" indent="2"/>
    </xf>
    <xf numFmtId="3" fontId="40" fillId="3" borderId="2" xfId="22" applyNumberFormat="1" applyFont="1" applyFill="1" applyBorder="1" applyAlignment="1">
      <alignment horizontal="right"/>
    </xf>
    <xf numFmtId="3" fontId="40" fillId="3" borderId="2" xfId="21" applyNumberFormat="1" applyFont="1" applyFill="1" applyBorder="1"/>
    <xf numFmtId="3" fontId="45" fillId="3" borderId="2" xfId="0" applyNumberFormat="1" applyFont="1" applyFill="1" applyBorder="1"/>
    <xf numFmtId="0" fontId="40" fillId="0" borderId="5" xfId="5" applyFont="1" applyFill="1" applyBorder="1" applyAlignment="1">
      <alignment horizontal="left" indent="2"/>
    </xf>
    <xf numFmtId="3" fontId="40" fillId="0" borderId="2" xfId="22" applyNumberFormat="1" applyFont="1" applyFill="1" applyBorder="1" applyAlignment="1">
      <alignment horizontal="right"/>
    </xf>
    <xf numFmtId="169" fontId="40" fillId="3" borderId="2" xfId="22" applyNumberFormat="1" applyFont="1" applyFill="1" applyBorder="1" applyAlignment="1">
      <alignment horizontal="right"/>
    </xf>
    <xf numFmtId="0" fontId="40" fillId="3" borderId="5" xfId="7" applyFont="1" applyFill="1" applyBorder="1" applyAlignment="1">
      <alignment horizontal="left" indent="2"/>
    </xf>
    <xf numFmtId="3" fontId="42" fillId="3" borderId="2" xfId="0" applyNumberFormat="1" applyFont="1" applyFill="1" applyBorder="1"/>
    <xf numFmtId="0" fontId="40" fillId="3" borderId="5" xfId="7" applyFont="1" applyFill="1" applyBorder="1" applyAlignment="1">
      <alignment horizontal="left" indent="4"/>
    </xf>
    <xf numFmtId="3" fontId="48" fillId="3" borderId="2" xfId="22" applyNumberFormat="1" applyFont="1" applyFill="1" applyBorder="1" applyAlignment="1">
      <alignment horizontal="right"/>
    </xf>
    <xf numFmtId="179" fontId="48" fillId="3" borderId="2" xfId="22" applyNumberFormat="1" applyFont="1" applyFill="1" applyBorder="1" applyAlignment="1">
      <alignment horizontal="right"/>
    </xf>
    <xf numFmtId="179" fontId="36" fillId="3" borderId="2" xfId="22" applyNumberFormat="1" applyFont="1" applyFill="1" applyBorder="1"/>
    <xf numFmtId="0" fontId="51" fillId="3" borderId="5" xfId="5" applyFont="1" applyFill="1" applyBorder="1"/>
    <xf numFmtId="3" fontId="44" fillId="3" borderId="2" xfId="22" applyNumberFormat="1" applyFont="1" applyFill="1" applyBorder="1"/>
    <xf numFmtId="0" fontId="40" fillId="3" borderId="5" xfId="5" applyFont="1" applyFill="1" applyBorder="1"/>
    <xf numFmtId="0" fontId="48" fillId="3" borderId="5" xfId="5" applyFont="1" applyFill="1" applyBorder="1"/>
    <xf numFmtId="3" fontId="38" fillId="3" borderId="2" xfId="0" applyNumberFormat="1" applyFont="1" applyFill="1" applyBorder="1"/>
    <xf numFmtId="0" fontId="65" fillId="3" borderId="6" xfId="18" applyFont="1" applyFill="1" applyBorder="1" applyAlignment="1">
      <alignment horizontal="center" wrapText="1"/>
    </xf>
    <xf numFmtId="4" fontId="65" fillId="3" borderId="3" xfId="18" applyNumberFormat="1" applyFont="1" applyFill="1" applyBorder="1" applyAlignment="1">
      <alignment horizontal="right" wrapText="1"/>
    </xf>
    <xf numFmtId="0" fontId="38" fillId="0" borderId="3" xfId="0" applyFont="1" applyBorder="1"/>
    <xf numFmtId="3" fontId="38" fillId="0" borderId="3" xfId="0" applyNumberFormat="1" applyFont="1" applyBorder="1"/>
    <xf numFmtId="0" fontId="65" fillId="3" borderId="0" xfId="18" applyFont="1" applyFill="1" applyBorder="1" applyAlignment="1">
      <alignment horizontal="center" wrapText="1"/>
    </xf>
    <xf numFmtId="178" fontId="38" fillId="3" borderId="0" xfId="0" applyNumberFormat="1" applyFont="1" applyFill="1"/>
    <xf numFmtId="167" fontId="65" fillId="3" borderId="0" xfId="1" applyFont="1" applyFill="1" applyBorder="1" applyAlignment="1">
      <alignment horizontal="right" wrapText="1"/>
    </xf>
    <xf numFmtId="0" fontId="40" fillId="2" borderId="0" xfId="5" applyFont="1" applyFill="1"/>
    <xf numFmtId="167" fontId="65" fillId="3" borderId="0" xfId="21" applyFont="1" applyFill="1" applyBorder="1" applyAlignment="1">
      <alignment horizontal="center" wrapText="1"/>
    </xf>
    <xf numFmtId="167" fontId="40" fillId="3" borderId="0" xfId="1" applyFont="1" applyFill="1" applyBorder="1"/>
    <xf numFmtId="0" fontId="45" fillId="3" borderId="0" xfId="0" applyFont="1" applyFill="1"/>
    <xf numFmtId="0" fontId="47" fillId="29" borderId="5" xfId="17" applyFont="1" applyFill="1" applyBorder="1" applyAlignment="1">
      <alignment wrapText="1"/>
    </xf>
    <xf numFmtId="3" fontId="67" fillId="29" borderId="2" xfId="5" applyNumberFormat="1" applyFont="1" applyFill="1" applyBorder="1"/>
    <xf numFmtId="0" fontId="47" fillId="0" borderId="5" xfId="17" applyFont="1" applyFill="1" applyBorder="1"/>
    <xf numFmtId="3" fontId="51" fillId="2" borderId="2" xfId="21" applyNumberFormat="1" applyFont="1" applyFill="1" applyBorder="1"/>
    <xf numFmtId="178" fontId="67" fillId="29" borderId="2" xfId="1" applyNumberFormat="1" applyFont="1" applyFill="1" applyBorder="1"/>
    <xf numFmtId="0" fontId="47" fillId="29" borderId="5" xfId="5" applyFont="1" applyFill="1" applyBorder="1" applyAlignment="1">
      <alignment vertical="center" wrapText="1"/>
    </xf>
    <xf numFmtId="43" fontId="36" fillId="2" borderId="5" xfId="16" applyNumberFormat="1" applyFont="1" applyFill="1" applyBorder="1" applyAlignment="1">
      <alignment vertical="center"/>
    </xf>
    <xf numFmtId="0" fontId="47" fillId="29" borderId="5" xfId="8" applyFont="1" applyFill="1" applyBorder="1" applyAlignment="1">
      <alignment horizontal="left" vertical="center" wrapText="1"/>
    </xf>
    <xf numFmtId="49" fontId="51" fillId="2" borderId="1" xfId="5" applyNumberFormat="1" applyFont="1" applyFill="1" applyBorder="1"/>
    <xf numFmtId="17" fontId="66" fillId="0" borderId="1" xfId="3" applyNumberFormat="1" applyFont="1" applyBorder="1" applyAlignment="1">
      <alignment horizontal="center"/>
    </xf>
    <xf numFmtId="17" fontId="66" fillId="0" borderId="1" xfId="3" applyNumberFormat="1" applyFont="1" applyFill="1" applyBorder="1" applyAlignment="1">
      <alignment horizontal="center"/>
    </xf>
    <xf numFmtId="0" fontId="66" fillId="0" borderId="1" xfId="3" applyFont="1" applyFill="1" applyBorder="1" applyAlignment="1">
      <alignment horizontal="center"/>
    </xf>
    <xf numFmtId="49" fontId="36" fillId="29" borderId="2" xfId="5" applyNumberFormat="1" applyFont="1" applyFill="1" applyBorder="1"/>
    <xf numFmtId="3" fontId="36" fillId="29" borderId="2" xfId="5" applyNumberFormat="1" applyFont="1" applyFill="1" applyBorder="1"/>
    <xf numFmtId="10" fontId="36" fillId="29" borderId="2" xfId="12" applyNumberFormat="1" applyFont="1" applyFill="1" applyBorder="1"/>
    <xf numFmtId="49" fontId="51" fillId="2" borderId="4" xfId="5" applyNumberFormat="1" applyFont="1" applyFill="1" applyBorder="1"/>
    <xf numFmtId="17" fontId="66" fillId="0" borderId="1" xfId="3" applyNumberFormat="1" applyFont="1" applyBorder="1" applyAlignment="1">
      <alignment horizontal="center" wrapText="1"/>
    </xf>
    <xf numFmtId="0" fontId="51" fillId="2" borderId="4" xfId="8" applyFont="1" applyFill="1" applyBorder="1" applyAlignment="1">
      <alignment horizontal="centerContinuous" vertical="center" wrapText="1"/>
    </xf>
    <xf numFmtId="0" fontId="51" fillId="2" borderId="4" xfId="8" applyFont="1" applyFill="1" applyBorder="1"/>
    <xf numFmtId="178" fontId="51" fillId="2" borderId="1" xfId="1" applyNumberFormat="1" applyFont="1" applyFill="1" applyBorder="1"/>
    <xf numFmtId="178" fontId="47" fillId="29" borderId="5" xfId="1" applyNumberFormat="1" applyFont="1" applyFill="1" applyBorder="1" applyAlignment="1">
      <alignment vertical="center" wrapText="1"/>
    </xf>
    <xf numFmtId="178" fontId="47" fillId="29" borderId="2" xfId="1" applyNumberFormat="1" applyFont="1" applyFill="1" applyBorder="1" applyAlignment="1">
      <alignment vertical="center" wrapText="1"/>
    </xf>
    <xf numFmtId="10" fontId="47" fillId="29" borderId="2" xfId="12" applyNumberFormat="1" applyFont="1" applyFill="1" applyBorder="1" applyAlignment="1">
      <alignment vertical="center" wrapText="1"/>
    </xf>
    <xf numFmtId="0" fontId="47" fillId="29" borderId="5" xfId="8" applyFont="1" applyFill="1" applyBorder="1" applyAlignment="1">
      <alignment vertical="center" wrapText="1"/>
    </xf>
    <xf numFmtId="178" fontId="41" fillId="2" borderId="2" xfId="1" applyNumberFormat="1" applyFont="1" applyFill="1" applyBorder="1"/>
    <xf numFmtId="0" fontId="68" fillId="2" borderId="5" xfId="8" applyFont="1" applyFill="1" applyBorder="1"/>
    <xf numFmtId="178" fontId="68" fillId="2" borderId="2" xfId="1" applyNumberFormat="1" applyFont="1" applyFill="1" applyBorder="1"/>
    <xf numFmtId="10" fontId="41" fillId="2" borderId="2" xfId="12" applyNumberFormat="1" applyFont="1" applyFill="1" applyBorder="1"/>
    <xf numFmtId="49" fontId="36" fillId="29" borderId="2" xfId="5" applyNumberFormat="1" applyFont="1" applyFill="1" applyBorder="1" applyAlignment="1">
      <alignment wrapText="1"/>
    </xf>
    <xf numFmtId="0" fontId="69" fillId="0" borderId="2" xfId="3" applyFont="1" applyBorder="1"/>
    <xf numFmtId="0" fontId="43" fillId="0" borderId="2" xfId="3" applyFont="1" applyBorder="1"/>
    <xf numFmtId="49" fontId="44" fillId="29" borderId="2" xfId="5" applyNumberFormat="1" applyFont="1" applyFill="1" applyBorder="1" applyAlignment="1"/>
    <xf numFmtId="3" fontId="70" fillId="0" borderId="2" xfId="3" applyNumberFormat="1" applyFont="1" applyBorder="1"/>
    <xf numFmtId="49" fontId="53" fillId="29" borderId="2" xfId="5" applyNumberFormat="1" applyFont="1" applyFill="1" applyBorder="1"/>
    <xf numFmtId="3" fontId="44" fillId="29" borderId="2" xfId="5" applyNumberFormat="1" applyFont="1" applyFill="1" applyBorder="1"/>
    <xf numFmtId="49" fontId="44" fillId="29" borderId="2" xfId="5" applyNumberFormat="1" applyFont="1" applyFill="1" applyBorder="1"/>
    <xf numFmtId="0" fontId="44" fillId="29" borderId="2" xfId="5" applyFont="1" applyFill="1" applyBorder="1"/>
    <xf numFmtId="3" fontId="46" fillId="29" borderId="2" xfId="5" applyNumberFormat="1" applyFont="1" applyFill="1" applyBorder="1"/>
    <xf numFmtId="0" fontId="47" fillId="3" borderId="0" xfId="5" applyFont="1" applyFill="1" applyAlignment="1"/>
    <xf numFmtId="167" fontId="47" fillId="3" borderId="0" xfId="1" applyFont="1" applyFill="1" applyAlignment="1"/>
    <xf numFmtId="178" fontId="51" fillId="0" borderId="2" xfId="1" applyNumberFormat="1" applyFont="1" applyFill="1" applyBorder="1"/>
    <xf numFmtId="3" fontId="40" fillId="0" borderId="2" xfId="5" applyNumberFormat="1" applyFont="1" applyFill="1" applyBorder="1"/>
    <xf numFmtId="178" fontId="40" fillId="0" borderId="2" xfId="1" applyNumberFormat="1" applyFont="1" applyFill="1" applyBorder="1"/>
    <xf numFmtId="3" fontId="50" fillId="0" borderId="2" xfId="5" applyNumberFormat="1" applyFont="1" applyFill="1" applyBorder="1"/>
    <xf numFmtId="167" fontId="41" fillId="3" borderId="0" xfId="1" applyFont="1" applyFill="1"/>
    <xf numFmtId="0" fontId="40" fillId="3" borderId="0" xfId="13" applyFont="1" applyFill="1"/>
    <xf numFmtId="167" fontId="44" fillId="3" borderId="0" xfId="1" applyFont="1" applyFill="1" applyAlignment="1">
      <alignment vertical="center"/>
    </xf>
    <xf numFmtId="167" fontId="48" fillId="3" borderId="0" xfId="1" applyFont="1" applyFill="1" applyAlignment="1">
      <alignment horizontal="center"/>
    </xf>
    <xf numFmtId="167" fontId="48" fillId="3" borderId="0" xfId="1" applyNumberFormat="1" applyFont="1" applyFill="1"/>
    <xf numFmtId="0" fontId="46" fillId="3" borderId="0" xfId="5" applyFont="1" applyFill="1" applyAlignment="1"/>
    <xf numFmtId="167" fontId="46" fillId="3" borderId="0" xfId="1" applyFont="1" applyFill="1" applyAlignment="1"/>
    <xf numFmtId="167" fontId="48" fillId="3" borderId="0" xfId="1" applyFont="1" applyFill="1"/>
    <xf numFmtId="167" fontId="40" fillId="3" borderId="0" xfId="1" applyFont="1" applyFill="1" applyAlignment="1">
      <alignment vertical="center"/>
    </xf>
    <xf numFmtId="178" fontId="40" fillId="2" borderId="1" xfId="1" applyNumberFormat="1" applyFont="1" applyFill="1" applyBorder="1"/>
    <xf numFmtId="178" fontId="57" fillId="2" borderId="2" xfId="1" applyNumberFormat="1" applyFont="1" applyFill="1" applyBorder="1"/>
    <xf numFmtId="178" fontId="40" fillId="2" borderId="3" xfId="1" applyNumberFormat="1" applyFont="1" applyFill="1" applyBorder="1"/>
    <xf numFmtId="178" fontId="41" fillId="0" borderId="2" xfId="1" applyNumberFormat="1" applyFont="1" applyFill="1" applyBorder="1" applyAlignment="1">
      <alignment vertical="center"/>
    </xf>
    <xf numFmtId="178" fontId="41" fillId="3" borderId="2" xfId="1" applyNumberFormat="1" applyFont="1" applyFill="1" applyBorder="1"/>
    <xf numFmtId="178" fontId="41" fillId="3" borderId="2" xfId="1" applyNumberFormat="1" applyFont="1" applyFill="1" applyBorder="1" applyAlignment="1">
      <alignment vertical="center"/>
    </xf>
    <xf numFmtId="178" fontId="37" fillId="3" borderId="2" xfId="1" applyNumberFormat="1" applyFont="1" applyFill="1" applyBorder="1"/>
    <xf numFmtId="178" fontId="57" fillId="3" borderId="2" xfId="1" applyNumberFormat="1" applyFont="1" applyFill="1" applyBorder="1"/>
    <xf numFmtId="178" fontId="40" fillId="3" borderId="13" xfId="1" applyNumberFormat="1" applyFont="1" applyFill="1" applyBorder="1" applyAlignment="1">
      <alignment vertical="center"/>
    </xf>
    <xf numFmtId="178" fontId="40" fillId="3" borderId="0" xfId="1" applyNumberFormat="1" applyFont="1" applyFill="1" applyBorder="1" applyAlignment="1">
      <alignment horizontal="left" vertical="center" wrapText="1"/>
    </xf>
    <xf numFmtId="178" fontId="40" fillId="3" borderId="0" xfId="1" applyNumberFormat="1" applyFont="1" applyFill="1" applyBorder="1" applyAlignment="1">
      <alignment vertical="center" wrapText="1"/>
    </xf>
    <xf numFmtId="178" fontId="40" fillId="3" borderId="0" xfId="1" applyNumberFormat="1" applyFont="1" applyFill="1"/>
    <xf numFmtId="167" fontId="40" fillId="3" borderId="0" xfId="1" applyFont="1" applyFill="1"/>
    <xf numFmtId="3" fontId="40" fillId="3" borderId="0" xfId="13" applyNumberFormat="1" applyFont="1" applyFill="1"/>
    <xf numFmtId="167" fontId="59" fillId="3" borderId="0" xfId="1" applyFont="1" applyFill="1" applyBorder="1"/>
    <xf numFmtId="0" fontId="60" fillId="3" borderId="0" xfId="13" applyFont="1" applyFill="1"/>
    <xf numFmtId="175" fontId="36" fillId="3" borderId="0" xfId="8" applyNumberFormat="1" applyFont="1" applyFill="1" applyBorder="1" applyAlignment="1" applyProtection="1"/>
    <xf numFmtId="175" fontId="44" fillId="3" borderId="0" xfId="8" applyNumberFormat="1" applyFont="1" applyFill="1" applyBorder="1" applyAlignment="1" applyProtection="1"/>
    <xf numFmtId="167" fontId="55" fillId="3" borderId="0" xfId="1" applyFont="1" applyFill="1"/>
    <xf numFmtId="3" fontId="40" fillId="3" borderId="2" xfId="8" applyNumberFormat="1" applyFont="1" applyFill="1" applyBorder="1" applyAlignment="1">
      <alignment horizontal="right"/>
    </xf>
    <xf numFmtId="3" fontId="44" fillId="3" borderId="2" xfId="8" applyNumberFormat="1" applyFont="1" applyFill="1" applyBorder="1" applyAlignment="1" applyProtection="1">
      <alignment horizontal="right"/>
    </xf>
    <xf numFmtId="3" fontId="40" fillId="0" borderId="2" xfId="8" applyNumberFormat="1" applyFont="1" applyFill="1" applyBorder="1" applyAlignment="1">
      <alignment horizontal="right"/>
    </xf>
    <xf numFmtId="3" fontId="40" fillId="3" borderId="3" xfId="8" applyNumberFormat="1" applyFont="1" applyFill="1" applyBorder="1" applyAlignment="1">
      <alignment horizontal="right"/>
    </xf>
    <xf numFmtId="167" fontId="55" fillId="3" borderId="0" xfId="1" applyFont="1" applyFill="1" applyBorder="1" applyAlignment="1" applyProtection="1"/>
    <xf numFmtId="181" fontId="40" fillId="3" borderId="0" xfId="13" applyNumberFormat="1" applyFont="1" applyFill="1" applyAlignment="1">
      <alignment wrapText="1"/>
    </xf>
    <xf numFmtId="17" fontId="66" fillId="0" borderId="1" xfId="3" applyNumberFormat="1" applyFont="1" applyFill="1" applyBorder="1" applyAlignment="1">
      <alignment horizontal="center"/>
    </xf>
    <xf numFmtId="3" fontId="36" fillId="29" borderId="2" xfId="5" applyNumberFormat="1" applyFont="1" applyFill="1" applyBorder="1"/>
    <xf numFmtId="17" fontId="66" fillId="0" borderId="1" xfId="3" applyNumberFormat="1" applyFont="1" applyBorder="1" applyAlignment="1">
      <alignment horizontal="center" wrapText="1"/>
    </xf>
    <xf numFmtId="178" fontId="51" fillId="2" borderId="1" xfId="1" applyNumberFormat="1" applyFont="1" applyFill="1" applyBorder="1"/>
    <xf numFmtId="178" fontId="47" fillId="29" borderId="2" xfId="1" applyNumberFormat="1" applyFont="1" applyFill="1" applyBorder="1" applyAlignment="1">
      <alignment vertical="center" wrapText="1"/>
    </xf>
    <xf numFmtId="178" fontId="41" fillId="2" borderId="2" xfId="1" applyNumberFormat="1" applyFont="1" applyFill="1" applyBorder="1"/>
    <xf numFmtId="178" fontId="68" fillId="2" borderId="2" xfId="1" applyNumberFormat="1" applyFont="1" applyFill="1" applyBorder="1"/>
    <xf numFmtId="3" fontId="71" fillId="3" borderId="1" xfId="21" applyNumberFormat="1" applyFont="1" applyFill="1" applyBorder="1" applyAlignment="1">
      <alignment horizontal="center" vertical="center"/>
    </xf>
    <xf numFmtId="3" fontId="71" fillId="3" borderId="2" xfId="21" applyNumberFormat="1" applyFont="1" applyFill="1" applyBorder="1" applyAlignment="1">
      <alignment horizontal="center" vertical="center"/>
    </xf>
    <xf numFmtId="10" fontId="43" fillId="0" borderId="0" xfId="12" applyNumberFormat="1" applyFont="1"/>
    <xf numFmtId="10" fontId="46" fillId="2" borderId="0" xfId="12" applyNumberFormat="1" applyFont="1" applyFill="1" applyAlignment="1"/>
    <xf numFmtId="10" fontId="48" fillId="3" borderId="0" xfId="12" applyNumberFormat="1" applyFont="1" applyFill="1" applyAlignment="1">
      <alignment horizontal="centerContinuous"/>
    </xf>
    <xf numFmtId="10" fontId="66" fillId="0" borderId="1" xfId="12" applyNumberFormat="1" applyFont="1" applyBorder="1" applyAlignment="1">
      <alignment horizontal="center"/>
    </xf>
    <xf numFmtId="10" fontId="69" fillId="0" borderId="2" xfId="12" applyNumberFormat="1" applyFont="1" applyBorder="1"/>
    <xf numFmtId="10" fontId="43" fillId="0" borderId="2" xfId="12" applyNumberFormat="1" applyFont="1" applyBorder="1"/>
    <xf numFmtId="10" fontId="70" fillId="0" borderId="2" xfId="12" applyNumberFormat="1" applyFont="1" applyBorder="1"/>
    <xf numFmtId="10" fontId="38" fillId="0" borderId="2" xfId="12" applyNumberFormat="1" applyFont="1" applyBorder="1"/>
    <xf numFmtId="10" fontId="36" fillId="0" borderId="2" xfId="12" applyNumberFormat="1" applyFont="1" applyFill="1" applyBorder="1"/>
    <xf numFmtId="10" fontId="38" fillId="0" borderId="2" xfId="12" applyNumberFormat="1" applyFont="1" applyFill="1" applyBorder="1"/>
    <xf numFmtId="10" fontId="51" fillId="0" borderId="2" xfId="12" applyNumberFormat="1" applyFont="1" applyFill="1" applyBorder="1"/>
    <xf numFmtId="10" fontId="53" fillId="0" borderId="2" xfId="12" applyNumberFormat="1" applyFont="1" applyFill="1" applyBorder="1"/>
    <xf numFmtId="10" fontId="40" fillId="0" borderId="2" xfId="12" applyNumberFormat="1" applyFont="1" applyFill="1" applyBorder="1"/>
    <xf numFmtId="10" fontId="50" fillId="0" borderId="2" xfId="12" applyNumberFormat="1" applyFont="1" applyFill="1" applyBorder="1"/>
    <xf numFmtId="10" fontId="41" fillId="0" borderId="2" xfId="12" applyNumberFormat="1" applyFont="1" applyFill="1" applyBorder="1"/>
    <xf numFmtId="10" fontId="51" fillId="3" borderId="2" xfId="12" applyNumberFormat="1" applyFont="1" applyFill="1" applyBorder="1"/>
    <xf numFmtId="10" fontId="44" fillId="29" borderId="2" xfId="12" applyNumberFormat="1" applyFont="1" applyFill="1" applyBorder="1"/>
    <xf numFmtId="10" fontId="50" fillId="3" borderId="2" xfId="12" applyNumberFormat="1" applyFont="1" applyFill="1" applyBorder="1"/>
    <xf numFmtId="10" fontId="46" fillId="29" borderId="2" xfId="12" applyNumberFormat="1" applyFont="1" applyFill="1" applyBorder="1"/>
    <xf numFmtId="10" fontId="40" fillId="3" borderId="2" xfId="12" applyNumberFormat="1" applyFont="1" applyFill="1" applyBorder="1"/>
    <xf numFmtId="10" fontId="38" fillId="3" borderId="3" xfId="12" applyNumberFormat="1" applyFont="1" applyFill="1" applyBorder="1"/>
    <xf numFmtId="178" fontId="54" fillId="0" borderId="0" xfId="1" applyNumberFormat="1" applyFont="1"/>
    <xf numFmtId="0" fontId="51" fillId="3" borderId="0" xfId="5" applyFont="1" applyFill="1" applyAlignment="1">
      <alignment horizontal="left" vertical="center" wrapText="1"/>
    </xf>
    <xf numFmtId="0" fontId="45" fillId="0" borderId="0" xfId="3" applyFont="1" applyFill="1"/>
    <xf numFmtId="0" fontId="47" fillId="0" borderId="0" xfId="5" applyFont="1" applyFill="1" applyAlignment="1"/>
    <xf numFmtId="167" fontId="47" fillId="0" borderId="0" xfId="1" applyFont="1" applyFill="1" applyAlignment="1"/>
    <xf numFmtId="167" fontId="47" fillId="0" borderId="0" xfId="5" applyNumberFormat="1" applyFont="1" applyFill="1" applyAlignment="1"/>
    <xf numFmtId="178" fontId="47" fillId="0" borderId="0" xfId="5" applyNumberFormat="1" applyFont="1" applyFill="1" applyAlignment="1"/>
    <xf numFmtId="180" fontId="47" fillId="0" borderId="0" xfId="5" applyNumberFormat="1" applyFont="1" applyFill="1" applyAlignment="1"/>
    <xf numFmtId="10" fontId="47" fillId="0" borderId="0" xfId="12" applyNumberFormat="1" applyFont="1" applyFill="1" applyAlignment="1"/>
    <xf numFmtId="0" fontId="72" fillId="2" borderId="11" xfId="19" applyFont="1" applyFill="1" applyBorder="1" applyAlignment="1" applyProtection="1">
      <alignment horizontal="center" vertical="center"/>
    </xf>
    <xf numFmtId="0" fontId="41" fillId="3" borderId="0" xfId="0" applyFont="1" applyFill="1" applyBorder="1"/>
    <xf numFmtId="0" fontId="72" fillId="2" borderId="0" xfId="19" applyFont="1" applyFill="1" applyBorder="1" applyAlignment="1" applyProtection="1">
      <alignment horizontal="center" vertical="center"/>
    </xf>
    <xf numFmtId="0" fontId="40" fillId="2" borderId="0" xfId="19" applyFont="1" applyFill="1" applyBorder="1" applyAlignment="1" applyProtection="1">
      <alignment vertical="center" wrapText="1"/>
    </xf>
    <xf numFmtId="0" fontId="38" fillId="3" borderId="0" xfId="0" applyFont="1" applyFill="1" applyBorder="1"/>
    <xf numFmtId="0" fontId="72" fillId="2" borderId="37" xfId="19" applyFont="1" applyFill="1" applyBorder="1" applyAlignment="1" applyProtection="1">
      <alignment horizontal="center" vertical="center"/>
    </xf>
    <xf numFmtId="0" fontId="40" fillId="2" borderId="38" xfId="19" applyFont="1" applyFill="1" applyBorder="1" applyAlignment="1" applyProtection="1">
      <alignment vertical="center" wrapText="1"/>
    </xf>
    <xf numFmtId="167" fontId="38" fillId="3" borderId="0" xfId="1" applyFont="1" applyFill="1" applyAlignment="1">
      <alignment horizontal="center"/>
    </xf>
    <xf numFmtId="178" fontId="46" fillId="3" borderId="0" xfId="5" applyNumberFormat="1" applyFont="1" applyFill="1" applyAlignment="1"/>
    <xf numFmtId="167" fontId="36" fillId="3" borderId="0" xfId="1" applyFont="1" applyFill="1" applyBorder="1" applyAlignment="1" applyProtection="1"/>
    <xf numFmtId="0" fontId="45" fillId="3" borderId="0" xfId="0" applyFont="1" applyFill="1" applyBorder="1" applyAlignment="1">
      <alignment vertical="center" wrapText="1"/>
    </xf>
    <xf numFmtId="0" fontId="40" fillId="3" borderId="0" xfId="13" applyFont="1" applyFill="1" applyAlignment="1">
      <alignment vertical="center"/>
    </xf>
    <xf numFmtId="167" fontId="38" fillId="3" borderId="0" xfId="0" applyNumberFormat="1" applyFont="1" applyFill="1"/>
    <xf numFmtId="0" fontId="72" fillId="2" borderId="39" xfId="19" applyFont="1" applyFill="1" applyBorder="1" applyAlignment="1" applyProtection="1">
      <alignment horizontal="center" vertical="center"/>
    </xf>
    <xf numFmtId="0" fontId="40" fillId="2" borderId="40" xfId="19" applyFont="1" applyFill="1" applyBorder="1" applyAlignment="1" applyProtection="1">
      <alignment vertical="center" wrapText="1"/>
    </xf>
    <xf numFmtId="167" fontId="44" fillId="3" borderId="0" xfId="1" applyFont="1" applyFill="1" applyBorder="1" applyAlignment="1" applyProtection="1"/>
    <xf numFmtId="193" fontId="40" fillId="3" borderId="0" xfId="8" applyNumberFormat="1" applyFont="1" applyFill="1" applyBorder="1" applyAlignment="1">
      <alignment vertical="center" wrapText="1"/>
    </xf>
    <xf numFmtId="179" fontId="38" fillId="3" borderId="3" xfId="3" applyNumberFormat="1" applyFont="1" applyFill="1" applyBorder="1"/>
    <xf numFmtId="179" fontId="38" fillId="0" borderId="0" xfId="1" applyNumberFormat="1" applyFont="1"/>
    <xf numFmtId="3" fontId="69" fillId="0" borderId="2" xfId="3" applyNumberFormat="1" applyFont="1" applyBorder="1"/>
    <xf numFmtId="3" fontId="43" fillId="0" borderId="2" xfId="3" applyNumberFormat="1" applyFont="1" applyBorder="1"/>
    <xf numFmtId="3" fontId="38" fillId="0" borderId="2" xfId="3" applyNumberFormat="1" applyFont="1" applyFill="1" applyBorder="1"/>
    <xf numFmtId="3" fontId="41" fillId="0" borderId="2" xfId="3" applyNumberFormat="1" applyFont="1" applyFill="1" applyBorder="1"/>
    <xf numFmtId="3" fontId="40" fillId="0" borderId="2" xfId="1" applyNumberFormat="1" applyFont="1" applyFill="1" applyBorder="1"/>
    <xf numFmtId="3" fontId="51" fillId="0" borderId="2" xfId="1" applyNumberFormat="1" applyFont="1" applyFill="1" applyBorder="1"/>
    <xf numFmtId="3" fontId="40" fillId="3" borderId="2" xfId="5" applyNumberFormat="1" applyFont="1" applyFill="1" applyBorder="1"/>
    <xf numFmtId="10" fontId="51" fillId="2" borderId="1" xfId="12" applyNumberFormat="1" applyFont="1" applyFill="1" applyBorder="1"/>
    <xf numFmtId="10" fontId="68" fillId="2" borderId="2" xfId="12" applyNumberFormat="1" applyFont="1" applyFill="1" applyBorder="1"/>
    <xf numFmtId="10" fontId="41" fillId="0" borderId="2" xfId="12" applyNumberFormat="1" applyFont="1" applyFill="1" applyBorder="1" applyAlignment="1">
      <alignment vertical="center"/>
    </xf>
    <xf numFmtId="10" fontId="41" fillId="3" borderId="2" xfId="12" applyNumberFormat="1" applyFont="1" applyFill="1" applyBorder="1"/>
    <xf numFmtId="10" fontId="41" fillId="3" borderId="2" xfId="12" applyNumberFormat="1" applyFont="1" applyFill="1" applyBorder="1" applyAlignment="1">
      <alignment vertical="center"/>
    </xf>
    <xf numFmtId="9" fontId="47" fillId="29" borderId="2" xfId="12" applyNumberFormat="1" applyFont="1" applyFill="1" applyBorder="1" applyAlignment="1">
      <alignment vertical="center" wrapText="1"/>
    </xf>
    <xf numFmtId="178" fontId="44" fillId="2" borderId="2" xfId="1" applyNumberFormat="1" applyFont="1" applyFill="1" applyBorder="1"/>
    <xf numFmtId="10" fontId="44" fillId="2" borderId="2" xfId="12" applyNumberFormat="1" applyFont="1" applyFill="1" applyBorder="1"/>
    <xf numFmtId="178" fontId="40" fillId="2" borderId="4" xfId="8" applyNumberFormat="1" applyFont="1" applyFill="1" applyBorder="1"/>
    <xf numFmtId="0" fontId="44" fillId="2" borderId="5" xfId="8" applyFont="1" applyFill="1" applyBorder="1" applyAlignment="1">
      <alignment vertical="center"/>
    </xf>
    <xf numFmtId="178" fontId="44" fillId="3" borderId="5" xfId="1" applyNumberFormat="1" applyFont="1" applyFill="1" applyBorder="1" applyAlignment="1">
      <alignment vertical="center"/>
    </xf>
    <xf numFmtId="49" fontId="44" fillId="2" borderId="2" xfId="5" applyNumberFormat="1" applyFont="1" applyFill="1" applyBorder="1" applyAlignment="1">
      <alignment horizontal="left" indent="2"/>
    </xf>
    <xf numFmtId="0" fontId="51" fillId="2" borderId="5" xfId="8" applyFont="1" applyFill="1" applyBorder="1"/>
    <xf numFmtId="178" fontId="51" fillId="3" borderId="5" xfId="1" applyNumberFormat="1" applyFont="1" applyFill="1" applyBorder="1" applyAlignment="1">
      <alignment vertical="center"/>
    </xf>
    <xf numFmtId="0" fontId="40" fillId="2" borderId="5" xfId="8" applyFont="1" applyFill="1" applyBorder="1" applyAlignment="1">
      <alignment vertical="center"/>
    </xf>
    <xf numFmtId="178" fontId="40" fillId="3" borderId="5" xfId="1" applyNumberFormat="1" applyFont="1" applyFill="1" applyBorder="1" applyAlignment="1">
      <alignment vertical="center"/>
    </xf>
    <xf numFmtId="167" fontId="38" fillId="3" borderId="0" xfId="1" applyNumberFormat="1" applyFont="1" applyFill="1" applyAlignment="1">
      <alignment horizontal="center"/>
    </xf>
    <xf numFmtId="178" fontId="40" fillId="3" borderId="2" xfId="22" applyNumberFormat="1" applyFont="1" applyFill="1" applyBorder="1" applyAlignment="1">
      <alignment horizontal="right"/>
    </xf>
    <xf numFmtId="178" fontId="40" fillId="0" borderId="2" xfId="22" applyNumberFormat="1" applyFont="1" applyFill="1" applyBorder="1" applyAlignment="1">
      <alignment horizontal="right"/>
    </xf>
    <xf numFmtId="178" fontId="59" fillId="3" borderId="2" xfId="22" applyNumberFormat="1" applyFont="1" applyFill="1" applyBorder="1"/>
    <xf numFmtId="178" fontId="36" fillId="3" borderId="2" xfId="22" applyNumberFormat="1" applyFont="1" applyFill="1" applyBorder="1"/>
    <xf numFmtId="178" fontId="44" fillId="3" borderId="2" xfId="22" applyNumberFormat="1" applyFont="1" applyFill="1" applyBorder="1"/>
    <xf numFmtId="178" fontId="38" fillId="3" borderId="2" xfId="0" applyNumberFormat="1" applyFont="1" applyFill="1" applyBorder="1"/>
    <xf numFmtId="194" fontId="65" fillId="3" borderId="0" xfId="1" applyNumberFormat="1" applyFont="1" applyFill="1" applyBorder="1" applyAlignment="1">
      <alignment horizontal="center" wrapText="1"/>
    </xf>
    <xf numFmtId="179" fontId="40" fillId="3" borderId="2" xfId="22" applyNumberFormat="1" applyFont="1" applyFill="1" applyBorder="1" applyAlignment="1">
      <alignment horizontal="right"/>
    </xf>
    <xf numFmtId="178" fontId="38" fillId="3" borderId="0" xfId="1" applyNumberFormat="1" applyFont="1" applyFill="1"/>
    <xf numFmtId="178" fontId="44" fillId="3" borderId="0" xfId="1" applyNumberFormat="1" applyFont="1" applyFill="1" applyAlignment="1">
      <alignment vertical="center"/>
    </xf>
    <xf numFmtId="178" fontId="48" fillId="3" borderId="0" xfId="1" applyNumberFormat="1" applyFont="1" applyFill="1" applyAlignment="1">
      <alignment horizontal="center"/>
    </xf>
    <xf numFmtId="178" fontId="46" fillId="3" borderId="0" xfId="1" applyNumberFormat="1" applyFont="1" applyFill="1" applyAlignment="1"/>
    <xf numFmtId="178" fontId="47" fillId="3" borderId="0" xfId="1" applyNumberFormat="1" applyFont="1" applyFill="1" applyAlignment="1"/>
    <xf numFmtId="178" fontId="40" fillId="3" borderId="0" xfId="1" applyNumberFormat="1" applyFont="1" applyFill="1" applyAlignment="1">
      <alignment vertical="center"/>
    </xf>
    <xf numFmtId="178" fontId="40" fillId="2" borderId="4" xfId="1" applyNumberFormat="1" applyFont="1" applyFill="1" applyBorder="1"/>
    <xf numFmtId="178" fontId="45" fillId="3" borderId="0" xfId="1" applyNumberFormat="1" applyFont="1" applyFill="1"/>
    <xf numFmtId="17" fontId="66" fillId="3" borderId="1" xfId="3" applyNumberFormat="1" applyFont="1" applyFill="1" applyBorder="1" applyAlignment="1">
      <alignment horizontal="center"/>
    </xf>
    <xf numFmtId="49" fontId="51" fillId="2" borderId="1" xfId="5" applyNumberFormat="1" applyFont="1" applyFill="1" applyBorder="1" applyAlignment="1">
      <alignment vertical="center"/>
    </xf>
    <xf numFmtId="17" fontId="66" fillId="0" borderId="1" xfId="3" applyNumberFormat="1" applyFont="1" applyBorder="1" applyAlignment="1">
      <alignment horizontal="center" vertical="center"/>
    </xf>
    <xf numFmtId="17" fontId="66" fillId="0" borderId="1" xfId="3" applyNumberFormat="1" applyFont="1" applyFill="1" applyBorder="1" applyAlignment="1">
      <alignment horizontal="center" vertical="center"/>
    </xf>
    <xf numFmtId="0" fontId="66" fillId="0" borderId="1" xfId="3" applyFont="1" applyBorder="1" applyAlignment="1">
      <alignment horizontal="center" vertical="center"/>
    </xf>
    <xf numFmtId="10" fontId="66" fillId="0" borderId="1" xfId="12" applyNumberFormat="1" applyFont="1" applyBorder="1" applyAlignment="1">
      <alignment horizontal="center" vertical="center"/>
    </xf>
    <xf numFmtId="17" fontId="66" fillId="0" borderId="1" xfId="15" applyNumberFormat="1" applyFont="1" applyBorder="1" applyAlignment="1">
      <alignment horizontal="center" vertical="center"/>
    </xf>
    <xf numFmtId="17" fontId="66" fillId="3" borderId="1" xfId="15" applyNumberFormat="1" applyFont="1" applyFill="1" applyBorder="1" applyAlignment="1">
      <alignment horizontal="center" vertical="center"/>
    </xf>
    <xf numFmtId="17" fontId="66" fillId="0" borderId="1" xfId="15" applyNumberFormat="1" applyFont="1" applyFill="1" applyBorder="1" applyAlignment="1">
      <alignment horizontal="center" vertical="center"/>
    </xf>
    <xf numFmtId="17" fontId="66" fillId="0" borderId="1" xfId="3" applyNumberFormat="1" applyFont="1" applyFill="1" applyBorder="1" applyAlignment="1">
      <alignment horizontal="center" wrapText="1"/>
    </xf>
    <xf numFmtId="10" fontId="38" fillId="0" borderId="0" xfId="3" applyNumberFormat="1" applyFont="1"/>
    <xf numFmtId="167" fontId="38" fillId="0" borderId="3" xfId="0" applyNumberFormat="1" applyFont="1" applyBorder="1"/>
    <xf numFmtId="9" fontId="40" fillId="3" borderId="0" xfId="12" applyFont="1" applyFill="1"/>
    <xf numFmtId="178" fontId="51" fillId="2" borderId="2" xfId="1" applyNumberFormat="1" applyFont="1" applyFill="1" applyBorder="1"/>
    <xf numFmtId="0" fontId="40" fillId="0" borderId="0" xfId="5" applyFont="1" applyFill="1" applyBorder="1"/>
    <xf numFmtId="0" fontId="38" fillId="0" borderId="0" xfId="0" applyFont="1" applyFill="1"/>
    <xf numFmtId="179" fontId="36" fillId="29" borderId="2" xfId="5" applyNumberFormat="1" applyFont="1" applyFill="1" applyBorder="1"/>
    <xf numFmtId="180" fontId="44" fillId="2" borderId="2" xfId="1" applyNumberFormat="1" applyFont="1" applyFill="1" applyBorder="1"/>
    <xf numFmtId="180" fontId="41" fillId="2" borderId="2" xfId="1" applyNumberFormat="1" applyFont="1" applyFill="1" applyBorder="1"/>
    <xf numFmtId="180" fontId="41" fillId="2" borderId="5" xfId="1" applyNumberFormat="1" applyFont="1" applyFill="1" applyBorder="1"/>
    <xf numFmtId="179" fontId="44" fillId="3" borderId="2" xfId="22" applyNumberFormat="1" applyFont="1" applyFill="1" applyBorder="1"/>
    <xf numFmtId="3" fontId="41" fillId="3" borderId="2" xfId="1" applyNumberFormat="1" applyFont="1" applyFill="1" applyBorder="1" applyAlignment="1">
      <alignment horizontal="right"/>
    </xf>
    <xf numFmtId="178" fontId="38" fillId="0" borderId="3" xfId="0" applyNumberFormat="1" applyFont="1" applyBorder="1"/>
    <xf numFmtId="180" fontId="38" fillId="0" borderId="3" xfId="0" applyNumberFormat="1" applyFont="1" applyBorder="1"/>
    <xf numFmtId="0" fontId="65" fillId="3" borderId="0" xfId="18" applyFont="1" applyFill="1" applyBorder="1" applyAlignment="1">
      <alignment wrapText="1"/>
    </xf>
    <xf numFmtId="167" fontId="40" fillId="3" borderId="0" xfId="1" applyFont="1" applyFill="1" applyBorder="1" applyAlignment="1">
      <alignment horizontal="center" wrapText="1"/>
    </xf>
    <xf numFmtId="167" fontId="65" fillId="3" borderId="0" xfId="1" applyFont="1" applyFill="1" applyBorder="1" applyAlignment="1">
      <alignment wrapText="1"/>
    </xf>
    <xf numFmtId="0" fontId="51" fillId="0" borderId="0" xfId="5" applyFont="1" applyFill="1" applyAlignment="1">
      <alignment horizontal="left" vertical="center" wrapText="1"/>
    </xf>
    <xf numFmtId="0" fontId="42" fillId="3" borderId="30" xfId="0" applyFont="1" applyFill="1" applyBorder="1" applyAlignment="1">
      <alignment horizontal="left" vertical="center" wrapText="1"/>
    </xf>
    <xf numFmtId="0" fontId="42" fillId="3" borderId="31" xfId="0" applyFont="1" applyFill="1" applyBorder="1" applyAlignment="1">
      <alignment horizontal="left" vertical="center" wrapText="1"/>
    </xf>
    <xf numFmtId="0" fontId="42" fillId="3" borderId="32" xfId="0" applyFont="1" applyFill="1" applyBorder="1" applyAlignment="1">
      <alignment horizontal="left" vertical="center" wrapText="1"/>
    </xf>
    <xf numFmtId="0" fontId="42" fillId="3" borderId="27" xfId="0" applyFont="1" applyFill="1" applyBorder="1" applyAlignment="1">
      <alignment horizontal="left" vertical="center" wrapText="1"/>
    </xf>
    <xf numFmtId="0" fontId="42" fillId="3" borderId="28" xfId="0" applyFont="1" applyFill="1" applyBorder="1" applyAlignment="1">
      <alignment horizontal="left" vertical="center" wrapText="1"/>
    </xf>
    <xf numFmtId="0" fontId="42" fillId="3" borderId="29" xfId="0" applyFont="1" applyFill="1" applyBorder="1" applyAlignment="1">
      <alignment horizontal="left" vertical="center" wrapText="1"/>
    </xf>
    <xf numFmtId="0" fontId="36" fillId="2" borderId="0" xfId="2" applyFont="1" applyFill="1" applyAlignment="1">
      <alignment horizontal="left"/>
    </xf>
    <xf numFmtId="49" fontId="36" fillId="29" borderId="33" xfId="5" applyNumberFormat="1" applyFont="1" applyFill="1" applyBorder="1" applyAlignment="1">
      <alignment horizontal="center" vertical="center" wrapText="1"/>
    </xf>
    <xf numFmtId="49" fontId="36" fillId="29" borderId="34" xfId="5" applyNumberFormat="1" applyFont="1" applyFill="1" applyBorder="1" applyAlignment="1">
      <alignment horizontal="center" vertical="center" wrapText="1"/>
    </xf>
    <xf numFmtId="0" fontId="36" fillId="2" borderId="8" xfId="8" applyFont="1" applyFill="1" applyBorder="1" applyAlignment="1">
      <alignment horizontal="center" vertical="center" wrapText="1"/>
    </xf>
    <xf numFmtId="0" fontId="36" fillId="2" borderId="9" xfId="8" applyFont="1" applyFill="1" applyBorder="1" applyAlignment="1">
      <alignment horizontal="center" vertical="center" wrapText="1"/>
    </xf>
    <xf numFmtId="49" fontId="36" fillId="29" borderId="8" xfId="5" applyNumberFormat="1" applyFont="1" applyFill="1" applyBorder="1" applyAlignment="1">
      <alignment horizontal="left" wrapText="1"/>
    </xf>
    <xf numFmtId="49" fontId="36" fillId="29" borderId="9" xfId="5" applyNumberFormat="1" applyFont="1" applyFill="1" applyBorder="1" applyAlignment="1">
      <alignment horizontal="left" wrapText="1"/>
    </xf>
    <xf numFmtId="49" fontId="36" fillId="29" borderId="35" xfId="5" applyNumberFormat="1" applyFont="1" applyFill="1" applyBorder="1" applyAlignment="1">
      <alignment horizontal="center" vertical="center" wrapText="1"/>
    </xf>
    <xf numFmtId="49" fontId="36" fillId="29" borderId="36" xfId="5" applyNumberFormat="1" applyFont="1" applyFill="1" applyBorder="1" applyAlignment="1">
      <alignment horizontal="center" vertical="center" wrapText="1"/>
    </xf>
    <xf numFmtId="0" fontId="45" fillId="3" borderId="0" xfId="0" applyFont="1" applyFill="1" applyBorder="1" applyAlignment="1">
      <alignment horizontal="left" vertical="center" wrapText="1"/>
    </xf>
    <xf numFmtId="0" fontId="46" fillId="2" borderId="0" xfId="5" applyFont="1" applyFill="1" applyAlignment="1">
      <alignment horizontal="center"/>
    </xf>
    <xf numFmtId="0" fontId="45" fillId="3" borderId="27" xfId="0" applyFont="1" applyFill="1" applyBorder="1" applyAlignment="1">
      <alignment horizontal="left" vertical="center" wrapText="1"/>
    </xf>
    <xf numFmtId="0" fontId="45" fillId="3" borderId="28" xfId="0" applyFont="1" applyFill="1" applyBorder="1" applyAlignment="1">
      <alignment horizontal="left" vertical="center" wrapText="1"/>
    </xf>
    <xf numFmtId="0" fontId="45" fillId="3" borderId="29" xfId="0" applyFont="1" applyFill="1" applyBorder="1" applyAlignment="1">
      <alignment horizontal="left" vertical="center" wrapText="1"/>
    </xf>
    <xf numFmtId="0" fontId="45" fillId="3" borderId="30" xfId="0" applyFont="1" applyFill="1" applyBorder="1" applyAlignment="1">
      <alignment horizontal="left" vertical="center" wrapText="1"/>
    </xf>
    <xf numFmtId="0" fontId="45" fillId="3" borderId="31" xfId="0" applyFont="1" applyFill="1" applyBorder="1" applyAlignment="1">
      <alignment horizontal="left" vertical="center" wrapText="1"/>
    </xf>
    <xf numFmtId="0" fontId="45" fillId="3" borderId="32" xfId="0" applyFont="1" applyFill="1" applyBorder="1" applyAlignment="1">
      <alignment horizontal="left" vertical="center" wrapText="1"/>
    </xf>
    <xf numFmtId="0" fontId="47" fillId="3" borderId="0" xfId="5" applyFont="1" applyFill="1" applyAlignment="1">
      <alignment horizontal="center"/>
    </xf>
    <xf numFmtId="0" fontId="46" fillId="3" borderId="0" xfId="5" applyFont="1" applyFill="1" applyAlignment="1">
      <alignment horizontal="center"/>
    </xf>
    <xf numFmtId="0" fontId="40" fillId="3" borderId="0" xfId="8" applyFont="1" applyFill="1" applyBorder="1" applyAlignment="1">
      <alignment horizontal="left" vertical="center" wrapText="1"/>
    </xf>
    <xf numFmtId="175" fontId="36" fillId="3" borderId="0" xfId="8" applyNumberFormat="1" applyFont="1" applyFill="1" applyBorder="1" applyAlignment="1" applyProtection="1">
      <alignment horizontal="center"/>
    </xf>
    <xf numFmtId="175" fontId="46" fillId="3" borderId="0" xfId="8" applyNumberFormat="1" applyFont="1" applyFill="1" applyBorder="1" applyAlignment="1" applyProtection="1">
      <alignment horizontal="center"/>
    </xf>
    <xf numFmtId="173" fontId="40" fillId="3" borderId="0" xfId="14" applyNumberFormat="1" applyFont="1" applyFill="1" applyAlignment="1">
      <alignment horizontal="left" wrapText="1"/>
    </xf>
    <xf numFmtId="0" fontId="46" fillId="3" borderId="0" xfId="5" applyFont="1" applyFill="1" applyAlignment="1">
      <alignment horizontal="center" wrapText="1"/>
    </xf>
    <xf numFmtId="0" fontId="65" fillId="3" borderId="0" xfId="18" applyFont="1" applyFill="1" applyBorder="1" applyAlignment="1">
      <alignment horizontal="left" wrapText="1"/>
    </xf>
  </cellXfs>
  <cellStyles count="438">
    <cellStyle name="20% - Accent1" xfId="23"/>
    <cellStyle name="20% - Accent2" xfId="24"/>
    <cellStyle name="20% - Accent3" xfId="25"/>
    <cellStyle name="20% - Accent4" xfId="26"/>
    <cellStyle name="20% - Accent5" xfId="27"/>
    <cellStyle name="20% - Accent6" xfId="28"/>
    <cellStyle name="20% - Énfasis1 2" xfId="29"/>
    <cellStyle name="20% - Énfasis1 2 2" xfId="30"/>
    <cellStyle name="20% - Énfasis1 3" xfId="31"/>
    <cellStyle name="20% - Énfasis1 3 2" xfId="32"/>
    <cellStyle name="20% - Énfasis1 4" xfId="33"/>
    <cellStyle name="20% - Énfasis2 2" xfId="34"/>
    <cellStyle name="20% - Énfasis2 2 2" xfId="35"/>
    <cellStyle name="20% - Énfasis2 3" xfId="36"/>
    <cellStyle name="20% - Énfasis2 3 2" xfId="37"/>
    <cellStyle name="20% - Énfasis2 4" xfId="38"/>
    <cellStyle name="20% - Énfasis3 2" xfId="39"/>
    <cellStyle name="20% - Énfasis3 2 2" xfId="40"/>
    <cellStyle name="20% - Énfasis3 3" xfId="41"/>
    <cellStyle name="20% - Énfasis3 3 2" xfId="42"/>
    <cellStyle name="20% - Énfasis3 4" xfId="43"/>
    <cellStyle name="20% - Énfasis4 2" xfId="44"/>
    <cellStyle name="20% - Énfasis4 2 2" xfId="45"/>
    <cellStyle name="20% - Énfasis4 3" xfId="46"/>
    <cellStyle name="20% - Énfasis4 3 2" xfId="47"/>
    <cellStyle name="20% - Énfasis4 4" xfId="48"/>
    <cellStyle name="20% - Énfasis5 2" xfId="49"/>
    <cellStyle name="20% - Énfasis5 2 2" xfId="50"/>
    <cellStyle name="20% - Énfasis5 3" xfId="51"/>
    <cellStyle name="20% - Énfasis5 3 2" xfId="52"/>
    <cellStyle name="20% - Énfasis5 4" xfId="53"/>
    <cellStyle name="20% - Énfasis6 2" xfId="54"/>
    <cellStyle name="20% - Énfasis6 2 2" xfId="55"/>
    <cellStyle name="20% - Énfasis6 3" xfId="56"/>
    <cellStyle name="20% - Énfasis6 3 2" xfId="57"/>
    <cellStyle name="20% - Énfasis6 4" xfId="58"/>
    <cellStyle name="40% - Accent1" xfId="59"/>
    <cellStyle name="40% - Accent2" xfId="60"/>
    <cellStyle name="40% - Accent3" xfId="61"/>
    <cellStyle name="40% - Accent4" xfId="62"/>
    <cellStyle name="40% - Accent5" xfId="63"/>
    <cellStyle name="40% - Accent6" xfId="64"/>
    <cellStyle name="40% - Énfasis1 2" xfId="65"/>
    <cellStyle name="40% - Énfasis1 2 2" xfId="66"/>
    <cellStyle name="40% - Énfasis1 3" xfId="67"/>
    <cellStyle name="40% - Énfasis1 3 2" xfId="68"/>
    <cellStyle name="40% - Énfasis1 4" xfId="69"/>
    <cellStyle name="40% - Énfasis2 2" xfId="70"/>
    <cellStyle name="40% - Énfasis2 2 2" xfId="71"/>
    <cellStyle name="40% - Énfasis2 3" xfId="72"/>
    <cellStyle name="40% - Énfasis2 3 2" xfId="73"/>
    <cellStyle name="40% - Énfasis2 4" xfId="74"/>
    <cellStyle name="40% - Énfasis3 2" xfId="75"/>
    <cellStyle name="40% - Énfasis3 2 2" xfId="76"/>
    <cellStyle name="40% - Énfasis3 3" xfId="77"/>
    <cellStyle name="40% - Énfasis3 3 2" xfId="78"/>
    <cellStyle name="40% - Énfasis3 4" xfId="79"/>
    <cellStyle name="40% - Énfasis4 2" xfId="80"/>
    <cellStyle name="40% - Énfasis4 2 2" xfId="81"/>
    <cellStyle name="40% - Énfasis4 3" xfId="82"/>
    <cellStyle name="40% - Énfasis4 3 2" xfId="83"/>
    <cellStyle name="40% - Énfasis4 4" xfId="84"/>
    <cellStyle name="40% - Énfasis5 2" xfId="85"/>
    <cellStyle name="40% - Énfasis5 2 2" xfId="86"/>
    <cellStyle name="40% - Énfasis5 3" xfId="87"/>
    <cellStyle name="40% - Énfasis5 3 2" xfId="88"/>
    <cellStyle name="40% - Énfasis5 4" xfId="89"/>
    <cellStyle name="40% - Énfasis6 2" xfId="90"/>
    <cellStyle name="40% - Énfasis6 2 2" xfId="91"/>
    <cellStyle name="40% - Énfasis6 3" xfId="92"/>
    <cellStyle name="40% - Énfasis6 3 2" xfId="93"/>
    <cellStyle name="40% - Énfasis6 4" xfId="94"/>
    <cellStyle name="60% - Accent1" xfId="95"/>
    <cellStyle name="60% - Accent1 2" xfId="96"/>
    <cellStyle name="60% - Accent1 3" xfId="97"/>
    <cellStyle name="60% - Accent1 4" xfId="98"/>
    <cellStyle name="60% - Accent1 5" xfId="99"/>
    <cellStyle name="60% - Accent2" xfId="100"/>
    <cellStyle name="60% - Accent2 2" xfId="101"/>
    <cellStyle name="60% - Accent2 3" xfId="102"/>
    <cellStyle name="60% - Accent2 4" xfId="103"/>
    <cellStyle name="60% - Accent2 5" xfId="104"/>
    <cellStyle name="60% - Accent3" xfId="105"/>
    <cellStyle name="60% - Accent3 2" xfId="106"/>
    <cellStyle name="60% - Accent3 3" xfId="107"/>
    <cellStyle name="60% - Accent3 4" xfId="108"/>
    <cellStyle name="60% - Accent3 5" xfId="109"/>
    <cellStyle name="60% - Accent4" xfId="110"/>
    <cellStyle name="60% - Accent4 2" xfId="111"/>
    <cellStyle name="60% - Accent4 3" xfId="112"/>
    <cellStyle name="60% - Accent4 4" xfId="113"/>
    <cellStyle name="60% - Accent4 5" xfId="114"/>
    <cellStyle name="60% - Accent5" xfId="115"/>
    <cellStyle name="60% - Accent5 2" xfId="116"/>
    <cellStyle name="60% - Accent5 3" xfId="117"/>
    <cellStyle name="60% - Accent5 4" xfId="118"/>
    <cellStyle name="60% - Accent5 5" xfId="119"/>
    <cellStyle name="60% - Accent6" xfId="120"/>
    <cellStyle name="60% - Accent6 2" xfId="121"/>
    <cellStyle name="60% - Accent6 3" xfId="122"/>
    <cellStyle name="60% - Accent6 4" xfId="123"/>
    <cellStyle name="60% - Accent6 5" xfId="124"/>
    <cellStyle name="60% - Énfasis1 2" xfId="125"/>
    <cellStyle name="60% - Énfasis1 2 2" xfId="126"/>
    <cellStyle name="60% - Énfasis1 3" xfId="127"/>
    <cellStyle name="60% - Énfasis1 3 2" xfId="128"/>
    <cellStyle name="60% - Énfasis1 4" xfId="129"/>
    <cellStyle name="60% - Énfasis2 2" xfId="130"/>
    <cellStyle name="60% - Énfasis2 2 2" xfId="131"/>
    <cellStyle name="60% - Énfasis2 3" xfId="132"/>
    <cellStyle name="60% - Énfasis2 3 2" xfId="133"/>
    <cellStyle name="60% - Énfasis2 4" xfId="134"/>
    <cellStyle name="60% - Énfasis3 2" xfId="135"/>
    <cellStyle name="60% - Énfasis3 2 2" xfId="136"/>
    <cellStyle name="60% - Énfasis3 3" xfId="137"/>
    <cellStyle name="60% - Énfasis3 3 2" xfId="138"/>
    <cellStyle name="60% - Énfasis3 4" xfId="139"/>
    <cellStyle name="60% - Énfasis4 2" xfId="140"/>
    <cellStyle name="60% - Énfasis4 2 2" xfId="141"/>
    <cellStyle name="60% - Énfasis4 3" xfId="142"/>
    <cellStyle name="60% - Énfasis4 3 2" xfId="143"/>
    <cellStyle name="60% - Énfasis4 4" xfId="144"/>
    <cellStyle name="60% - Énfasis5 2" xfId="145"/>
    <cellStyle name="60% - Énfasis5 2 2" xfId="146"/>
    <cellStyle name="60% - Énfasis5 3" xfId="147"/>
    <cellStyle name="60% - Énfasis5 3 2" xfId="148"/>
    <cellStyle name="60% - Énfasis5 4" xfId="149"/>
    <cellStyle name="60% - Énfasis6 2" xfId="150"/>
    <cellStyle name="60% - Énfasis6 2 2" xfId="151"/>
    <cellStyle name="60% - Énfasis6 3" xfId="152"/>
    <cellStyle name="60% - Énfasis6 3 2" xfId="153"/>
    <cellStyle name="60% - Énfasis6 4" xfId="154"/>
    <cellStyle name="Accent1" xfId="155"/>
    <cellStyle name="Accent1 2" xfId="156"/>
    <cellStyle name="Accent1 3" xfId="157"/>
    <cellStyle name="Accent1 4" xfId="158"/>
    <cellStyle name="Accent1 5" xfId="159"/>
    <cellStyle name="Accent2" xfId="160"/>
    <cellStyle name="Accent2 2" xfId="161"/>
    <cellStyle name="Accent2 3" xfId="162"/>
    <cellStyle name="Accent2 4" xfId="163"/>
    <cellStyle name="Accent2 5" xfId="164"/>
    <cellStyle name="Accent3" xfId="165"/>
    <cellStyle name="Accent3 2" xfId="166"/>
    <cellStyle name="Accent3 3" xfId="167"/>
    <cellStyle name="Accent3 4" xfId="168"/>
    <cellStyle name="Accent3 5" xfId="169"/>
    <cellStyle name="Accent4" xfId="170"/>
    <cellStyle name="Accent4 2" xfId="171"/>
    <cellStyle name="Accent4 3" xfId="172"/>
    <cellStyle name="Accent4 4" xfId="173"/>
    <cellStyle name="Accent4 5" xfId="174"/>
    <cellStyle name="Accent5" xfId="175"/>
    <cellStyle name="Accent5 2" xfId="176"/>
    <cellStyle name="Accent5 3" xfId="177"/>
    <cellStyle name="Accent5 4" xfId="178"/>
    <cellStyle name="Accent5 5" xfId="179"/>
    <cellStyle name="Accent6" xfId="180"/>
    <cellStyle name="Accent6 2" xfId="181"/>
    <cellStyle name="Accent6 3" xfId="182"/>
    <cellStyle name="Accent6 4" xfId="183"/>
    <cellStyle name="Accent6 5" xfId="184"/>
    <cellStyle name="ANCLAS,REZONES Y SUS PARTES,DE FUNDICION,DE HIERRO O DE ACERO" xfId="8"/>
    <cellStyle name="ANCLAS,REZONES Y SUS PARTES,DE FUNDICION,DE HIERRO O DE ACERO 2" xfId="9"/>
    <cellStyle name="ANCLAS,REZONES Y SUS PARTES,DE FUNDICION,DE HIERRO O DE ACERO 2 2" xfId="5"/>
    <cellStyle name="ANCLAS,REZONES Y SUS PARTES,DE FUNDICION,DE HIERRO O DE ACERO 2 3" xfId="185"/>
    <cellStyle name="ANCLAS,REZONES Y SUS PARTES,DE FUNDICION,DE HIERRO O DE ACERO 3" xfId="17"/>
    <cellStyle name="Bad" xfId="186"/>
    <cellStyle name="Bad 2" xfId="187"/>
    <cellStyle name="Bad 3" xfId="188"/>
    <cellStyle name="Bad 4" xfId="189"/>
    <cellStyle name="Bad 5" xfId="190"/>
    <cellStyle name="Buena 2" xfId="191"/>
    <cellStyle name="Buena 2 2" xfId="192"/>
    <cellStyle name="Buena 3" xfId="193"/>
    <cellStyle name="Buena 3 2" xfId="194"/>
    <cellStyle name="Buena 4" xfId="195"/>
    <cellStyle name="Calculation" xfId="196"/>
    <cellStyle name="Cálculo 2" xfId="197"/>
    <cellStyle name="Cálculo 2 2" xfId="198"/>
    <cellStyle name="Cálculo 3" xfId="199"/>
    <cellStyle name="Cálculo 3 2" xfId="200"/>
    <cellStyle name="Cálculo 4" xfId="201"/>
    <cellStyle name="Celda de comprobación 2" xfId="202"/>
    <cellStyle name="Celda de comprobación 2 2" xfId="203"/>
    <cellStyle name="Celda de comprobación 3" xfId="204"/>
    <cellStyle name="Celda de comprobación 3 2" xfId="205"/>
    <cellStyle name="Celda de comprobación 4" xfId="206"/>
    <cellStyle name="Celda vinculada 2" xfId="207"/>
    <cellStyle name="Celda vinculada 2 2" xfId="208"/>
    <cellStyle name="Celda vinculada 3" xfId="209"/>
    <cellStyle name="Celda vinculada 3 2" xfId="210"/>
    <cellStyle name="Celda vinculada 4" xfId="211"/>
    <cellStyle name="Check Cell" xfId="212"/>
    <cellStyle name="Check Cell 2" xfId="213"/>
    <cellStyle name="Check Cell 3" xfId="214"/>
    <cellStyle name="Check Cell 4" xfId="215"/>
    <cellStyle name="Check Cell 5" xfId="216"/>
    <cellStyle name="Comma [0]_hojas adicionales" xfId="217"/>
    <cellStyle name="Comma_aaa Stock Deuda Provincias I 2006" xfId="218"/>
    <cellStyle name="Comma0" xfId="219"/>
    <cellStyle name="Currency [0]_aaa Stock Deuda Provincias I 2006" xfId="220"/>
    <cellStyle name="Currency_aaa Stock Deuda Provincias I 2006" xfId="221"/>
    <cellStyle name="Currency0" xfId="222"/>
    <cellStyle name="En miles" xfId="223"/>
    <cellStyle name="En millones" xfId="224"/>
    <cellStyle name="Encabezado 4 2" xfId="225"/>
    <cellStyle name="Encabezado 4 2 2" xfId="226"/>
    <cellStyle name="Encabezado 4 3" xfId="227"/>
    <cellStyle name="Encabezado 4 3 2" xfId="228"/>
    <cellStyle name="Encabezado 4 4" xfId="229"/>
    <cellStyle name="Énfasis1 2" xfId="230"/>
    <cellStyle name="Énfasis1 2 2" xfId="231"/>
    <cellStyle name="Énfasis1 3" xfId="232"/>
    <cellStyle name="Énfasis1 3 2" xfId="233"/>
    <cellStyle name="Énfasis1 4" xfId="234"/>
    <cellStyle name="Énfasis2 2" xfId="235"/>
    <cellStyle name="Énfasis2 2 2" xfId="236"/>
    <cellStyle name="Énfasis2 3" xfId="237"/>
    <cellStyle name="Énfasis2 3 2" xfId="238"/>
    <cellStyle name="Énfasis2 4" xfId="239"/>
    <cellStyle name="Énfasis3 2" xfId="240"/>
    <cellStyle name="Énfasis3 2 2" xfId="241"/>
    <cellStyle name="Énfasis3 3" xfId="242"/>
    <cellStyle name="Énfasis3 3 2" xfId="243"/>
    <cellStyle name="Énfasis3 4" xfId="244"/>
    <cellStyle name="Énfasis4 2" xfId="245"/>
    <cellStyle name="Énfasis4 2 2" xfId="246"/>
    <cellStyle name="Énfasis4 3" xfId="247"/>
    <cellStyle name="Énfasis4 3 2" xfId="248"/>
    <cellStyle name="Énfasis4 4" xfId="249"/>
    <cellStyle name="Énfasis5 2" xfId="250"/>
    <cellStyle name="Énfasis5 2 2" xfId="251"/>
    <cellStyle name="Énfasis5 3" xfId="252"/>
    <cellStyle name="Énfasis5 3 2" xfId="253"/>
    <cellStyle name="Énfasis5 4" xfId="254"/>
    <cellStyle name="Énfasis6 2" xfId="255"/>
    <cellStyle name="Énfasis6 2 2" xfId="256"/>
    <cellStyle name="Énfasis6 3" xfId="257"/>
    <cellStyle name="Énfasis6 3 2" xfId="258"/>
    <cellStyle name="Énfasis6 4" xfId="259"/>
    <cellStyle name="Entrada 2" xfId="260"/>
    <cellStyle name="Entrada 2 2" xfId="261"/>
    <cellStyle name="Entrada 3" xfId="262"/>
    <cellStyle name="Entrada 3 2" xfId="263"/>
    <cellStyle name="Entrada 4" xfId="264"/>
    <cellStyle name="Euro" xfId="265"/>
    <cellStyle name="Euro 2" xfId="266"/>
    <cellStyle name="Euro 2 2" xfId="267"/>
    <cellStyle name="Euro 3" xfId="268"/>
    <cellStyle name="Explanatory Text" xfId="269"/>
    <cellStyle name="Explanatory Text 2" xfId="270"/>
    <cellStyle name="Explanatory Text 3" xfId="271"/>
    <cellStyle name="Explanatory Text 4" xfId="272"/>
    <cellStyle name="Explanatory Text 5" xfId="273"/>
    <cellStyle name="F2" xfId="274"/>
    <cellStyle name="F3" xfId="275"/>
    <cellStyle name="F4" xfId="276"/>
    <cellStyle name="F5" xfId="277"/>
    <cellStyle name="F6" xfId="278"/>
    <cellStyle name="F7" xfId="279"/>
    <cellStyle name="F8" xfId="280"/>
    <cellStyle name="facha" xfId="281"/>
    <cellStyle name="Followed Hyperlink_aaa Stock Deuda Provincias I 2006" xfId="282"/>
    <cellStyle name="Good" xfId="283"/>
    <cellStyle name="Good 2" xfId="284"/>
    <cellStyle name="Good 3" xfId="285"/>
    <cellStyle name="Good 4" xfId="286"/>
    <cellStyle name="Good 5" xfId="287"/>
    <cellStyle name="Heading 1" xfId="288"/>
    <cellStyle name="Heading 2" xfId="289"/>
    <cellStyle name="Heading 3" xfId="290"/>
    <cellStyle name="Heading 4" xfId="291"/>
    <cellStyle name="Hipervínculo" xfId="19" builtinId="8"/>
    <cellStyle name="Hipervínculo 2" xfId="20"/>
    <cellStyle name="Hyperlink" xfId="292"/>
    <cellStyle name="Hyperlink 2" xfId="293"/>
    <cellStyle name="Hyperlink_aaa Stock Deuda Provincias I 2006" xfId="294"/>
    <cellStyle name="Incorrecto 2" xfId="295"/>
    <cellStyle name="Incorrecto 2 2" xfId="296"/>
    <cellStyle name="Incorrecto 3" xfId="297"/>
    <cellStyle name="Incorrecto 3 2" xfId="298"/>
    <cellStyle name="Incorrecto 4" xfId="299"/>
    <cellStyle name="Input" xfId="300"/>
    <cellStyle name="Input 2" xfId="301"/>
    <cellStyle name="Input 3" xfId="302"/>
    <cellStyle name="Input 4" xfId="303"/>
    <cellStyle name="Input 5" xfId="304"/>
    <cellStyle name="jo[" xfId="305"/>
    <cellStyle name="Linked Cell" xfId="306"/>
    <cellStyle name="Linked Cell 2" xfId="307"/>
    <cellStyle name="Linked Cell 3" xfId="308"/>
    <cellStyle name="Linked Cell 4" xfId="309"/>
    <cellStyle name="Linked Cell 5" xfId="310"/>
    <cellStyle name="Millares" xfId="1" builtinId="3"/>
    <cellStyle name="Millares [0] 10" xfId="22"/>
    <cellStyle name="Millares [0] 2" xfId="311"/>
    <cellStyle name="Millares [0] 2 2" xfId="312"/>
    <cellStyle name="Millares [0] 2 3" xfId="6"/>
    <cellStyle name="Millares [0] 2 4" xfId="313"/>
    <cellStyle name="Millares [0] 3" xfId="314"/>
    <cellStyle name="Millares [0] 4" xfId="315"/>
    <cellStyle name="Millares [0] 5" xfId="316"/>
    <cellStyle name="Millares [0] 6" xfId="317"/>
    <cellStyle name="Millares [0] 7" xfId="318"/>
    <cellStyle name="Millares [0] 8" xfId="319"/>
    <cellStyle name="Millares [0] 9" xfId="320"/>
    <cellStyle name="Millares [2]" xfId="321"/>
    <cellStyle name="Millares [2] 2" xfId="322"/>
    <cellStyle name="Millares [2] 3" xfId="323"/>
    <cellStyle name="Millares [2] 4" xfId="324"/>
    <cellStyle name="Millares [2] 5" xfId="325"/>
    <cellStyle name="Millares 10" xfId="326"/>
    <cellStyle name="Millares 11" xfId="327"/>
    <cellStyle name="Millares 12" xfId="328"/>
    <cellStyle name="Millares 13" xfId="329"/>
    <cellStyle name="Millares 14" xfId="330"/>
    <cellStyle name="Millares 15" xfId="331"/>
    <cellStyle name="Millares 15 2" xfId="16"/>
    <cellStyle name="Millares 16" xfId="332"/>
    <cellStyle name="Millares 17" xfId="333"/>
    <cellStyle name="Millares 18" xfId="334"/>
    <cellStyle name="Millares 19" xfId="10"/>
    <cellStyle name="Millares 19 2" xfId="4"/>
    <cellStyle name="Millares 2" xfId="11"/>
    <cellStyle name="Millares 2 2" xfId="335"/>
    <cellStyle name="Millares 2 3" xfId="336"/>
    <cellStyle name="Millares 2 4" xfId="337"/>
    <cellStyle name="Millares 2 5" xfId="21"/>
    <cellStyle name="Millares 20" xfId="338"/>
    <cellStyle name="Millares 21" xfId="339"/>
    <cellStyle name="Millares 22" xfId="340"/>
    <cellStyle name="Millares 23" xfId="341"/>
    <cellStyle name="Millares 24" xfId="342"/>
    <cellStyle name="Millares 25" xfId="343"/>
    <cellStyle name="Millares 26" xfId="344"/>
    <cellStyle name="Millares 27" xfId="437"/>
    <cellStyle name="Millares 3" xfId="345"/>
    <cellStyle name="Millares 3 2" xfId="346"/>
    <cellStyle name="Millares 3 3" xfId="347"/>
    <cellStyle name="Millares 4" xfId="14"/>
    <cellStyle name="Millares 4 2" xfId="348"/>
    <cellStyle name="Millares 4 3" xfId="349"/>
    <cellStyle name="Millares 5" xfId="350"/>
    <cellStyle name="Millares 6" xfId="351"/>
    <cellStyle name="Millares 7" xfId="352"/>
    <cellStyle name="Millares 7 2" xfId="353"/>
    <cellStyle name="Millares 7 3" xfId="354"/>
    <cellStyle name="Millares 8" xfId="355"/>
    <cellStyle name="Millares 9" xfId="356"/>
    <cellStyle name="Neutral 2" xfId="357"/>
    <cellStyle name="Neutral 2 2" xfId="358"/>
    <cellStyle name="Neutral 3" xfId="359"/>
    <cellStyle name="Neutral 3 2" xfId="360"/>
    <cellStyle name="Neutral 4" xfId="361"/>
    <cellStyle name="Normal" xfId="0" builtinId="0"/>
    <cellStyle name="Normal 2" xfId="13"/>
    <cellStyle name="Normal 2 2" xfId="362"/>
    <cellStyle name="Normal 2 4" xfId="363"/>
    <cellStyle name="Normal 3" xfId="3"/>
    <cellStyle name="Normal 3 2" xfId="15"/>
    <cellStyle name="Normal 3 2 2" xfId="364"/>
    <cellStyle name="Normal 3 3" xfId="365"/>
    <cellStyle name="Normal 4" xfId="366"/>
    <cellStyle name="Normal 5" xfId="367"/>
    <cellStyle name="Normal 6" xfId="368"/>
    <cellStyle name="Normal 7" xfId="369"/>
    <cellStyle name="Normal_2012 envío (Enero a Diciembre)" xfId="2"/>
    <cellStyle name="Normal_2012 envío (Enero a Diciembre) 2" xfId="7"/>
    <cellStyle name="Normal_Flujo Trimestral" xfId="18"/>
    <cellStyle name="Notas 2" xfId="370"/>
    <cellStyle name="Notas 2 2" xfId="371"/>
    <cellStyle name="Notas 3" xfId="372"/>
    <cellStyle name="Notas 3 2" xfId="373"/>
    <cellStyle name="Notas 4" xfId="374"/>
    <cellStyle name="Note" xfId="375"/>
    <cellStyle name="Nulos" xfId="376"/>
    <cellStyle name="Nulos 2" xfId="377"/>
    <cellStyle name="Nulos 2 2" xfId="378"/>
    <cellStyle name="Nulos 3" xfId="379"/>
    <cellStyle name="Nulos 4" xfId="380"/>
    <cellStyle name="Oficio" xfId="381"/>
    <cellStyle name="Output" xfId="382"/>
    <cellStyle name="Output 2" xfId="383"/>
    <cellStyle name="Output 3" xfId="384"/>
    <cellStyle name="Output 4" xfId="385"/>
    <cellStyle name="Output 5" xfId="386"/>
    <cellStyle name="Porcentaje" xfId="12" builtinId="5"/>
    <cellStyle name="Porcentaje 2" xfId="387"/>
    <cellStyle name="Porcentaje 2 2" xfId="388"/>
    <cellStyle name="Porcentual 2" xfId="389"/>
    <cellStyle name="Salida 2" xfId="390"/>
    <cellStyle name="Salida 2 2" xfId="391"/>
    <cellStyle name="Salida 3" xfId="392"/>
    <cellStyle name="Salida 3 2" xfId="393"/>
    <cellStyle name="Salida 4" xfId="394"/>
    <cellStyle name="Texto de advertencia 2" xfId="395"/>
    <cellStyle name="Texto de advertencia 2 2" xfId="396"/>
    <cellStyle name="Texto de advertencia 3" xfId="397"/>
    <cellStyle name="Texto de advertencia 3 2" xfId="398"/>
    <cellStyle name="Texto de advertencia 4" xfId="399"/>
    <cellStyle name="Texto explicativo 2" xfId="400"/>
    <cellStyle name="Texto explicativo 2 2" xfId="401"/>
    <cellStyle name="Texto explicativo 3" xfId="402"/>
    <cellStyle name="Texto explicativo 3 2" xfId="403"/>
    <cellStyle name="Texto explicativo 4" xfId="404"/>
    <cellStyle name="Title" xfId="405"/>
    <cellStyle name="Título 1 2" xfId="406"/>
    <cellStyle name="Título 1 2 2" xfId="407"/>
    <cellStyle name="Título 1 3" xfId="408"/>
    <cellStyle name="Título 1 3 2" xfId="409"/>
    <cellStyle name="Título 1 4" xfId="410"/>
    <cellStyle name="Título 2 2" xfId="411"/>
    <cellStyle name="Título 2 2 2" xfId="412"/>
    <cellStyle name="Título 2 3" xfId="413"/>
    <cellStyle name="Título 2 3 2" xfId="414"/>
    <cellStyle name="Título 2 4" xfId="415"/>
    <cellStyle name="Título 3 2" xfId="416"/>
    <cellStyle name="Título 3 2 2" xfId="417"/>
    <cellStyle name="Título 3 3" xfId="418"/>
    <cellStyle name="Título 3 3 2" xfId="419"/>
    <cellStyle name="Título 3 4" xfId="420"/>
    <cellStyle name="Título 4" xfId="421"/>
    <cellStyle name="Título 4 2" xfId="422"/>
    <cellStyle name="Título 5" xfId="423"/>
    <cellStyle name="Título 5 2" xfId="424"/>
    <cellStyle name="Título 6" xfId="425"/>
    <cellStyle name="Total 2" xfId="426"/>
    <cellStyle name="Total 2 2" xfId="427"/>
    <cellStyle name="Total 3" xfId="428"/>
    <cellStyle name="Total 3 2" xfId="429"/>
    <cellStyle name="Total 4" xfId="430"/>
    <cellStyle name="vaca" xfId="431"/>
    <cellStyle name="Warning Text" xfId="432"/>
    <cellStyle name="Warning Text 2" xfId="433"/>
    <cellStyle name="Warning Text 3" xfId="434"/>
    <cellStyle name="Warning Text 4" xfId="435"/>
    <cellStyle name="Warning Text 5" xfId="4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ncp/0scar/SPublico/0scarCierre/TitulosGN-Stoc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tk01/0scar/0scar/SPublico/0scarCierre/CajadeValo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tk01/0scar/0scar/SPublico/0scarCierre/Provincias/Proyecciones%20Pro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tk01/0scar/SPublico/0scarCierre/Proyec%20y%20Observados/Observado%2004-I/Perfil/Perfil%20Final%20Siga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o838i/0scar/SPublico/0scarCierre/Proyec%20y%20Observados/Observado%202004/Observado%2004-III/Perfil/perfil%20siga%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II/Perfil%20III%202005/INTERMEDIO%20PERFIL%20II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V/Perfiles/INTERMEDIO%20PERFIL%20IV20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6/I%202006/PERFILES/INTERMEDIO%201%2020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tk01/0scar/0scar/SPublico/0scarCierre/CarteraResiden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tk01/0scar/0scar/SPublico/0scarCierre/BajaSiGADEPro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G103"/>
  <sheetViews>
    <sheetView tabSelected="1" zoomScale="80" zoomScaleNormal="80" workbookViewId="0">
      <selection activeCell="B12" sqref="B12:C12"/>
    </sheetView>
  </sheetViews>
  <sheetFormatPr baseColWidth="10" defaultColWidth="11.44140625" defaultRowHeight="15" x14ac:dyDescent="0.3"/>
  <cols>
    <col min="1" max="1" width="9.88671875" style="1" customWidth="1"/>
    <col min="2" max="2" width="11.44140625" style="1"/>
    <col min="3" max="3" width="92.44140625" style="1" customWidth="1"/>
    <col min="4" max="4" width="46.44140625" style="1" customWidth="1"/>
    <col min="5" max="16384" width="11.44140625" style="1"/>
  </cols>
  <sheetData>
    <row r="1" spans="1:4" x14ac:dyDescent="0.3">
      <c r="A1" s="225"/>
    </row>
    <row r="2" spans="1:4" ht="16.2" x14ac:dyDescent="0.3">
      <c r="B2" s="436" t="s">
        <v>183</v>
      </c>
      <c r="C2" s="436"/>
    </row>
    <row r="3" spans="1:4" ht="16.2" x14ac:dyDescent="0.3">
      <c r="B3" s="436" t="s">
        <v>0</v>
      </c>
      <c r="C3" s="436"/>
    </row>
    <row r="4" spans="1:4" ht="11.1" customHeight="1" x14ac:dyDescent="0.3"/>
    <row r="5" spans="1:4" ht="11.1" customHeight="1" thickBot="1" x14ac:dyDescent="0.35">
      <c r="B5" s="2"/>
      <c r="C5" s="2"/>
    </row>
    <row r="6" spans="1:4" ht="25.5" customHeight="1" x14ac:dyDescent="0.3">
      <c r="B6" s="437" t="s">
        <v>188</v>
      </c>
      <c r="C6" s="438"/>
    </row>
    <row r="7" spans="1:4" ht="20.25" customHeight="1" thickBot="1" x14ac:dyDescent="0.35">
      <c r="B7" s="443" t="s">
        <v>424</v>
      </c>
      <c r="C7" s="444"/>
    </row>
    <row r="8" spans="1:4" ht="16.8" thickBot="1" x14ac:dyDescent="0.35">
      <c r="B8" s="2"/>
      <c r="C8" s="2"/>
    </row>
    <row r="9" spans="1:4" ht="16.8" thickBot="1" x14ac:dyDescent="0.35">
      <c r="B9" s="439" t="s">
        <v>102</v>
      </c>
      <c r="C9" s="440"/>
    </row>
    <row r="10" spans="1:4" ht="16.8" thickBot="1" x14ac:dyDescent="0.35">
      <c r="B10" s="2"/>
      <c r="C10" s="2"/>
    </row>
    <row r="11" spans="1:4" ht="23.25" customHeight="1" thickBot="1" x14ac:dyDescent="0.35">
      <c r="B11" s="3" t="s">
        <v>103</v>
      </c>
      <c r="C11" s="4" t="s">
        <v>104</v>
      </c>
    </row>
    <row r="12" spans="1:4" ht="16.8" thickBot="1" x14ac:dyDescent="0.35">
      <c r="B12" s="441" t="s">
        <v>428</v>
      </c>
      <c r="C12" s="442"/>
    </row>
    <row r="13" spans="1:4" x14ac:dyDescent="0.3">
      <c r="A13" s="6"/>
      <c r="B13" s="356" t="s">
        <v>105</v>
      </c>
      <c r="C13" s="357" t="s">
        <v>115</v>
      </c>
      <c r="D13" s="6"/>
    </row>
    <row r="14" spans="1:4" x14ac:dyDescent="0.3">
      <c r="A14" s="6"/>
      <c r="B14" s="343" t="s">
        <v>106</v>
      </c>
      <c r="C14" s="5" t="s">
        <v>134</v>
      </c>
      <c r="D14" s="6"/>
    </row>
    <row r="15" spans="1:4" x14ac:dyDescent="0.3">
      <c r="A15" s="6"/>
      <c r="B15" s="343" t="s">
        <v>107</v>
      </c>
      <c r="C15" s="5" t="s">
        <v>157</v>
      </c>
      <c r="D15" s="6"/>
    </row>
    <row r="16" spans="1:4" x14ac:dyDescent="0.3">
      <c r="A16" s="6"/>
      <c r="B16" s="343" t="s">
        <v>150</v>
      </c>
      <c r="C16" s="5" t="s">
        <v>116</v>
      </c>
      <c r="D16" s="6"/>
    </row>
    <row r="17" spans="1:7" ht="15.6" thickBot="1" x14ac:dyDescent="0.35">
      <c r="A17" s="6"/>
      <c r="B17" s="348" t="s">
        <v>280</v>
      </c>
      <c r="C17" s="349" t="s">
        <v>364</v>
      </c>
      <c r="D17" s="6"/>
    </row>
    <row r="18" spans="1:7" s="347" customFormat="1" x14ac:dyDescent="0.3">
      <c r="A18" s="344"/>
      <c r="B18" s="345"/>
      <c r="C18" s="346"/>
      <c r="D18" s="344"/>
    </row>
    <row r="20" spans="1:7" ht="58.2" customHeight="1" x14ac:dyDescent="0.3">
      <c r="B20" s="433" t="s">
        <v>191</v>
      </c>
      <c r="C20" s="434"/>
      <c r="D20" s="434"/>
      <c r="E20" s="434"/>
      <c r="F20" s="434"/>
      <c r="G20" s="435"/>
    </row>
    <row r="21" spans="1:7" ht="49.2" customHeight="1" x14ac:dyDescent="0.3">
      <c r="B21" s="430" t="s">
        <v>192</v>
      </c>
      <c r="C21" s="431"/>
      <c r="D21" s="431"/>
      <c r="E21" s="431"/>
      <c r="F21" s="431"/>
      <c r="G21" s="432"/>
    </row>
    <row r="22" spans="1:7" ht="12" customHeight="1" x14ac:dyDescent="0.3"/>
    <row r="23" spans="1:7" ht="59.25" customHeight="1" x14ac:dyDescent="0.3">
      <c r="B23" s="429"/>
      <c r="C23" s="429"/>
      <c r="D23" s="429"/>
      <c r="E23" s="429"/>
      <c r="F23" s="429"/>
      <c r="G23" s="429"/>
    </row>
    <row r="103" spans="2:2" x14ac:dyDescent="0.3">
      <c r="B103" s="271"/>
    </row>
  </sheetData>
  <mergeCells count="9">
    <mergeCell ref="B23:G23"/>
    <mergeCell ref="B21:G21"/>
    <mergeCell ref="B20:G20"/>
    <mergeCell ref="B2:C2"/>
    <mergeCell ref="B3:C3"/>
    <mergeCell ref="B6:C6"/>
    <mergeCell ref="B9:C9"/>
    <mergeCell ref="B12:C12"/>
    <mergeCell ref="B7:C7"/>
  </mergeCells>
  <hyperlinks>
    <hyperlink ref="B17" location="A.5!A1" display="A.5"/>
    <hyperlink ref="B16" location="A.4!A1" display="A.4"/>
    <hyperlink ref="B13" location="A.1!A1" display="A.1"/>
    <hyperlink ref="B14" location="A.2!A1" display="A.2"/>
    <hyperlink ref="B15" location="A.3!A1" display="A.3"/>
  </hyperlinks>
  <pageMargins left="0.11811023622047245" right="0.11811023622047245" top="0.74803149606299213" bottom="0.74803149606299213" header="0.31496062992125984" footer="0.31496062992125984"/>
  <pageSetup paperSize="9" scale="70"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CM320"/>
  <sheetViews>
    <sheetView showGridLines="0" zoomScale="80" zoomScaleNormal="80" workbookViewId="0">
      <pane xSplit="2" ySplit="10" topLeftCell="C11" activePane="bottomRight" state="frozen"/>
      <selection pane="topRight" activeCell="C1" sqref="C1"/>
      <selection pane="bottomLeft" activeCell="A11" sqref="A11"/>
      <selection pane="bottomRight" activeCell="B2" sqref="B2"/>
    </sheetView>
  </sheetViews>
  <sheetFormatPr baseColWidth="10" defaultColWidth="11.44140625" defaultRowHeight="15" x14ac:dyDescent="0.3"/>
  <cols>
    <col min="1" max="1" width="7.5546875" style="15" customWidth="1"/>
    <col min="2" max="2" width="77.6640625" style="10" customWidth="1"/>
    <col min="3" max="3" width="13.5546875" style="10" customWidth="1"/>
    <col min="4" max="10" width="13.5546875" style="12" customWidth="1"/>
    <col min="11" max="15" width="13.5546875" style="14" customWidth="1"/>
    <col min="16" max="17" width="13.5546875" style="22" customWidth="1"/>
    <col min="18" max="88" width="13.5546875" style="14" customWidth="1"/>
    <col min="89" max="89" width="13.5546875" style="69" customWidth="1"/>
    <col min="90" max="16384" width="11.44140625" style="10"/>
  </cols>
  <sheetData>
    <row r="1" spans="1:89" x14ac:dyDescent="0.3">
      <c r="A1" s="7" t="s">
        <v>108</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313"/>
    </row>
    <row r="2" spans="1:89" x14ac:dyDescent="0.3">
      <c r="A2" s="11"/>
      <c r="B2" s="11" t="s">
        <v>183</v>
      </c>
      <c r="C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row>
    <row r="3" spans="1:89" x14ac:dyDescent="0.3">
      <c r="A3" s="13"/>
      <c r="B3" s="13" t="s">
        <v>0</v>
      </c>
      <c r="C3" s="14"/>
      <c r="D3" s="14"/>
      <c r="E3" s="14"/>
      <c r="F3" s="14"/>
      <c r="G3" s="14"/>
      <c r="H3" s="14"/>
      <c r="I3" s="14"/>
      <c r="J3" s="14"/>
      <c r="P3" s="14"/>
      <c r="Q3" s="14"/>
    </row>
    <row r="4" spans="1:89" x14ac:dyDescent="0.3">
      <c r="C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row>
    <row r="5" spans="1:89" ht="18" x14ac:dyDescent="0.35">
      <c r="B5" s="446" t="s">
        <v>189</v>
      </c>
      <c r="C5" s="446"/>
      <c r="D5" s="446"/>
      <c r="E5" s="446"/>
      <c r="F5" s="446"/>
      <c r="G5" s="446"/>
      <c r="H5" s="446"/>
      <c r="I5" s="446"/>
      <c r="J5" s="446"/>
      <c r="K5" s="446"/>
      <c r="L5" s="446"/>
      <c r="M5" s="446"/>
      <c r="N5" s="16"/>
      <c r="O5" s="16"/>
      <c r="P5" s="16"/>
      <c r="Q5" s="16"/>
      <c r="R5" s="16"/>
      <c r="S5" s="16"/>
      <c r="T5" s="17"/>
      <c r="U5" s="17"/>
      <c r="V5" s="17"/>
      <c r="W5" s="17"/>
      <c r="X5" s="17"/>
      <c r="Y5" s="17"/>
      <c r="Z5" s="17"/>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314"/>
    </row>
    <row r="6" spans="1:89" s="55" customFormat="1" ht="16.2" x14ac:dyDescent="0.3">
      <c r="A6" s="336"/>
      <c r="B6" s="453" t="s">
        <v>426</v>
      </c>
      <c r="C6" s="453"/>
      <c r="D6" s="453"/>
      <c r="E6" s="453"/>
      <c r="F6" s="453"/>
      <c r="G6" s="453"/>
      <c r="H6" s="453"/>
      <c r="I6" s="453"/>
      <c r="J6" s="453"/>
      <c r="K6" s="453"/>
      <c r="L6" s="453"/>
      <c r="M6" s="453"/>
      <c r="N6" s="264"/>
      <c r="O6" s="337"/>
      <c r="P6" s="337"/>
      <c r="Q6" s="337"/>
      <c r="R6" s="338"/>
      <c r="S6" s="338"/>
      <c r="T6" s="338"/>
      <c r="U6" s="338"/>
      <c r="V6" s="338"/>
      <c r="W6" s="338"/>
      <c r="X6" s="339"/>
      <c r="Y6" s="340"/>
      <c r="Z6" s="341"/>
      <c r="AA6" s="337"/>
      <c r="AB6" s="337"/>
      <c r="AC6" s="337"/>
      <c r="AD6" s="337"/>
      <c r="AE6" s="337"/>
      <c r="AF6" s="337"/>
      <c r="AG6" s="337"/>
      <c r="AH6" s="337"/>
      <c r="AI6" s="337"/>
      <c r="AJ6" s="337"/>
      <c r="AK6" s="337"/>
      <c r="AL6" s="337"/>
      <c r="AM6" s="337"/>
      <c r="AN6" s="337"/>
      <c r="AO6" s="337"/>
      <c r="AP6" s="337"/>
      <c r="AQ6" s="337"/>
      <c r="AR6" s="337"/>
      <c r="AS6" s="337"/>
      <c r="AT6" s="337"/>
      <c r="AU6" s="337"/>
      <c r="AV6" s="337"/>
      <c r="AW6" s="337"/>
      <c r="AX6" s="337"/>
      <c r="AY6" s="337"/>
      <c r="AZ6" s="337"/>
      <c r="BA6" s="337"/>
      <c r="BB6" s="337"/>
      <c r="BC6" s="337"/>
      <c r="BD6" s="337"/>
      <c r="BE6" s="337"/>
      <c r="BF6" s="337"/>
      <c r="BG6" s="337"/>
      <c r="BH6" s="337"/>
      <c r="BI6" s="337"/>
      <c r="BJ6" s="337"/>
      <c r="BK6" s="337"/>
      <c r="BL6" s="337"/>
      <c r="BM6" s="337"/>
      <c r="BN6" s="337"/>
      <c r="BO6" s="337"/>
      <c r="BP6" s="337"/>
      <c r="BQ6" s="337"/>
      <c r="BR6" s="337"/>
      <c r="BS6" s="337"/>
      <c r="BT6" s="337"/>
      <c r="BU6" s="337"/>
      <c r="BV6" s="337"/>
      <c r="BW6" s="337"/>
      <c r="BX6" s="337"/>
      <c r="BY6" s="337"/>
      <c r="BZ6" s="337"/>
      <c r="CA6" s="337"/>
      <c r="CB6" s="337"/>
      <c r="CC6" s="337"/>
      <c r="CD6" s="337"/>
      <c r="CE6" s="337"/>
      <c r="CF6" s="337"/>
      <c r="CG6" s="337"/>
      <c r="CH6" s="337"/>
      <c r="CI6" s="337"/>
      <c r="CJ6" s="337"/>
      <c r="CK6" s="342"/>
    </row>
    <row r="7" spans="1:89" x14ac:dyDescent="0.3">
      <c r="B7" s="20"/>
      <c r="C7" s="20"/>
      <c r="O7" s="21"/>
      <c r="Q7" s="23"/>
      <c r="R7" s="24"/>
      <c r="S7" s="24"/>
      <c r="T7" s="24"/>
      <c r="U7" s="24"/>
      <c r="V7" s="24"/>
      <c r="W7" s="24"/>
      <c r="AA7" s="24"/>
      <c r="AB7" s="24"/>
      <c r="AC7" s="24"/>
      <c r="AD7" s="24"/>
      <c r="AE7" s="24"/>
      <c r="AF7" s="24"/>
      <c r="AG7" s="24"/>
      <c r="AH7" s="24"/>
      <c r="AI7" s="24"/>
      <c r="AJ7" s="24"/>
      <c r="AK7" s="24"/>
      <c r="AL7" s="24"/>
      <c r="AM7" s="24"/>
      <c r="AN7" s="24"/>
      <c r="AO7" s="24"/>
      <c r="AP7" s="24"/>
      <c r="AQ7" s="24"/>
      <c r="AR7" s="24"/>
      <c r="AS7" s="12"/>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row>
    <row r="8" spans="1:89" ht="15.6" thickBot="1" x14ac:dyDescent="0.35">
      <c r="A8" s="25"/>
      <c r="B8" s="25"/>
      <c r="C8" s="25"/>
      <c r="D8" s="25"/>
      <c r="E8" s="25"/>
      <c r="F8" s="25"/>
      <c r="G8" s="25"/>
      <c r="H8" s="25"/>
      <c r="I8" s="25"/>
      <c r="J8" s="25"/>
      <c r="K8" s="26"/>
      <c r="L8" s="26"/>
      <c r="M8" s="26"/>
      <c r="N8" s="26"/>
      <c r="O8" s="26"/>
      <c r="P8" s="26"/>
      <c r="Q8" s="26"/>
      <c r="R8" s="26"/>
      <c r="S8" s="26"/>
      <c r="T8" s="26"/>
      <c r="U8" s="26"/>
      <c r="V8" s="26"/>
      <c r="W8" s="26"/>
      <c r="X8" s="27"/>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315"/>
    </row>
    <row r="9" spans="1:89" ht="28.2" customHeight="1" thickTop="1" x14ac:dyDescent="0.3">
      <c r="B9" s="234"/>
      <c r="C9" s="404">
        <v>43466</v>
      </c>
      <c r="D9" s="404">
        <v>43497</v>
      </c>
      <c r="E9" s="404">
        <v>43525</v>
      </c>
      <c r="F9" s="404">
        <v>43556</v>
      </c>
      <c r="G9" s="404">
        <v>43586</v>
      </c>
      <c r="H9" s="404">
        <v>43617</v>
      </c>
      <c r="I9" s="404">
        <v>43647</v>
      </c>
      <c r="J9" s="404">
        <v>43678</v>
      </c>
      <c r="K9" s="404">
        <v>43709</v>
      </c>
      <c r="L9" s="404">
        <v>43739</v>
      </c>
      <c r="M9" s="404">
        <v>43770</v>
      </c>
      <c r="N9" s="404">
        <v>43800</v>
      </c>
      <c r="O9" s="404">
        <v>43831</v>
      </c>
      <c r="P9" s="404">
        <v>43862</v>
      </c>
      <c r="Q9" s="404">
        <v>43891</v>
      </c>
      <c r="R9" s="404">
        <v>43922</v>
      </c>
      <c r="S9" s="404">
        <v>43952</v>
      </c>
      <c r="T9" s="404">
        <v>43983</v>
      </c>
      <c r="U9" s="404">
        <v>44013</v>
      </c>
      <c r="V9" s="404">
        <v>44044</v>
      </c>
      <c r="W9" s="404">
        <v>44075</v>
      </c>
      <c r="X9" s="404">
        <v>44105</v>
      </c>
      <c r="Y9" s="404">
        <v>44136</v>
      </c>
      <c r="Z9" s="404">
        <v>44166</v>
      </c>
      <c r="AA9" s="404">
        <v>44197</v>
      </c>
      <c r="AB9" s="404">
        <v>44228</v>
      </c>
      <c r="AC9" s="404">
        <v>44256</v>
      </c>
      <c r="AD9" s="404">
        <v>44287</v>
      </c>
      <c r="AE9" s="404">
        <v>44317</v>
      </c>
      <c r="AF9" s="404">
        <v>44348</v>
      </c>
      <c r="AG9" s="404">
        <v>44378</v>
      </c>
      <c r="AH9" s="404">
        <v>44409</v>
      </c>
      <c r="AI9" s="404">
        <v>44440</v>
      </c>
      <c r="AJ9" s="404">
        <v>44470</v>
      </c>
      <c r="AK9" s="404">
        <v>44501</v>
      </c>
      <c r="AL9" s="404">
        <v>44531</v>
      </c>
      <c r="AM9" s="404">
        <v>44562</v>
      </c>
      <c r="AN9" s="404">
        <v>44593</v>
      </c>
      <c r="AO9" s="404">
        <v>44621</v>
      </c>
      <c r="AP9" s="405">
        <v>44652</v>
      </c>
      <c r="AQ9" s="405">
        <v>44682</v>
      </c>
      <c r="AR9" s="405">
        <v>44713</v>
      </c>
      <c r="AS9" s="404">
        <v>44743</v>
      </c>
      <c r="AT9" s="404">
        <v>44774</v>
      </c>
      <c r="AU9" s="404">
        <v>44805</v>
      </c>
      <c r="AV9" s="404">
        <v>44835</v>
      </c>
      <c r="AW9" s="404">
        <v>44866</v>
      </c>
      <c r="AX9" s="404">
        <v>44896</v>
      </c>
      <c r="AY9" s="404">
        <v>44927</v>
      </c>
      <c r="AZ9" s="404">
        <v>44958</v>
      </c>
      <c r="BA9" s="404">
        <v>44986</v>
      </c>
      <c r="BB9" s="404">
        <v>45017</v>
      </c>
      <c r="BC9" s="404">
        <v>45047</v>
      </c>
      <c r="BD9" s="404">
        <v>45078</v>
      </c>
      <c r="BE9" s="404">
        <v>45108</v>
      </c>
      <c r="BF9" s="404">
        <v>45139</v>
      </c>
      <c r="BG9" s="404">
        <v>45170</v>
      </c>
      <c r="BH9" s="404">
        <v>45200</v>
      </c>
      <c r="BI9" s="404">
        <v>45231</v>
      </c>
      <c r="BJ9" s="404">
        <v>45261</v>
      </c>
      <c r="BK9" s="404">
        <v>45292</v>
      </c>
      <c r="BL9" s="404">
        <v>45323</v>
      </c>
      <c r="BM9" s="404">
        <v>45352</v>
      </c>
      <c r="BN9" s="404">
        <v>45383</v>
      </c>
      <c r="BO9" s="404">
        <v>45413</v>
      </c>
      <c r="BP9" s="404">
        <v>45444</v>
      </c>
      <c r="BQ9" s="405">
        <v>45474</v>
      </c>
      <c r="BR9" s="405">
        <v>45505</v>
      </c>
      <c r="BS9" s="405">
        <v>45536</v>
      </c>
      <c r="BT9" s="405">
        <v>45566</v>
      </c>
      <c r="BU9" s="405">
        <v>45597</v>
      </c>
      <c r="BV9" s="405">
        <v>45627</v>
      </c>
      <c r="BW9" s="405">
        <v>45658</v>
      </c>
      <c r="BX9" s="405">
        <v>45689</v>
      </c>
      <c r="BY9" s="405">
        <v>45717</v>
      </c>
      <c r="BZ9" s="405">
        <v>45748</v>
      </c>
      <c r="CA9" s="405">
        <v>45778</v>
      </c>
      <c r="CB9" s="405">
        <v>45809</v>
      </c>
      <c r="CC9" s="405">
        <v>45839</v>
      </c>
      <c r="CD9" s="405">
        <v>45870</v>
      </c>
      <c r="CE9" s="405">
        <v>45901</v>
      </c>
      <c r="CF9" s="405">
        <v>45931</v>
      </c>
      <c r="CG9" s="405">
        <v>45962</v>
      </c>
      <c r="CH9" s="405">
        <v>45992</v>
      </c>
      <c r="CI9" s="405" t="s">
        <v>423</v>
      </c>
      <c r="CJ9" s="405" t="s">
        <v>429</v>
      </c>
      <c r="CK9" s="407" t="s">
        <v>187</v>
      </c>
    </row>
    <row r="10" spans="1:89" ht="16.2" x14ac:dyDescent="0.3">
      <c r="B10" s="254" t="s">
        <v>135</v>
      </c>
      <c r="C10" s="305">
        <f t="shared" ref="C10:AH10" si="0">+C12+C160</f>
        <v>335661.30000000005</v>
      </c>
      <c r="D10" s="305">
        <f t="shared" si="0"/>
        <v>334477</v>
      </c>
      <c r="E10" s="305">
        <f t="shared" si="0"/>
        <v>324898.30000000005</v>
      </c>
      <c r="F10" s="305">
        <f t="shared" si="0"/>
        <v>334322.89999999997</v>
      </c>
      <c r="G10" s="305">
        <f t="shared" si="0"/>
        <v>329930.60000000003</v>
      </c>
      <c r="H10" s="305">
        <f t="shared" si="0"/>
        <v>337267.10000000003</v>
      </c>
      <c r="I10" s="305">
        <f t="shared" si="0"/>
        <v>341957.5</v>
      </c>
      <c r="J10" s="305">
        <f t="shared" si="0"/>
        <v>310102.3</v>
      </c>
      <c r="K10" s="305">
        <f t="shared" si="0"/>
        <v>311251.20000000001</v>
      </c>
      <c r="L10" s="305">
        <f t="shared" si="0"/>
        <v>312471.00000000006</v>
      </c>
      <c r="M10" s="305">
        <f t="shared" si="0"/>
        <v>313299.10000000009</v>
      </c>
      <c r="N10" s="305">
        <f t="shared" si="0"/>
        <v>323064.59999999998</v>
      </c>
      <c r="O10" s="305">
        <f t="shared" si="0"/>
        <v>324440.60000000003</v>
      </c>
      <c r="P10" s="305">
        <f t="shared" si="0"/>
        <v>324369.90000000008</v>
      </c>
      <c r="Q10" s="305">
        <f t="shared" si="0"/>
        <v>323381.2</v>
      </c>
      <c r="R10" s="305">
        <f t="shared" si="0"/>
        <v>323254.8</v>
      </c>
      <c r="S10" s="305">
        <f t="shared" si="0"/>
        <v>324808.30000000005</v>
      </c>
      <c r="T10" s="305">
        <f t="shared" si="0"/>
        <v>324552.39999999997</v>
      </c>
      <c r="U10" s="305">
        <f t="shared" si="0"/>
        <v>328087.89999999997</v>
      </c>
      <c r="V10" s="305">
        <f t="shared" si="0"/>
        <v>329479.50000000006</v>
      </c>
      <c r="W10" s="305">
        <f t="shared" si="0"/>
        <v>332247.5</v>
      </c>
      <c r="X10" s="305">
        <f t="shared" si="0"/>
        <v>333194.6999999999</v>
      </c>
      <c r="Y10" s="305">
        <f t="shared" si="0"/>
        <v>333253.80000000005</v>
      </c>
      <c r="Z10" s="305">
        <f t="shared" si="0"/>
        <v>335582.19999999995</v>
      </c>
      <c r="AA10" s="305">
        <f t="shared" si="0"/>
        <v>334929.2</v>
      </c>
      <c r="AB10" s="305">
        <f t="shared" si="0"/>
        <v>334883.79999999993</v>
      </c>
      <c r="AC10" s="305">
        <f t="shared" si="0"/>
        <v>335556.1</v>
      </c>
      <c r="AD10" s="305">
        <f t="shared" si="0"/>
        <v>338332.10000000003</v>
      </c>
      <c r="AE10" s="305">
        <f t="shared" si="0"/>
        <v>341091.8</v>
      </c>
      <c r="AF10" s="305">
        <f t="shared" si="0"/>
        <v>343523.9</v>
      </c>
      <c r="AG10" s="305">
        <f t="shared" si="0"/>
        <v>345140.3</v>
      </c>
      <c r="AH10" s="305">
        <f t="shared" si="0"/>
        <v>345870.40000000008</v>
      </c>
      <c r="AI10" s="305">
        <f t="shared" ref="AI10:BN10" si="1">+AI12+AI160</f>
        <v>342620.1</v>
      </c>
      <c r="AJ10" s="305">
        <f t="shared" si="1"/>
        <v>349229.10000000003</v>
      </c>
      <c r="AK10" s="305">
        <f t="shared" si="1"/>
        <v>354422.3</v>
      </c>
      <c r="AL10" s="305">
        <f t="shared" si="1"/>
        <v>363232.59999999992</v>
      </c>
      <c r="AM10" s="305">
        <f t="shared" si="1"/>
        <v>365747.6</v>
      </c>
      <c r="AN10" s="305">
        <f t="shared" si="1"/>
        <v>366626.30000000005</v>
      </c>
      <c r="AO10" s="305">
        <f t="shared" si="1"/>
        <v>376300.4</v>
      </c>
      <c r="AP10" s="305">
        <f t="shared" si="1"/>
        <v>374198.89999999997</v>
      </c>
      <c r="AQ10" s="305">
        <f t="shared" si="1"/>
        <v>374577.8</v>
      </c>
      <c r="AR10" s="305">
        <f t="shared" si="1"/>
        <v>378505.60000000003</v>
      </c>
      <c r="AS10" s="305">
        <f t="shared" si="1"/>
        <v>380772.69999999995</v>
      </c>
      <c r="AT10" s="305">
        <f t="shared" si="1"/>
        <v>381121</v>
      </c>
      <c r="AU10" s="305">
        <f t="shared" si="1"/>
        <v>382281.20000000007</v>
      </c>
      <c r="AV10" s="305">
        <f t="shared" si="1"/>
        <v>386272.39999999997</v>
      </c>
      <c r="AW10" s="305">
        <f t="shared" si="1"/>
        <v>386659.5</v>
      </c>
      <c r="AX10" s="305">
        <f t="shared" si="1"/>
        <v>396555.19999999995</v>
      </c>
      <c r="AY10" s="305">
        <f t="shared" si="1"/>
        <v>395856.29999999993</v>
      </c>
      <c r="AZ10" s="305">
        <f t="shared" si="1"/>
        <v>394199.19999999995</v>
      </c>
      <c r="BA10" s="305">
        <f t="shared" si="1"/>
        <v>398245.69999999995</v>
      </c>
      <c r="BB10" s="305">
        <f t="shared" si="1"/>
        <v>396272.20000000007</v>
      </c>
      <c r="BC10" s="305">
        <f t="shared" si="1"/>
        <v>398833.19999999995</v>
      </c>
      <c r="BD10" s="305">
        <f t="shared" si="1"/>
        <v>403835.79999999993</v>
      </c>
      <c r="BE10" s="305">
        <f t="shared" si="1"/>
        <v>406133.9</v>
      </c>
      <c r="BF10" s="305">
        <f t="shared" si="1"/>
        <v>395758.29999999993</v>
      </c>
      <c r="BG10" s="305">
        <f t="shared" si="1"/>
        <v>406948.10000000003</v>
      </c>
      <c r="BH10" s="305">
        <f t="shared" si="1"/>
        <v>418019.09999999992</v>
      </c>
      <c r="BI10" s="305">
        <f t="shared" si="1"/>
        <v>425555.89999999997</v>
      </c>
      <c r="BJ10" s="305">
        <f t="shared" si="1"/>
        <v>370673.39999999997</v>
      </c>
      <c r="BK10" s="305">
        <f t="shared" si="1"/>
        <v>381272.8</v>
      </c>
      <c r="BL10" s="305">
        <f t="shared" si="1"/>
        <v>386539.8</v>
      </c>
      <c r="BM10" s="305">
        <f t="shared" si="1"/>
        <v>403052.39999999997</v>
      </c>
      <c r="BN10" s="305">
        <f t="shared" si="1"/>
        <v>414035.60000000003</v>
      </c>
      <c r="BO10" s="305">
        <f t="shared" ref="BO10:CJ10" si="2">+BO12+BO160</f>
        <v>435697.69999999995</v>
      </c>
      <c r="BP10" s="305">
        <f t="shared" si="2"/>
        <v>442514.9</v>
      </c>
      <c r="BQ10" s="305">
        <f t="shared" si="2"/>
        <v>452070.5</v>
      </c>
      <c r="BR10" s="305">
        <f t="shared" si="2"/>
        <v>458408.7</v>
      </c>
      <c r="BS10" s="305">
        <f t="shared" si="2"/>
        <v>460068.80000000005</v>
      </c>
      <c r="BT10" s="305">
        <f t="shared" si="2"/>
        <v>463241.8</v>
      </c>
      <c r="BU10" s="418">
        <f t="shared" si="2"/>
        <v>464935.70000000007</v>
      </c>
      <c r="BV10" s="418">
        <f t="shared" si="2"/>
        <v>466921.1999999999</v>
      </c>
      <c r="BW10" s="305">
        <f t="shared" si="2"/>
        <v>467794.59999999992</v>
      </c>
      <c r="BX10" s="305">
        <f t="shared" si="2"/>
        <v>471163.7</v>
      </c>
      <c r="BY10" s="305">
        <f t="shared" si="2"/>
        <v>473560.8</v>
      </c>
      <c r="BZ10" s="305">
        <f t="shared" si="2"/>
        <v>472917.99999999994</v>
      </c>
      <c r="CA10" s="305">
        <f t="shared" si="2"/>
        <v>461017.2</v>
      </c>
      <c r="CB10" s="305">
        <f t="shared" si="2"/>
        <v>465353.10000000003</v>
      </c>
      <c r="CC10" s="305">
        <f t="shared" si="2"/>
        <v>447177.10000000003</v>
      </c>
      <c r="CD10" s="305">
        <f t="shared" si="2"/>
        <v>454263.4</v>
      </c>
      <c r="CE10" s="305">
        <f t="shared" si="2"/>
        <v>454037</v>
      </c>
      <c r="CF10" s="305">
        <f t="shared" si="2"/>
        <v>443238.49999999994</v>
      </c>
      <c r="CG10" s="305">
        <f t="shared" si="2"/>
        <v>447031.7</v>
      </c>
      <c r="CH10" s="305">
        <f t="shared" ref="CH10:CI10" si="3">+CH12+CH160</f>
        <v>455076.70000000007</v>
      </c>
      <c r="CI10" s="305">
        <f t="shared" si="3"/>
        <v>460934.19999999995</v>
      </c>
      <c r="CJ10" s="305">
        <f t="shared" si="2"/>
        <v>472134.70000000007</v>
      </c>
      <c r="CK10" s="240">
        <v>1</v>
      </c>
    </row>
    <row r="11" spans="1:89" ht="18.600000000000001" x14ac:dyDescent="0.35">
      <c r="B11" s="51"/>
      <c r="C11" s="255"/>
      <c r="D11" s="255"/>
      <c r="E11" s="255"/>
      <c r="F11" s="255"/>
      <c r="G11" s="255"/>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362"/>
      <c r="AZ11" s="362"/>
      <c r="BA11" s="362"/>
      <c r="BB11" s="362"/>
      <c r="BC11" s="362"/>
      <c r="BD11" s="362"/>
      <c r="BE11" s="362"/>
      <c r="BF11" s="362"/>
      <c r="BG11" s="362"/>
      <c r="BH11" s="362"/>
      <c r="BI11" s="362"/>
      <c r="BJ11" s="362"/>
      <c r="BK11" s="362"/>
      <c r="BL11" s="362"/>
      <c r="BM11" s="362"/>
      <c r="BN11" s="362"/>
      <c r="BO11" s="362"/>
      <c r="BP11" s="362"/>
      <c r="BQ11" s="362"/>
      <c r="BR11" s="362"/>
      <c r="BS11" s="362"/>
      <c r="BT11" s="362"/>
      <c r="BU11" s="362"/>
      <c r="BV11" s="362"/>
      <c r="BW11" s="362"/>
      <c r="BX11" s="362"/>
      <c r="BY11" s="362"/>
      <c r="BZ11" s="362"/>
      <c r="CA11" s="362"/>
      <c r="CB11" s="362"/>
      <c r="CC11" s="362"/>
      <c r="CD11" s="362"/>
      <c r="CE11" s="362"/>
      <c r="CF11" s="362"/>
      <c r="CG11" s="362"/>
      <c r="CH11" s="362"/>
      <c r="CI11" s="362"/>
      <c r="CJ11" s="362"/>
      <c r="CK11" s="317"/>
    </row>
    <row r="12" spans="1:89" ht="32.4" x14ac:dyDescent="0.3">
      <c r="B12" s="254" t="s">
        <v>141</v>
      </c>
      <c r="C12" s="305">
        <f t="shared" ref="C12:AH12" si="4">+C15+C155</f>
        <v>332851.60000000003</v>
      </c>
      <c r="D12" s="305">
        <f t="shared" si="4"/>
        <v>331675.90000000002</v>
      </c>
      <c r="E12" s="305">
        <f t="shared" si="4"/>
        <v>322421.40000000002</v>
      </c>
      <c r="F12" s="305">
        <f t="shared" si="4"/>
        <v>331845.19999999995</v>
      </c>
      <c r="G12" s="305">
        <f t="shared" si="4"/>
        <v>327454.40000000002</v>
      </c>
      <c r="H12" s="305">
        <f t="shared" si="4"/>
        <v>334810.80000000005</v>
      </c>
      <c r="I12" s="305">
        <f t="shared" si="4"/>
        <v>339524.2</v>
      </c>
      <c r="J12" s="305">
        <f t="shared" si="4"/>
        <v>307692.3</v>
      </c>
      <c r="K12" s="305">
        <f t="shared" si="4"/>
        <v>308845.7</v>
      </c>
      <c r="L12" s="305">
        <f t="shared" si="4"/>
        <v>310045.30000000005</v>
      </c>
      <c r="M12" s="305">
        <f t="shared" si="4"/>
        <v>310881.90000000008</v>
      </c>
      <c r="N12" s="305">
        <f t="shared" si="4"/>
        <v>320629.39999999997</v>
      </c>
      <c r="O12" s="305">
        <f t="shared" si="4"/>
        <v>322012.30000000005</v>
      </c>
      <c r="P12" s="305">
        <f t="shared" si="4"/>
        <v>321947.00000000006</v>
      </c>
      <c r="Q12" s="305">
        <f t="shared" si="4"/>
        <v>320958.8</v>
      </c>
      <c r="R12" s="305">
        <f t="shared" si="4"/>
        <v>320840.7</v>
      </c>
      <c r="S12" s="305">
        <f t="shared" si="4"/>
        <v>322383.70000000007</v>
      </c>
      <c r="T12" s="305">
        <f t="shared" si="4"/>
        <v>322118.59999999998</v>
      </c>
      <c r="U12" s="305">
        <f t="shared" si="4"/>
        <v>325613.3</v>
      </c>
      <c r="V12" s="305">
        <f t="shared" si="4"/>
        <v>326992.60000000003</v>
      </c>
      <c r="W12" s="305">
        <f t="shared" si="4"/>
        <v>329777.7</v>
      </c>
      <c r="X12" s="305">
        <f t="shared" si="4"/>
        <v>330738.39999999991</v>
      </c>
      <c r="Y12" s="305">
        <f t="shared" si="4"/>
        <v>330776.00000000006</v>
      </c>
      <c r="Z12" s="305">
        <f t="shared" si="4"/>
        <v>333081.69999999995</v>
      </c>
      <c r="AA12" s="305">
        <f t="shared" si="4"/>
        <v>332435.3</v>
      </c>
      <c r="AB12" s="305">
        <f t="shared" si="4"/>
        <v>332394.99999999994</v>
      </c>
      <c r="AC12" s="305">
        <f t="shared" si="4"/>
        <v>333094.89999999997</v>
      </c>
      <c r="AD12" s="305">
        <f t="shared" si="4"/>
        <v>335848.10000000003</v>
      </c>
      <c r="AE12" s="305">
        <f t="shared" si="4"/>
        <v>338590</v>
      </c>
      <c r="AF12" s="305">
        <f t="shared" si="4"/>
        <v>341050</v>
      </c>
      <c r="AG12" s="305">
        <f t="shared" si="4"/>
        <v>342665.5</v>
      </c>
      <c r="AH12" s="305">
        <f t="shared" si="4"/>
        <v>343399.70000000007</v>
      </c>
      <c r="AI12" s="305">
        <f t="shared" ref="AI12:BN12" si="5">+AI15+AI155</f>
        <v>340166.39999999997</v>
      </c>
      <c r="AJ12" s="305">
        <f t="shared" si="5"/>
        <v>346776.7</v>
      </c>
      <c r="AK12" s="305">
        <f t="shared" si="5"/>
        <v>351985.7</v>
      </c>
      <c r="AL12" s="305">
        <f t="shared" si="5"/>
        <v>360793.29999999993</v>
      </c>
      <c r="AM12" s="305">
        <f t="shared" si="5"/>
        <v>363318.5</v>
      </c>
      <c r="AN12" s="305">
        <f t="shared" si="5"/>
        <v>364197.4</v>
      </c>
      <c r="AO12" s="305">
        <f t="shared" si="5"/>
        <v>373884.4</v>
      </c>
      <c r="AP12" s="305">
        <f t="shared" si="5"/>
        <v>371824.6</v>
      </c>
      <c r="AQ12" s="305">
        <f t="shared" si="5"/>
        <v>372187.1</v>
      </c>
      <c r="AR12" s="305">
        <f t="shared" si="5"/>
        <v>376134.7</v>
      </c>
      <c r="AS12" s="305">
        <f t="shared" si="5"/>
        <v>378421.6</v>
      </c>
      <c r="AT12" s="305">
        <f t="shared" si="5"/>
        <v>378783.4</v>
      </c>
      <c r="AU12" s="305">
        <f t="shared" si="5"/>
        <v>379964.00000000006</v>
      </c>
      <c r="AV12" s="305">
        <f t="shared" si="5"/>
        <v>383950.6</v>
      </c>
      <c r="AW12" s="305">
        <f t="shared" si="5"/>
        <v>384295.4</v>
      </c>
      <c r="AX12" s="305">
        <f t="shared" si="5"/>
        <v>394166.99999999994</v>
      </c>
      <c r="AY12" s="305">
        <f t="shared" si="5"/>
        <v>393456.29999999993</v>
      </c>
      <c r="AZ12" s="305">
        <f t="shared" si="5"/>
        <v>391822.79999999993</v>
      </c>
      <c r="BA12" s="305">
        <f t="shared" si="5"/>
        <v>395847.79999999993</v>
      </c>
      <c r="BB12" s="305">
        <f t="shared" si="5"/>
        <v>393860.30000000005</v>
      </c>
      <c r="BC12" s="305">
        <f t="shared" si="5"/>
        <v>396447.1</v>
      </c>
      <c r="BD12" s="305">
        <f t="shared" si="5"/>
        <v>401432.89999999991</v>
      </c>
      <c r="BE12" s="305">
        <f t="shared" si="5"/>
        <v>403725</v>
      </c>
      <c r="BF12" s="305">
        <f t="shared" si="5"/>
        <v>393371.49999999994</v>
      </c>
      <c r="BG12" s="305">
        <f t="shared" si="5"/>
        <v>404578.80000000005</v>
      </c>
      <c r="BH12" s="305">
        <f t="shared" si="5"/>
        <v>415642.49999999994</v>
      </c>
      <c r="BI12" s="305">
        <f t="shared" si="5"/>
        <v>423149.89999999997</v>
      </c>
      <c r="BJ12" s="305">
        <f t="shared" si="5"/>
        <v>368327.8</v>
      </c>
      <c r="BK12" s="305">
        <f t="shared" si="5"/>
        <v>378940.2</v>
      </c>
      <c r="BL12" s="305">
        <f t="shared" si="5"/>
        <v>384201.6</v>
      </c>
      <c r="BM12" s="305">
        <f t="shared" si="5"/>
        <v>400708.39999999997</v>
      </c>
      <c r="BN12" s="305">
        <f t="shared" si="5"/>
        <v>411705.9</v>
      </c>
      <c r="BO12" s="305">
        <f t="shared" ref="BO12:CJ12" si="6">+BO15+BO155</f>
        <v>433349.69999999995</v>
      </c>
      <c r="BP12" s="305">
        <f t="shared" si="6"/>
        <v>440175.30000000005</v>
      </c>
      <c r="BQ12" s="305">
        <f t="shared" si="6"/>
        <v>449721.1</v>
      </c>
      <c r="BR12" s="305">
        <f t="shared" si="6"/>
        <v>456040</v>
      </c>
      <c r="BS12" s="305">
        <f t="shared" si="6"/>
        <v>457691.9</v>
      </c>
      <c r="BT12" s="305">
        <f t="shared" si="6"/>
        <v>460885.1</v>
      </c>
      <c r="BU12" s="305">
        <f t="shared" si="6"/>
        <v>462601.50000000006</v>
      </c>
      <c r="BV12" s="305">
        <f t="shared" si="6"/>
        <v>464605.29999999987</v>
      </c>
      <c r="BW12" s="305">
        <f t="shared" si="6"/>
        <v>465477.1999999999</v>
      </c>
      <c r="BX12" s="305">
        <f t="shared" si="6"/>
        <v>468843.9</v>
      </c>
      <c r="BY12" s="305">
        <f t="shared" si="6"/>
        <v>471206.39999999997</v>
      </c>
      <c r="BZ12" s="305">
        <f t="shared" si="6"/>
        <v>470525.99999999994</v>
      </c>
      <c r="CA12" s="305">
        <f t="shared" si="6"/>
        <v>458622.7</v>
      </c>
      <c r="CB12" s="305">
        <f t="shared" si="6"/>
        <v>462923.7</v>
      </c>
      <c r="CC12" s="305">
        <f t="shared" si="6"/>
        <v>444783.60000000003</v>
      </c>
      <c r="CD12" s="305">
        <f t="shared" si="6"/>
        <v>451846.2</v>
      </c>
      <c r="CE12" s="305">
        <f t="shared" si="6"/>
        <v>451617.3</v>
      </c>
      <c r="CF12" s="305">
        <f t="shared" si="6"/>
        <v>440836.39999999997</v>
      </c>
      <c r="CG12" s="305">
        <f t="shared" si="6"/>
        <v>444624.10000000003</v>
      </c>
      <c r="CH12" s="305">
        <f t="shared" ref="CH12:CI12" si="7">+CH15+CH155</f>
        <v>452657.00000000006</v>
      </c>
      <c r="CI12" s="305">
        <f t="shared" si="7"/>
        <v>458503.69999999995</v>
      </c>
      <c r="CJ12" s="305">
        <f t="shared" si="6"/>
        <v>469703.60000000009</v>
      </c>
      <c r="CK12" s="240">
        <f>+CJ12/$CJ$10</f>
        <v>0.99485083388278817</v>
      </c>
    </row>
    <row r="13" spans="1:89" ht="7.95" customHeight="1" x14ac:dyDescent="0.3">
      <c r="B13" s="51"/>
      <c r="C13" s="256"/>
      <c r="D13" s="256"/>
      <c r="E13" s="256"/>
      <c r="F13" s="256"/>
      <c r="G13" s="256"/>
      <c r="H13" s="256"/>
      <c r="I13" s="256"/>
      <c r="J13" s="256"/>
      <c r="K13" s="256"/>
      <c r="L13" s="256"/>
      <c r="M13" s="256"/>
      <c r="N13" s="256"/>
      <c r="O13" s="256"/>
      <c r="P13" s="256"/>
      <c r="Q13" s="256"/>
      <c r="R13" s="256"/>
      <c r="S13" s="256"/>
      <c r="T13" s="256"/>
      <c r="U13" s="256"/>
      <c r="V13" s="256"/>
      <c r="W13" s="256"/>
      <c r="X13" s="256"/>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363"/>
      <c r="AZ13" s="363"/>
      <c r="BA13" s="363"/>
      <c r="BB13" s="363"/>
      <c r="BC13" s="363"/>
      <c r="BD13" s="363"/>
      <c r="BE13" s="363"/>
      <c r="BF13" s="363"/>
      <c r="BG13" s="363"/>
      <c r="BH13" s="363"/>
      <c r="BI13" s="363"/>
      <c r="BJ13" s="363"/>
      <c r="BK13" s="363"/>
      <c r="BL13" s="363"/>
      <c r="BM13" s="363"/>
      <c r="BN13" s="363"/>
      <c r="BO13" s="363"/>
      <c r="BP13" s="363"/>
      <c r="BQ13" s="363"/>
      <c r="BR13" s="363"/>
      <c r="BS13" s="363"/>
      <c r="BT13" s="363"/>
      <c r="BU13" s="363"/>
      <c r="BV13" s="363"/>
      <c r="BW13" s="363"/>
      <c r="BX13" s="363"/>
      <c r="BY13" s="363"/>
      <c r="BZ13" s="363"/>
      <c r="CA13" s="363"/>
      <c r="CB13" s="363"/>
      <c r="CC13" s="363"/>
      <c r="CD13" s="363"/>
      <c r="CE13" s="363"/>
      <c r="CF13" s="363"/>
      <c r="CG13" s="363"/>
      <c r="CH13" s="363"/>
      <c r="CI13" s="363"/>
      <c r="CJ13" s="363"/>
      <c r="CK13" s="318"/>
    </row>
    <row r="14" spans="1:89" ht="7.2" customHeight="1" x14ac:dyDescent="0.3">
      <c r="B14" s="51"/>
      <c r="C14" s="256"/>
      <c r="D14" s="256"/>
      <c r="E14" s="256"/>
      <c r="F14" s="256"/>
      <c r="G14" s="256"/>
      <c r="H14" s="256"/>
      <c r="I14" s="256"/>
      <c r="J14" s="256"/>
      <c r="K14" s="256"/>
      <c r="L14" s="256"/>
      <c r="M14" s="256"/>
      <c r="N14" s="256"/>
      <c r="O14" s="256"/>
      <c r="P14" s="256"/>
      <c r="Q14" s="256"/>
      <c r="R14" s="256"/>
      <c r="S14" s="256"/>
      <c r="T14" s="256"/>
      <c r="U14" s="256"/>
      <c r="V14" s="256"/>
      <c r="W14" s="256"/>
      <c r="X14" s="256"/>
      <c r="Y14" s="256"/>
      <c r="Z14" s="256"/>
      <c r="AA14" s="256"/>
      <c r="AB14" s="256"/>
      <c r="AC14" s="256"/>
      <c r="AD14" s="256"/>
      <c r="AE14" s="256"/>
      <c r="AF14" s="256"/>
      <c r="AG14" s="256"/>
      <c r="AH14" s="256"/>
      <c r="AI14" s="256"/>
      <c r="AJ14" s="256"/>
      <c r="AK14" s="256"/>
      <c r="AL14" s="256"/>
      <c r="AM14" s="256"/>
      <c r="AN14" s="256"/>
      <c r="AO14" s="256"/>
      <c r="AP14" s="256"/>
      <c r="AQ14" s="256"/>
      <c r="AR14" s="256"/>
      <c r="AS14" s="256"/>
      <c r="AT14" s="256"/>
      <c r="AU14" s="256"/>
      <c r="AV14" s="256"/>
      <c r="AW14" s="256"/>
      <c r="AX14" s="256"/>
      <c r="AY14" s="363"/>
      <c r="AZ14" s="363"/>
      <c r="BA14" s="363"/>
      <c r="BB14" s="363"/>
      <c r="BC14" s="363"/>
      <c r="BD14" s="363"/>
      <c r="BE14" s="363"/>
      <c r="BF14" s="363"/>
      <c r="BG14" s="363"/>
      <c r="BH14" s="363"/>
      <c r="BI14" s="363"/>
      <c r="BJ14" s="363"/>
      <c r="BK14" s="363"/>
      <c r="BL14" s="363"/>
      <c r="BM14" s="363"/>
      <c r="BN14" s="363"/>
      <c r="BO14" s="363"/>
      <c r="BP14" s="363"/>
      <c r="BQ14" s="363"/>
      <c r="BR14" s="363"/>
      <c r="BS14" s="363"/>
      <c r="BT14" s="363"/>
      <c r="BU14" s="363"/>
      <c r="BV14" s="363"/>
      <c r="BW14" s="363"/>
      <c r="BX14" s="363"/>
      <c r="BY14" s="363"/>
      <c r="BZ14" s="363"/>
      <c r="CA14" s="363"/>
      <c r="CB14" s="363"/>
      <c r="CC14" s="363"/>
      <c r="CD14" s="363"/>
      <c r="CE14" s="363"/>
      <c r="CF14" s="363"/>
      <c r="CG14" s="363"/>
      <c r="CH14" s="363"/>
      <c r="CI14" s="363"/>
      <c r="CJ14" s="363"/>
      <c r="CK14" s="318"/>
    </row>
    <row r="15" spans="1:89" ht="16.2" x14ac:dyDescent="0.3">
      <c r="B15" s="257" t="s">
        <v>140</v>
      </c>
      <c r="C15" s="305">
        <f t="shared" ref="C15:AH15" si="8">+C17+C125</f>
        <v>332746.60000000003</v>
      </c>
      <c r="D15" s="305">
        <f t="shared" si="8"/>
        <v>331571.20000000001</v>
      </c>
      <c r="E15" s="305">
        <f t="shared" si="8"/>
        <v>322317.30000000005</v>
      </c>
      <c r="F15" s="305">
        <f t="shared" si="8"/>
        <v>331741.09999999998</v>
      </c>
      <c r="G15" s="305">
        <f t="shared" si="8"/>
        <v>327350.40000000002</v>
      </c>
      <c r="H15" s="305">
        <f t="shared" si="8"/>
        <v>334706.10000000003</v>
      </c>
      <c r="I15" s="305">
        <f t="shared" si="8"/>
        <v>339420.3</v>
      </c>
      <c r="J15" s="305">
        <f t="shared" si="8"/>
        <v>307589.2</v>
      </c>
      <c r="K15" s="305">
        <f t="shared" si="8"/>
        <v>308742.7</v>
      </c>
      <c r="L15" s="305">
        <f t="shared" si="8"/>
        <v>309941.60000000003</v>
      </c>
      <c r="M15" s="305">
        <f t="shared" si="8"/>
        <v>310778.50000000006</v>
      </c>
      <c r="N15" s="305">
        <f t="shared" si="8"/>
        <v>320525.39999999997</v>
      </c>
      <c r="O15" s="305">
        <f t="shared" si="8"/>
        <v>321908.60000000003</v>
      </c>
      <c r="P15" s="305">
        <f t="shared" si="8"/>
        <v>321843.50000000006</v>
      </c>
      <c r="Q15" s="305">
        <f t="shared" si="8"/>
        <v>320855.3</v>
      </c>
      <c r="R15" s="305">
        <f t="shared" si="8"/>
        <v>320737.5</v>
      </c>
      <c r="S15" s="305">
        <f t="shared" si="8"/>
        <v>322280.10000000009</v>
      </c>
      <c r="T15" s="305">
        <f t="shared" si="8"/>
        <v>322014.59999999998</v>
      </c>
      <c r="U15" s="305">
        <f t="shared" si="8"/>
        <v>325507.8</v>
      </c>
      <c r="V15" s="305">
        <f t="shared" si="8"/>
        <v>326886.7</v>
      </c>
      <c r="W15" s="305">
        <f t="shared" si="8"/>
        <v>329672.40000000002</v>
      </c>
      <c r="X15" s="305">
        <f t="shared" si="8"/>
        <v>330633.29999999993</v>
      </c>
      <c r="Y15" s="305">
        <f t="shared" si="8"/>
        <v>330670.10000000003</v>
      </c>
      <c r="Z15" s="305">
        <f t="shared" si="8"/>
        <v>332974.99999999994</v>
      </c>
      <c r="AA15" s="305">
        <f t="shared" si="8"/>
        <v>332328.89999999997</v>
      </c>
      <c r="AB15" s="305">
        <f t="shared" si="8"/>
        <v>332288.69999999995</v>
      </c>
      <c r="AC15" s="305">
        <f t="shared" si="8"/>
        <v>332989.59999999998</v>
      </c>
      <c r="AD15" s="305">
        <f t="shared" si="8"/>
        <v>335741.9</v>
      </c>
      <c r="AE15" s="305">
        <f t="shared" si="8"/>
        <v>338483.20000000001</v>
      </c>
      <c r="AF15" s="305">
        <f t="shared" si="8"/>
        <v>340944.2</v>
      </c>
      <c r="AG15" s="305">
        <f t="shared" si="8"/>
        <v>342559.6</v>
      </c>
      <c r="AH15" s="305">
        <f t="shared" si="8"/>
        <v>343294.00000000006</v>
      </c>
      <c r="AI15" s="305">
        <f t="shared" ref="AI15:BN15" si="9">+AI17+AI125</f>
        <v>340061.3</v>
      </c>
      <c r="AJ15" s="305">
        <f t="shared" si="9"/>
        <v>346671.60000000003</v>
      </c>
      <c r="AK15" s="305">
        <f t="shared" si="9"/>
        <v>351881.2</v>
      </c>
      <c r="AL15" s="305">
        <f t="shared" si="9"/>
        <v>360688.69999999995</v>
      </c>
      <c r="AM15" s="305">
        <f t="shared" si="9"/>
        <v>363214.3</v>
      </c>
      <c r="AN15" s="305">
        <f t="shared" si="9"/>
        <v>364093.2</v>
      </c>
      <c r="AO15" s="305">
        <f t="shared" si="9"/>
        <v>373780.7</v>
      </c>
      <c r="AP15" s="305">
        <f t="shared" si="9"/>
        <v>371722.3</v>
      </c>
      <c r="AQ15" s="305">
        <f t="shared" si="9"/>
        <v>372084.19999999995</v>
      </c>
      <c r="AR15" s="305">
        <f t="shared" si="9"/>
        <v>376032.5</v>
      </c>
      <c r="AS15" s="305">
        <f t="shared" si="9"/>
        <v>378320.19999999995</v>
      </c>
      <c r="AT15" s="305">
        <f t="shared" si="9"/>
        <v>378682.4</v>
      </c>
      <c r="AU15" s="305">
        <f t="shared" si="9"/>
        <v>379863.80000000005</v>
      </c>
      <c r="AV15" s="305">
        <f t="shared" si="9"/>
        <v>383850.1</v>
      </c>
      <c r="AW15" s="305">
        <f t="shared" si="9"/>
        <v>384193.5</v>
      </c>
      <c r="AX15" s="305">
        <f t="shared" si="9"/>
        <v>394064.19999999995</v>
      </c>
      <c r="AY15" s="305">
        <f t="shared" si="9"/>
        <v>393353.09999999992</v>
      </c>
      <c r="AZ15" s="305">
        <f t="shared" si="9"/>
        <v>391720.39999999991</v>
      </c>
      <c r="BA15" s="305">
        <f t="shared" si="9"/>
        <v>395744.69999999995</v>
      </c>
      <c r="BB15" s="305">
        <f t="shared" si="9"/>
        <v>393756.70000000007</v>
      </c>
      <c r="BC15" s="305">
        <f t="shared" si="9"/>
        <v>396344.39999999997</v>
      </c>
      <c r="BD15" s="305">
        <f t="shared" si="9"/>
        <v>401329.59999999992</v>
      </c>
      <c r="BE15" s="305">
        <f t="shared" si="9"/>
        <v>403621.4</v>
      </c>
      <c r="BF15" s="305">
        <f t="shared" si="9"/>
        <v>393268.69999999995</v>
      </c>
      <c r="BG15" s="305">
        <f t="shared" si="9"/>
        <v>404476.60000000003</v>
      </c>
      <c r="BH15" s="305">
        <f t="shared" si="9"/>
        <v>415540.09999999992</v>
      </c>
      <c r="BI15" s="305">
        <f t="shared" si="9"/>
        <v>423046.39999999997</v>
      </c>
      <c r="BJ15" s="305">
        <f t="shared" si="9"/>
        <v>368225</v>
      </c>
      <c r="BK15" s="305">
        <f t="shared" si="9"/>
        <v>378837.8</v>
      </c>
      <c r="BL15" s="305">
        <f t="shared" si="9"/>
        <v>384099</v>
      </c>
      <c r="BM15" s="305">
        <f t="shared" si="9"/>
        <v>400605.6</v>
      </c>
      <c r="BN15" s="305">
        <f t="shared" si="9"/>
        <v>411603.4</v>
      </c>
      <c r="BO15" s="305">
        <f t="shared" ref="BO15:CJ15" si="10">+BO17+BO125</f>
        <v>433246.49999999994</v>
      </c>
      <c r="BP15" s="305">
        <f t="shared" si="10"/>
        <v>440072.4</v>
      </c>
      <c r="BQ15" s="305">
        <f t="shared" si="10"/>
        <v>449617.8</v>
      </c>
      <c r="BR15" s="305">
        <f t="shared" si="10"/>
        <v>455936.1</v>
      </c>
      <c r="BS15" s="305">
        <f t="shared" si="10"/>
        <v>457587.7</v>
      </c>
      <c r="BT15" s="305">
        <f t="shared" si="10"/>
        <v>460781.5</v>
      </c>
      <c r="BU15" s="305">
        <f t="shared" si="10"/>
        <v>462498.80000000005</v>
      </c>
      <c r="BV15" s="305">
        <f t="shared" si="10"/>
        <v>464503.1999999999</v>
      </c>
      <c r="BW15" s="305">
        <f t="shared" si="10"/>
        <v>465375.09999999992</v>
      </c>
      <c r="BX15" s="305">
        <f t="shared" si="10"/>
        <v>468741.7</v>
      </c>
      <c r="BY15" s="305">
        <f t="shared" si="10"/>
        <v>471102.89999999997</v>
      </c>
      <c r="BZ15" s="305">
        <f t="shared" si="10"/>
        <v>470421.19999999995</v>
      </c>
      <c r="CA15" s="305">
        <f t="shared" si="10"/>
        <v>458517.8</v>
      </c>
      <c r="CB15" s="305">
        <f t="shared" si="10"/>
        <v>462817.5</v>
      </c>
      <c r="CC15" s="305">
        <f t="shared" si="10"/>
        <v>444678.7</v>
      </c>
      <c r="CD15" s="305">
        <f t="shared" si="10"/>
        <v>451740.5</v>
      </c>
      <c r="CE15" s="305">
        <f t="shared" si="10"/>
        <v>451511.5</v>
      </c>
      <c r="CF15" s="305">
        <f t="shared" si="10"/>
        <v>440731.19999999995</v>
      </c>
      <c r="CG15" s="305">
        <f t="shared" si="10"/>
        <v>444518.7</v>
      </c>
      <c r="CH15" s="305">
        <f t="shared" ref="CH15:CI15" si="11">+CH17+CH125</f>
        <v>452551.10000000003</v>
      </c>
      <c r="CI15" s="305">
        <f t="shared" si="11"/>
        <v>458397.49999999994</v>
      </c>
      <c r="CJ15" s="305">
        <f t="shared" si="10"/>
        <v>469597.40000000008</v>
      </c>
      <c r="CK15" s="240">
        <f>+CJ15/$CJ$10</f>
        <v>0.99462589807527391</v>
      </c>
    </row>
    <row r="16" spans="1:89" ht="16.2" x14ac:dyDescent="0.3">
      <c r="B16" s="51"/>
      <c r="C16" s="258"/>
      <c r="D16" s="258"/>
      <c r="E16" s="258"/>
      <c r="F16" s="258"/>
      <c r="G16" s="258"/>
      <c r="H16" s="258"/>
      <c r="I16" s="258"/>
      <c r="J16" s="258"/>
      <c r="K16" s="258"/>
      <c r="L16" s="258"/>
      <c r="M16" s="258"/>
      <c r="N16" s="258"/>
      <c r="O16" s="258"/>
      <c r="P16" s="258"/>
      <c r="Q16" s="258"/>
      <c r="R16" s="258"/>
      <c r="S16" s="258"/>
      <c r="T16" s="258"/>
      <c r="U16" s="258"/>
      <c r="V16" s="258"/>
      <c r="W16" s="258"/>
      <c r="X16" s="258"/>
      <c r="Y16" s="258"/>
      <c r="Z16" s="258"/>
      <c r="AA16" s="258"/>
      <c r="AB16" s="258"/>
      <c r="AC16" s="258"/>
      <c r="AD16" s="258"/>
      <c r="AE16" s="258"/>
      <c r="AF16" s="258"/>
      <c r="AG16" s="258"/>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8"/>
      <c r="BD16" s="258"/>
      <c r="BE16" s="258"/>
      <c r="BF16" s="258"/>
      <c r="BG16" s="258"/>
      <c r="BH16" s="258"/>
      <c r="BI16" s="258"/>
      <c r="BJ16" s="258"/>
      <c r="BK16" s="258"/>
      <c r="BL16" s="258"/>
      <c r="BM16" s="258"/>
      <c r="BN16" s="258"/>
      <c r="BO16" s="258"/>
      <c r="BP16" s="258"/>
      <c r="BQ16" s="258"/>
      <c r="BR16" s="258"/>
      <c r="BS16" s="258"/>
      <c r="BT16" s="258"/>
      <c r="BU16" s="258"/>
      <c r="BV16" s="258"/>
      <c r="BW16" s="258"/>
      <c r="BX16" s="258"/>
      <c r="BY16" s="258"/>
      <c r="BZ16" s="258"/>
      <c r="CA16" s="258"/>
      <c r="CB16" s="258"/>
      <c r="CC16" s="258"/>
      <c r="CD16" s="258"/>
      <c r="CE16" s="258"/>
      <c r="CF16" s="258"/>
      <c r="CG16" s="258"/>
      <c r="CH16" s="258"/>
      <c r="CI16" s="258"/>
      <c r="CJ16" s="258"/>
      <c r="CK16" s="319"/>
    </row>
    <row r="17" spans="1:91" ht="16.2" x14ac:dyDescent="0.3">
      <c r="B17" s="259" t="s">
        <v>1</v>
      </c>
      <c r="C17" s="305">
        <f t="shared" ref="C17:AH17" si="12">+C19+C83+C95+C123</f>
        <v>293092.10000000003</v>
      </c>
      <c r="D17" s="305">
        <f t="shared" si="12"/>
        <v>295474</v>
      </c>
      <c r="E17" s="305">
        <f t="shared" si="12"/>
        <v>288215.50000000006</v>
      </c>
      <c r="F17" s="305">
        <f t="shared" si="12"/>
        <v>298379.2</v>
      </c>
      <c r="G17" s="305">
        <f t="shared" si="12"/>
        <v>294873.30000000005</v>
      </c>
      <c r="H17" s="305">
        <f t="shared" si="12"/>
        <v>300861.60000000003</v>
      </c>
      <c r="I17" s="305">
        <f t="shared" si="12"/>
        <v>303851.5</v>
      </c>
      <c r="J17" s="305">
        <f t="shared" si="12"/>
        <v>293271.10000000003</v>
      </c>
      <c r="K17" s="305">
        <f t="shared" si="12"/>
        <v>293503.90000000002</v>
      </c>
      <c r="L17" s="305">
        <f t="shared" si="12"/>
        <v>294392.50000000006</v>
      </c>
      <c r="M17" s="305">
        <f t="shared" si="12"/>
        <v>293771.70000000007</v>
      </c>
      <c r="N17" s="305">
        <f t="shared" si="12"/>
        <v>301160.69999999995</v>
      </c>
      <c r="O17" s="305">
        <f t="shared" si="12"/>
        <v>302193.90000000002</v>
      </c>
      <c r="P17" s="305">
        <f t="shared" si="12"/>
        <v>303038.10000000003</v>
      </c>
      <c r="Q17" s="305">
        <f t="shared" si="12"/>
        <v>303514.59999999998</v>
      </c>
      <c r="R17" s="305">
        <f t="shared" si="12"/>
        <v>299058.09999999998</v>
      </c>
      <c r="S17" s="305">
        <f t="shared" si="12"/>
        <v>300218.20000000007</v>
      </c>
      <c r="T17" s="305">
        <f t="shared" si="12"/>
        <v>298746.5</v>
      </c>
      <c r="U17" s="305">
        <f t="shared" si="12"/>
        <v>300305</v>
      </c>
      <c r="V17" s="305">
        <f t="shared" si="12"/>
        <v>300908.90000000002</v>
      </c>
      <c r="W17" s="305">
        <f t="shared" si="12"/>
        <v>303801</v>
      </c>
      <c r="X17" s="305">
        <f t="shared" si="12"/>
        <v>305650.19999999995</v>
      </c>
      <c r="Y17" s="305">
        <f t="shared" si="12"/>
        <v>307468.00000000006</v>
      </c>
      <c r="Z17" s="305">
        <f t="shared" si="12"/>
        <v>310360.69999999995</v>
      </c>
      <c r="AA17" s="305">
        <f t="shared" si="12"/>
        <v>309982.39999999997</v>
      </c>
      <c r="AB17" s="305">
        <f t="shared" si="12"/>
        <v>310759.59999999998</v>
      </c>
      <c r="AC17" s="305">
        <f t="shared" si="12"/>
        <v>310276.59999999998</v>
      </c>
      <c r="AD17" s="305">
        <f t="shared" si="12"/>
        <v>313564.2</v>
      </c>
      <c r="AE17" s="305">
        <f t="shared" si="12"/>
        <v>316908.60000000003</v>
      </c>
      <c r="AF17" s="305">
        <f t="shared" si="12"/>
        <v>317946.5</v>
      </c>
      <c r="AG17" s="305">
        <f t="shared" si="12"/>
        <v>317162.59999999998</v>
      </c>
      <c r="AH17" s="305">
        <f t="shared" si="12"/>
        <v>316335.80000000005</v>
      </c>
      <c r="AI17" s="305">
        <f t="shared" ref="AI17:BN17" si="13">+AI19+AI83+AI95+AI123</f>
        <v>316173.3</v>
      </c>
      <c r="AJ17" s="305">
        <f t="shared" si="13"/>
        <v>319178.2</v>
      </c>
      <c r="AK17" s="305">
        <f t="shared" si="13"/>
        <v>322103.40000000002</v>
      </c>
      <c r="AL17" s="305">
        <f t="shared" si="13"/>
        <v>325767.59999999998</v>
      </c>
      <c r="AM17" s="305">
        <f t="shared" si="13"/>
        <v>326345.5</v>
      </c>
      <c r="AN17" s="305">
        <f t="shared" si="13"/>
        <v>327282.3</v>
      </c>
      <c r="AO17" s="305">
        <f t="shared" si="13"/>
        <v>334655.40000000002</v>
      </c>
      <c r="AP17" s="305">
        <f t="shared" si="13"/>
        <v>334010.89999999997</v>
      </c>
      <c r="AQ17" s="305">
        <f t="shared" si="13"/>
        <v>337139.69999999995</v>
      </c>
      <c r="AR17" s="305">
        <f t="shared" si="13"/>
        <v>338076.4</v>
      </c>
      <c r="AS17" s="305">
        <f t="shared" si="13"/>
        <v>337810.79999999993</v>
      </c>
      <c r="AT17" s="305">
        <f t="shared" si="13"/>
        <v>334458.7</v>
      </c>
      <c r="AU17" s="305">
        <f t="shared" si="13"/>
        <v>334016.90000000002</v>
      </c>
      <c r="AV17" s="305">
        <f t="shared" si="13"/>
        <v>339075.89999999997</v>
      </c>
      <c r="AW17" s="305">
        <f t="shared" si="13"/>
        <v>339125.6</v>
      </c>
      <c r="AX17" s="305">
        <f t="shared" si="13"/>
        <v>345377.19999999995</v>
      </c>
      <c r="AY17" s="305">
        <f t="shared" si="13"/>
        <v>342777.99999999994</v>
      </c>
      <c r="AZ17" s="305">
        <f t="shared" si="13"/>
        <v>341392.39999999991</v>
      </c>
      <c r="BA17" s="305">
        <f t="shared" si="13"/>
        <v>359859.19999999995</v>
      </c>
      <c r="BB17" s="305">
        <f t="shared" si="13"/>
        <v>359087.3000000001</v>
      </c>
      <c r="BC17" s="305">
        <f t="shared" si="13"/>
        <v>360455.1</v>
      </c>
      <c r="BD17" s="305">
        <f t="shared" si="13"/>
        <v>379592.29999999993</v>
      </c>
      <c r="BE17" s="305">
        <f t="shared" si="13"/>
        <v>382525.60000000003</v>
      </c>
      <c r="BF17" s="305">
        <f t="shared" si="13"/>
        <v>374369.89999999997</v>
      </c>
      <c r="BG17" s="305">
        <f t="shared" si="13"/>
        <v>382667.9</v>
      </c>
      <c r="BH17" s="305">
        <f t="shared" si="13"/>
        <v>394205.09999999992</v>
      </c>
      <c r="BI17" s="305">
        <f t="shared" si="13"/>
        <v>402894.3</v>
      </c>
      <c r="BJ17" s="305">
        <f t="shared" si="13"/>
        <v>352561.8</v>
      </c>
      <c r="BK17" s="305">
        <f t="shared" si="13"/>
        <v>363832.6</v>
      </c>
      <c r="BL17" s="305">
        <f t="shared" si="13"/>
        <v>370830.8</v>
      </c>
      <c r="BM17" s="305">
        <f t="shared" si="13"/>
        <v>390203.3</v>
      </c>
      <c r="BN17" s="305">
        <f t="shared" si="13"/>
        <v>397500.80000000005</v>
      </c>
      <c r="BO17" s="305">
        <f t="shared" ref="BO17:CJ17" si="14">+BO19+BO83+BO95+BO123</f>
        <v>406684.59999999992</v>
      </c>
      <c r="BP17" s="305">
        <f t="shared" si="14"/>
        <v>413271</v>
      </c>
      <c r="BQ17" s="305">
        <f t="shared" si="14"/>
        <v>392618</v>
      </c>
      <c r="BR17" s="305">
        <f t="shared" si="14"/>
        <v>394680.69999999995</v>
      </c>
      <c r="BS17" s="305">
        <f t="shared" si="14"/>
        <v>398003.4</v>
      </c>
      <c r="BT17" s="305">
        <f t="shared" si="14"/>
        <v>400067.1</v>
      </c>
      <c r="BU17" s="305">
        <f t="shared" si="14"/>
        <v>404425.9</v>
      </c>
      <c r="BV17" s="305">
        <f t="shared" si="14"/>
        <v>406053.09999999992</v>
      </c>
      <c r="BW17" s="305">
        <f t="shared" si="14"/>
        <v>408490.29999999993</v>
      </c>
      <c r="BX17" s="305">
        <f t="shared" si="14"/>
        <v>404810.8</v>
      </c>
      <c r="BY17" s="305">
        <f t="shared" si="14"/>
        <v>407936.69999999995</v>
      </c>
      <c r="BZ17" s="305">
        <f t="shared" si="14"/>
        <v>414581.39999999997</v>
      </c>
      <c r="CA17" s="305">
        <f t="shared" si="14"/>
        <v>402357.3</v>
      </c>
      <c r="CB17" s="305">
        <f t="shared" si="14"/>
        <v>403698.1</v>
      </c>
      <c r="CC17" s="305">
        <f t="shared" si="14"/>
        <v>394793.5</v>
      </c>
      <c r="CD17" s="305">
        <f t="shared" si="14"/>
        <v>410796.9</v>
      </c>
      <c r="CE17" s="305">
        <f t="shared" si="14"/>
        <v>411082.9</v>
      </c>
      <c r="CF17" s="305">
        <f t="shared" si="14"/>
        <v>400625.89999999997</v>
      </c>
      <c r="CG17" s="305">
        <f t="shared" si="14"/>
        <v>409285.8</v>
      </c>
      <c r="CH17" s="305">
        <f t="shared" ref="CH17:CI17" si="15">+CH19+CH83+CH95+CH123</f>
        <v>394455.80000000005</v>
      </c>
      <c r="CI17" s="305">
        <f t="shared" si="15"/>
        <v>394198.29999999993</v>
      </c>
      <c r="CJ17" s="305">
        <f t="shared" si="14"/>
        <v>408579.20000000007</v>
      </c>
      <c r="CK17" s="240">
        <f>+CJ17/$CJ$10</f>
        <v>0.8653869330087367</v>
      </c>
      <c r="CM17" s="412"/>
    </row>
    <row r="18" spans="1:91" x14ac:dyDescent="0.3">
      <c r="B18" s="30"/>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20"/>
    </row>
    <row r="19" spans="1:91" ht="16.2" x14ac:dyDescent="0.3">
      <c r="A19" s="32"/>
      <c r="B19" s="33" t="s">
        <v>2</v>
      </c>
      <c r="C19" s="34">
        <f t="shared" ref="C19:AH19" si="16">+C21+C44+C81</f>
        <v>216771.70000000004</v>
      </c>
      <c r="D19" s="34">
        <f t="shared" si="16"/>
        <v>219175.70000000004</v>
      </c>
      <c r="E19" s="34">
        <f t="shared" si="16"/>
        <v>213330.20000000004</v>
      </c>
      <c r="F19" s="34">
        <f t="shared" si="16"/>
        <v>212709.8</v>
      </c>
      <c r="G19" s="34">
        <f t="shared" si="16"/>
        <v>210302.70000000004</v>
      </c>
      <c r="H19" s="34">
        <f t="shared" si="16"/>
        <v>214827.1</v>
      </c>
      <c r="I19" s="34">
        <f t="shared" si="16"/>
        <v>213511</v>
      </c>
      <c r="J19" s="34">
        <f t="shared" si="16"/>
        <v>189591.40000000002</v>
      </c>
      <c r="K19" s="34">
        <f t="shared" si="16"/>
        <v>191006.50000000003</v>
      </c>
      <c r="L19" s="34">
        <f t="shared" si="16"/>
        <v>191116.40000000005</v>
      </c>
      <c r="M19" s="34">
        <f t="shared" si="16"/>
        <v>191685.80000000005</v>
      </c>
      <c r="N19" s="34">
        <f t="shared" si="16"/>
        <v>194152.79999999996</v>
      </c>
      <c r="O19" s="34">
        <f t="shared" si="16"/>
        <v>195781.69999999998</v>
      </c>
      <c r="P19" s="34">
        <f t="shared" si="16"/>
        <v>195788.40000000002</v>
      </c>
      <c r="Q19" s="34">
        <f t="shared" si="16"/>
        <v>199726</v>
      </c>
      <c r="R19" s="34">
        <f t="shared" si="16"/>
        <v>195138.30000000002</v>
      </c>
      <c r="S19" s="34">
        <f t="shared" si="16"/>
        <v>198279.20000000004</v>
      </c>
      <c r="T19" s="34">
        <f t="shared" si="16"/>
        <v>196487.89999999997</v>
      </c>
      <c r="U19" s="34">
        <f t="shared" si="16"/>
        <v>201425.3</v>
      </c>
      <c r="V19" s="34">
        <f t="shared" si="16"/>
        <v>201691.2</v>
      </c>
      <c r="W19" s="34">
        <f t="shared" si="16"/>
        <v>207294.69999999998</v>
      </c>
      <c r="X19" s="34">
        <f t="shared" si="16"/>
        <v>210389.59999999998</v>
      </c>
      <c r="Y19" s="34">
        <f t="shared" si="16"/>
        <v>212004.2</v>
      </c>
      <c r="Z19" s="34">
        <f t="shared" si="16"/>
        <v>213925.59999999998</v>
      </c>
      <c r="AA19" s="34">
        <f t="shared" si="16"/>
        <v>214176.2</v>
      </c>
      <c r="AB19" s="34">
        <f t="shared" si="16"/>
        <v>215347.00000000003</v>
      </c>
      <c r="AC19" s="34">
        <f t="shared" si="16"/>
        <v>215900.9</v>
      </c>
      <c r="AD19" s="34">
        <f t="shared" si="16"/>
        <v>218930.90000000002</v>
      </c>
      <c r="AE19" s="34">
        <f t="shared" si="16"/>
        <v>221396.2</v>
      </c>
      <c r="AF19" s="34">
        <f t="shared" si="16"/>
        <v>222214.7</v>
      </c>
      <c r="AG19" s="34">
        <f t="shared" si="16"/>
        <v>221614.79999999996</v>
      </c>
      <c r="AH19" s="34">
        <f t="shared" si="16"/>
        <v>221118.4</v>
      </c>
      <c r="AI19" s="34">
        <f t="shared" ref="AI19:BN19" si="17">+AI21+AI44+AI81</f>
        <v>223538.8</v>
      </c>
      <c r="AJ19" s="34">
        <f t="shared" si="17"/>
        <v>225155.20000000004</v>
      </c>
      <c r="AK19" s="34">
        <f t="shared" si="17"/>
        <v>227450.80000000002</v>
      </c>
      <c r="AL19" s="34">
        <f t="shared" si="17"/>
        <v>230368.89999999997</v>
      </c>
      <c r="AM19" s="34">
        <f t="shared" si="17"/>
        <v>231497.1</v>
      </c>
      <c r="AN19" s="34">
        <f t="shared" si="17"/>
        <v>232781.1</v>
      </c>
      <c r="AO19" s="34">
        <f t="shared" si="17"/>
        <v>232736.30000000002</v>
      </c>
      <c r="AP19" s="34">
        <f t="shared" si="17"/>
        <v>233991.4</v>
      </c>
      <c r="AQ19" s="34">
        <f t="shared" si="17"/>
        <v>236090.1</v>
      </c>
      <c r="AR19" s="34">
        <f t="shared" si="17"/>
        <v>236639.90000000002</v>
      </c>
      <c r="AS19" s="34">
        <f t="shared" si="17"/>
        <v>237109.8</v>
      </c>
      <c r="AT19" s="34">
        <f t="shared" si="17"/>
        <v>234754.1</v>
      </c>
      <c r="AU19" s="34">
        <f t="shared" si="17"/>
        <v>237479.00000000003</v>
      </c>
      <c r="AV19" s="34">
        <f t="shared" si="17"/>
        <v>238658.49999999997</v>
      </c>
      <c r="AW19" s="34">
        <f t="shared" si="17"/>
        <v>238022.69999999998</v>
      </c>
      <c r="AX19" s="34">
        <f t="shared" si="17"/>
        <v>239530.5</v>
      </c>
      <c r="AY19" s="34">
        <f t="shared" si="17"/>
        <v>239634.59999999998</v>
      </c>
      <c r="AZ19" s="34">
        <f t="shared" si="17"/>
        <v>239465.49999999997</v>
      </c>
      <c r="BA19" s="34">
        <f t="shared" si="17"/>
        <v>260381.29999999996</v>
      </c>
      <c r="BB19" s="34">
        <f t="shared" si="17"/>
        <v>263236.80000000005</v>
      </c>
      <c r="BC19" s="34">
        <f t="shared" si="17"/>
        <v>267389.7</v>
      </c>
      <c r="BD19" s="34">
        <f t="shared" si="17"/>
        <v>287471.59999999998</v>
      </c>
      <c r="BE19" s="34">
        <f t="shared" si="17"/>
        <v>291311.3</v>
      </c>
      <c r="BF19" s="34">
        <f t="shared" si="17"/>
        <v>279475.89999999997</v>
      </c>
      <c r="BG19" s="34">
        <f t="shared" si="17"/>
        <v>288305.7</v>
      </c>
      <c r="BH19" s="34">
        <f t="shared" si="17"/>
        <v>299638.49999999994</v>
      </c>
      <c r="BI19" s="34">
        <f t="shared" si="17"/>
        <v>309934.3</v>
      </c>
      <c r="BJ19" s="34">
        <f t="shared" si="17"/>
        <v>263424.69999999995</v>
      </c>
      <c r="BK19" s="34">
        <f t="shared" si="17"/>
        <v>272907.59999999998</v>
      </c>
      <c r="BL19" s="34">
        <f t="shared" si="17"/>
        <v>280981.2</v>
      </c>
      <c r="BM19" s="34">
        <f t="shared" si="17"/>
        <v>300792.8</v>
      </c>
      <c r="BN19" s="34">
        <f t="shared" si="17"/>
        <v>310283.80000000005</v>
      </c>
      <c r="BO19" s="34">
        <f t="shared" ref="BO19:CJ19" si="18">+BO21+BO44+BO81</f>
        <v>319317.49999999994</v>
      </c>
      <c r="BP19" s="34">
        <f t="shared" si="18"/>
        <v>325610</v>
      </c>
      <c r="BQ19" s="34">
        <f t="shared" si="18"/>
        <v>305124.10000000003</v>
      </c>
      <c r="BR19" s="34">
        <f t="shared" si="18"/>
        <v>306098.39999999997</v>
      </c>
      <c r="BS19" s="34">
        <f t="shared" si="18"/>
        <v>309419.8</v>
      </c>
      <c r="BT19" s="34">
        <f t="shared" si="18"/>
        <v>312276.5</v>
      </c>
      <c r="BU19" s="34">
        <f t="shared" si="18"/>
        <v>316613.59999999998</v>
      </c>
      <c r="BV19" s="34">
        <f t="shared" si="18"/>
        <v>317995.39999999997</v>
      </c>
      <c r="BW19" s="34">
        <f t="shared" si="18"/>
        <v>321136.19999999995</v>
      </c>
      <c r="BX19" s="34">
        <f t="shared" si="18"/>
        <v>317393.90000000002</v>
      </c>
      <c r="BY19" s="34">
        <f t="shared" si="18"/>
        <v>320245.59999999998</v>
      </c>
      <c r="BZ19" s="34">
        <f t="shared" si="18"/>
        <v>312366.5</v>
      </c>
      <c r="CA19" s="34">
        <f t="shared" si="18"/>
        <v>299590.90000000002</v>
      </c>
      <c r="CB19" s="34">
        <f t="shared" si="18"/>
        <v>299982.5</v>
      </c>
      <c r="CC19" s="34">
        <f t="shared" si="18"/>
        <v>290858.7</v>
      </c>
      <c r="CD19" s="34">
        <f t="shared" si="18"/>
        <v>304022.20000000007</v>
      </c>
      <c r="CE19" s="34">
        <f t="shared" si="18"/>
        <v>304706.2</v>
      </c>
      <c r="CF19" s="34">
        <f t="shared" si="18"/>
        <v>293862.7</v>
      </c>
      <c r="CG19" s="34">
        <f t="shared" si="18"/>
        <v>302596.3</v>
      </c>
      <c r="CH19" s="34">
        <f t="shared" ref="CH19:CI19" si="19">+CH21+CH44+CH81</f>
        <v>287506.5</v>
      </c>
      <c r="CI19" s="34">
        <f t="shared" si="19"/>
        <v>286459.99999999994</v>
      </c>
      <c r="CJ19" s="34">
        <f t="shared" si="18"/>
        <v>299897.10000000003</v>
      </c>
      <c r="CK19" s="321">
        <f>+CJ19/$CJ$10</f>
        <v>0.6351939393567132</v>
      </c>
    </row>
    <row r="20" spans="1:91" x14ac:dyDescent="0.3">
      <c r="A20" s="32"/>
      <c r="B20" s="33"/>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64"/>
      <c r="AZ20" s="364"/>
      <c r="BA20" s="364"/>
      <c r="BB20" s="364"/>
      <c r="BC20" s="364"/>
      <c r="BD20" s="364"/>
      <c r="BE20" s="364"/>
      <c r="BF20" s="364"/>
      <c r="BG20" s="364"/>
      <c r="BH20" s="364"/>
      <c r="BI20" s="364"/>
      <c r="BJ20" s="364"/>
      <c r="BK20" s="364"/>
      <c r="BL20" s="364"/>
      <c r="BM20" s="364"/>
      <c r="BN20" s="364"/>
      <c r="BO20" s="364"/>
      <c r="BP20" s="364"/>
      <c r="BQ20" s="364"/>
      <c r="BR20" s="364"/>
      <c r="BS20" s="364"/>
      <c r="BT20" s="364"/>
      <c r="BU20" s="364"/>
      <c r="BV20" s="364"/>
      <c r="BW20" s="364"/>
      <c r="BX20" s="364"/>
      <c r="BY20" s="364"/>
      <c r="BZ20" s="364"/>
      <c r="CA20" s="364"/>
      <c r="CB20" s="364"/>
      <c r="CC20" s="364"/>
      <c r="CD20" s="364"/>
      <c r="CE20" s="364"/>
      <c r="CF20" s="364"/>
      <c r="CG20" s="364"/>
      <c r="CH20" s="364"/>
      <c r="CI20" s="364"/>
      <c r="CJ20" s="364"/>
      <c r="CK20" s="322"/>
    </row>
    <row r="21" spans="1:91" x14ac:dyDescent="0.3">
      <c r="A21" s="32"/>
      <c r="B21" s="36" t="s">
        <v>3</v>
      </c>
      <c r="C21" s="37">
        <f t="shared" ref="C21:U21" si="20">+C22+C32</f>
        <v>43886</v>
      </c>
      <c r="D21" s="37">
        <f t="shared" si="20"/>
        <v>44347.600000000006</v>
      </c>
      <c r="E21" s="37">
        <f t="shared" si="20"/>
        <v>41501.1</v>
      </c>
      <c r="F21" s="37">
        <f t="shared" si="20"/>
        <v>43277.1</v>
      </c>
      <c r="G21" s="37">
        <f t="shared" si="20"/>
        <v>43454.1</v>
      </c>
      <c r="H21" s="37">
        <f t="shared" si="20"/>
        <v>47616.7</v>
      </c>
      <c r="I21" s="37">
        <f t="shared" si="20"/>
        <v>46812.299999999996</v>
      </c>
      <c r="J21" s="37">
        <f t="shared" si="20"/>
        <v>35876.9</v>
      </c>
      <c r="K21" s="37">
        <f t="shared" si="20"/>
        <v>37458.899999999994</v>
      </c>
      <c r="L21" s="37">
        <f t="shared" si="20"/>
        <v>37123.700000000004</v>
      </c>
      <c r="M21" s="37">
        <f t="shared" si="20"/>
        <v>37938.5</v>
      </c>
      <c r="N21" s="37">
        <f t="shared" si="20"/>
        <v>38722.400000000001</v>
      </c>
      <c r="O21" s="37">
        <f t="shared" si="20"/>
        <v>39284.9</v>
      </c>
      <c r="P21" s="37">
        <f t="shared" si="20"/>
        <v>38765</v>
      </c>
      <c r="Q21" s="37">
        <f t="shared" si="20"/>
        <v>42021.3</v>
      </c>
      <c r="R21" s="37">
        <f t="shared" si="20"/>
        <v>37392.100000000006</v>
      </c>
      <c r="S21" s="37">
        <f t="shared" si="20"/>
        <v>39798.600000000006</v>
      </c>
      <c r="T21" s="37">
        <f t="shared" si="20"/>
        <v>37701.699999999997</v>
      </c>
      <c r="U21" s="37">
        <f t="shared" si="20"/>
        <v>41623.799999999996</v>
      </c>
      <c r="V21" s="37">
        <f t="shared" ref="V21" si="21">+V22+V32</f>
        <v>41596.400000000001</v>
      </c>
      <c r="W21" s="37">
        <f t="shared" ref="W21:AA21" si="22">+W22+W32</f>
        <v>42697.900000000009</v>
      </c>
      <c r="X21" s="37">
        <f t="shared" si="22"/>
        <v>45824.1</v>
      </c>
      <c r="Y21" s="37">
        <f t="shared" si="22"/>
        <v>46557</v>
      </c>
      <c r="Z21" s="37">
        <f t="shared" si="22"/>
        <v>47589.100000000006</v>
      </c>
      <c r="AA21" s="37">
        <f t="shared" si="22"/>
        <v>47876.2</v>
      </c>
      <c r="AB21" s="37">
        <f t="shared" ref="AB21:AT21" si="23">+AB22+AB32</f>
        <v>49078.5</v>
      </c>
      <c r="AC21" s="37">
        <f t="shared" si="23"/>
        <v>49807.100000000006</v>
      </c>
      <c r="AD21" s="37">
        <f t="shared" si="23"/>
        <v>52695.100000000006</v>
      </c>
      <c r="AE21" s="37">
        <f t="shared" si="23"/>
        <v>55062.9</v>
      </c>
      <c r="AF21" s="37">
        <f t="shared" si="23"/>
        <v>56061.200000000004</v>
      </c>
      <c r="AG21" s="37">
        <f t="shared" si="23"/>
        <v>55451.299999999996</v>
      </c>
      <c r="AH21" s="37">
        <f t="shared" si="23"/>
        <v>54985.799999999996</v>
      </c>
      <c r="AI21" s="37">
        <f t="shared" si="23"/>
        <v>55629.599999999999</v>
      </c>
      <c r="AJ21" s="37">
        <f t="shared" si="23"/>
        <v>57266.3</v>
      </c>
      <c r="AK21" s="37">
        <f t="shared" si="23"/>
        <v>59279.400000000009</v>
      </c>
      <c r="AL21" s="37">
        <f t="shared" si="23"/>
        <v>60333.1</v>
      </c>
      <c r="AM21" s="37">
        <f t="shared" si="23"/>
        <v>61321.7</v>
      </c>
      <c r="AN21" s="37">
        <f t="shared" si="23"/>
        <v>62612.800000000003</v>
      </c>
      <c r="AO21" s="37">
        <f t="shared" si="23"/>
        <v>62655.1</v>
      </c>
      <c r="AP21" s="37">
        <f t="shared" si="23"/>
        <v>64174.5</v>
      </c>
      <c r="AQ21" s="37">
        <f t="shared" si="23"/>
        <v>66180.000000000015</v>
      </c>
      <c r="AR21" s="37">
        <f t="shared" si="23"/>
        <v>66860.3</v>
      </c>
      <c r="AS21" s="37">
        <f t="shared" si="23"/>
        <v>67451.8</v>
      </c>
      <c r="AT21" s="37">
        <f t="shared" si="23"/>
        <v>65181.4</v>
      </c>
      <c r="AU21" s="37">
        <f t="shared" ref="AU21" si="24">+AU22+AU32</f>
        <v>65305.3</v>
      </c>
      <c r="AV21" s="37">
        <f t="shared" ref="AV21:BA21" si="25">+AV22+AV32</f>
        <v>66196.799999999988</v>
      </c>
      <c r="AW21" s="37">
        <f t="shared" si="25"/>
        <v>65298.600000000013</v>
      </c>
      <c r="AX21" s="37">
        <f t="shared" si="25"/>
        <v>65638.100000000006</v>
      </c>
      <c r="AY21" s="37">
        <f t="shared" si="25"/>
        <v>65576</v>
      </c>
      <c r="AZ21" s="37">
        <f t="shared" si="25"/>
        <v>65521.700000000004</v>
      </c>
      <c r="BA21" s="37">
        <f t="shared" si="25"/>
        <v>86260.6</v>
      </c>
      <c r="BB21" s="37">
        <f t="shared" ref="BB21:BI21" si="26">+BB22+BB32</f>
        <v>88980.9</v>
      </c>
      <c r="BC21" s="37">
        <f t="shared" si="26"/>
        <v>93293.7</v>
      </c>
      <c r="BD21" s="37">
        <f t="shared" si="26"/>
        <v>113164.6</v>
      </c>
      <c r="BE21" s="37">
        <f t="shared" si="26"/>
        <v>114142.70000000001</v>
      </c>
      <c r="BF21" s="37">
        <f t="shared" si="26"/>
        <v>102353.2</v>
      </c>
      <c r="BG21" s="37">
        <f t="shared" si="26"/>
        <v>109126.7</v>
      </c>
      <c r="BH21" s="37">
        <f t="shared" si="26"/>
        <v>122013</v>
      </c>
      <c r="BI21" s="37">
        <f t="shared" si="26"/>
        <v>132157.20000000001</v>
      </c>
      <c r="BJ21" s="37">
        <f t="shared" ref="BJ21:BO21" si="27">+BJ22+BJ32</f>
        <v>85520</v>
      </c>
      <c r="BK21" s="37">
        <f t="shared" si="27"/>
        <v>93370.400000000009</v>
      </c>
      <c r="BL21" s="37">
        <f t="shared" si="27"/>
        <v>109034.40000000001</v>
      </c>
      <c r="BM21" s="37">
        <f t="shared" si="27"/>
        <v>128816.9</v>
      </c>
      <c r="BN21" s="37">
        <f t="shared" si="27"/>
        <v>138336.6</v>
      </c>
      <c r="BO21" s="37">
        <f t="shared" si="27"/>
        <v>149414.19999999998</v>
      </c>
      <c r="BP21" s="37">
        <f t="shared" ref="BP21:CJ21" si="28">+BP22+BP32</f>
        <v>155736.29999999999</v>
      </c>
      <c r="BQ21" s="37">
        <f t="shared" ref="BQ21:CI21" si="29">+BQ22+BQ32</f>
        <v>136232.6</v>
      </c>
      <c r="BR21" s="37">
        <f t="shared" si="29"/>
        <v>137087.19999999998</v>
      </c>
      <c r="BS21" s="37">
        <f t="shared" si="29"/>
        <v>140340.30000000002</v>
      </c>
      <c r="BT21" s="37">
        <f t="shared" si="29"/>
        <v>143302.1</v>
      </c>
      <c r="BU21" s="37">
        <f t="shared" si="29"/>
        <v>147779.6</v>
      </c>
      <c r="BV21" s="37">
        <f t="shared" si="29"/>
        <v>149247.5</v>
      </c>
      <c r="BW21" s="37">
        <f t="shared" si="29"/>
        <v>155134.9</v>
      </c>
      <c r="BX21" s="37">
        <f t="shared" si="29"/>
        <v>151382.29999999999</v>
      </c>
      <c r="BY21" s="37">
        <f t="shared" si="29"/>
        <v>154008</v>
      </c>
      <c r="BZ21" s="37">
        <f t="shared" si="29"/>
        <v>145845.4</v>
      </c>
      <c r="CA21" s="37">
        <f t="shared" si="29"/>
        <v>146677.20000000001</v>
      </c>
      <c r="CB21" s="37">
        <f t="shared" si="29"/>
        <v>148171.9</v>
      </c>
      <c r="CC21" s="37">
        <f t="shared" si="29"/>
        <v>141931.80000000002</v>
      </c>
      <c r="CD21" s="37">
        <f t="shared" si="29"/>
        <v>158238.90000000002</v>
      </c>
      <c r="CE21" s="37">
        <f t="shared" si="29"/>
        <v>158897</v>
      </c>
      <c r="CF21" s="37">
        <f t="shared" si="29"/>
        <v>148139.1</v>
      </c>
      <c r="CG21" s="37">
        <f t="shared" si="29"/>
        <v>156846.1</v>
      </c>
      <c r="CH21" s="37">
        <f t="shared" si="29"/>
        <v>132165.79999999999</v>
      </c>
      <c r="CI21" s="37">
        <f t="shared" si="29"/>
        <v>133780.4</v>
      </c>
      <c r="CJ21" s="37">
        <f t="shared" si="28"/>
        <v>146982.70000000001</v>
      </c>
      <c r="CK21" s="323">
        <f>+CJ21/$CJ$10</f>
        <v>0.31131518187500301</v>
      </c>
    </row>
    <row r="22" spans="1:91" x14ac:dyDescent="0.3">
      <c r="A22" s="38"/>
      <c r="B22" s="39" t="s">
        <v>4</v>
      </c>
      <c r="C22" s="40">
        <f>+SUM(C23:C30)</f>
        <v>23231.600000000002</v>
      </c>
      <c r="D22" s="40">
        <f t="shared" ref="D22:BO22" si="30">+SUM(D23:D30)</f>
        <v>23465.5</v>
      </c>
      <c r="E22" s="40">
        <f t="shared" si="30"/>
        <v>20538.199999999997</v>
      </c>
      <c r="F22" s="40">
        <f t="shared" si="30"/>
        <v>21581.7</v>
      </c>
      <c r="G22" s="40">
        <f t="shared" si="30"/>
        <v>21305.9</v>
      </c>
      <c r="H22" s="40">
        <f t="shared" si="30"/>
        <v>22917.200000000001</v>
      </c>
      <c r="I22" s="40">
        <f t="shared" si="30"/>
        <v>20976</v>
      </c>
      <c r="J22" s="40">
        <f t="shared" si="30"/>
        <v>16218.900000000001</v>
      </c>
      <c r="K22" s="40">
        <f t="shared" si="30"/>
        <v>16670.900000000001</v>
      </c>
      <c r="L22" s="40">
        <f t="shared" si="30"/>
        <v>16103.4</v>
      </c>
      <c r="M22" s="40">
        <f t="shared" si="30"/>
        <v>16024.3</v>
      </c>
      <c r="N22" s="40">
        <f t="shared" si="30"/>
        <v>15960</v>
      </c>
      <c r="O22" s="40">
        <f t="shared" si="30"/>
        <v>15798.9</v>
      </c>
      <c r="P22" s="40">
        <f t="shared" si="30"/>
        <v>15181.199999999999</v>
      </c>
      <c r="Q22" s="40">
        <f t="shared" si="30"/>
        <v>13600.599999999999</v>
      </c>
      <c r="R22" s="40">
        <f t="shared" si="30"/>
        <v>13086</v>
      </c>
      <c r="S22" s="40">
        <f t="shared" si="30"/>
        <v>13081.3</v>
      </c>
      <c r="T22" s="40">
        <f t="shared" si="30"/>
        <v>11004.599999999999</v>
      </c>
      <c r="U22" s="40">
        <f t="shared" si="30"/>
        <v>11070.6</v>
      </c>
      <c r="V22" s="40">
        <f t="shared" si="30"/>
        <v>10753.9</v>
      </c>
      <c r="W22" s="40">
        <f t="shared" si="30"/>
        <v>10995.2</v>
      </c>
      <c r="X22" s="40">
        <f t="shared" si="30"/>
        <v>14135.199999999999</v>
      </c>
      <c r="Y22" s="40">
        <f t="shared" si="30"/>
        <v>14156.4</v>
      </c>
      <c r="Z22" s="40">
        <f t="shared" si="30"/>
        <v>13399.6</v>
      </c>
      <c r="AA22" s="40">
        <f t="shared" si="30"/>
        <v>12974.300000000001</v>
      </c>
      <c r="AB22" s="40">
        <f t="shared" si="30"/>
        <v>12615.6</v>
      </c>
      <c r="AC22" s="40">
        <f t="shared" si="30"/>
        <v>12421.8</v>
      </c>
      <c r="AD22" s="40">
        <f t="shared" si="30"/>
        <v>12518.600000000002</v>
      </c>
      <c r="AE22" s="40">
        <f t="shared" si="30"/>
        <v>13024.099999999999</v>
      </c>
      <c r="AF22" s="40">
        <f t="shared" si="30"/>
        <v>12870.4</v>
      </c>
      <c r="AG22" s="40">
        <f t="shared" si="30"/>
        <v>12844.5</v>
      </c>
      <c r="AH22" s="40">
        <f t="shared" si="30"/>
        <v>13161.4</v>
      </c>
      <c r="AI22" s="40">
        <f t="shared" si="30"/>
        <v>12265.6</v>
      </c>
      <c r="AJ22" s="40">
        <f t="shared" si="30"/>
        <v>12449.5</v>
      </c>
      <c r="AK22" s="40">
        <f t="shared" si="30"/>
        <v>12720.800000000001</v>
      </c>
      <c r="AL22" s="40">
        <f t="shared" si="30"/>
        <v>12896.5</v>
      </c>
      <c r="AM22" s="40">
        <f t="shared" si="30"/>
        <v>13035.8</v>
      </c>
      <c r="AN22" s="40">
        <f t="shared" si="30"/>
        <v>12869.3</v>
      </c>
      <c r="AO22" s="40">
        <f t="shared" si="30"/>
        <v>13018.6</v>
      </c>
      <c r="AP22" s="40">
        <f t="shared" si="30"/>
        <v>11542.7</v>
      </c>
      <c r="AQ22" s="40">
        <f t="shared" si="30"/>
        <v>11931.1</v>
      </c>
      <c r="AR22" s="40">
        <f t="shared" si="30"/>
        <v>11968.9</v>
      </c>
      <c r="AS22" s="40">
        <f t="shared" si="30"/>
        <v>12311</v>
      </c>
      <c r="AT22" s="40">
        <f t="shared" si="30"/>
        <v>15935.9</v>
      </c>
      <c r="AU22" s="40">
        <f t="shared" si="30"/>
        <v>16509.199999999997</v>
      </c>
      <c r="AV22" s="40">
        <f t="shared" si="30"/>
        <v>16276</v>
      </c>
      <c r="AW22" s="40">
        <f t="shared" si="30"/>
        <v>16793.400000000001</v>
      </c>
      <c r="AX22" s="40">
        <f t="shared" si="30"/>
        <v>17241</v>
      </c>
      <c r="AY22" s="40">
        <f t="shared" si="30"/>
        <v>23212.799999999999</v>
      </c>
      <c r="AZ22" s="40">
        <f t="shared" si="30"/>
        <v>23266.300000000003</v>
      </c>
      <c r="BA22" s="40">
        <f t="shared" si="30"/>
        <v>26036.7</v>
      </c>
      <c r="BB22" s="40">
        <f t="shared" si="30"/>
        <v>28383.800000000003</v>
      </c>
      <c r="BC22" s="40">
        <f t="shared" si="30"/>
        <v>29110</v>
      </c>
      <c r="BD22" s="40">
        <f t="shared" si="30"/>
        <v>45883</v>
      </c>
      <c r="BE22" s="40">
        <f t="shared" si="30"/>
        <v>45287</v>
      </c>
      <c r="BF22" s="40">
        <f t="shared" si="30"/>
        <v>44521.4</v>
      </c>
      <c r="BG22" s="40">
        <f t="shared" si="30"/>
        <v>44807.499999999993</v>
      </c>
      <c r="BH22" s="40">
        <f t="shared" si="30"/>
        <v>46001.5</v>
      </c>
      <c r="BI22" s="40">
        <f t="shared" si="30"/>
        <v>47198.799999999996</v>
      </c>
      <c r="BJ22" s="40">
        <f t="shared" si="30"/>
        <v>43313.8</v>
      </c>
      <c r="BK22" s="40">
        <f t="shared" si="30"/>
        <v>43288.4</v>
      </c>
      <c r="BL22" s="40">
        <f t="shared" si="30"/>
        <v>38836.699999999997</v>
      </c>
      <c r="BM22" s="40">
        <f t="shared" si="30"/>
        <v>16342.5</v>
      </c>
      <c r="BN22" s="40">
        <f t="shared" si="30"/>
        <v>13588.699999999999</v>
      </c>
      <c r="BO22" s="40">
        <f t="shared" si="30"/>
        <v>13996.800000000001</v>
      </c>
      <c r="BP22" s="40">
        <f t="shared" ref="BP22:CJ22" si="31">+SUM(BP23:BP30)</f>
        <v>13980.600000000002</v>
      </c>
      <c r="BQ22" s="40">
        <f t="shared" si="31"/>
        <v>15015.3</v>
      </c>
      <c r="BR22" s="40">
        <f t="shared" si="31"/>
        <v>13454.300000000001</v>
      </c>
      <c r="BS22" s="40">
        <f t="shared" si="31"/>
        <v>13126.7</v>
      </c>
      <c r="BT22" s="40">
        <f t="shared" ref="BT22:CE22" si="32">+SUM(BT23:BT30)</f>
        <v>15043.699999999999</v>
      </c>
      <c r="BU22" s="40">
        <f t="shared" si="32"/>
        <v>16922.900000000001</v>
      </c>
      <c r="BV22" s="40">
        <f t="shared" si="32"/>
        <v>18228.599999999999</v>
      </c>
      <c r="BW22" s="40">
        <f t="shared" si="32"/>
        <v>27595.7</v>
      </c>
      <c r="BX22" s="40">
        <f t="shared" si="32"/>
        <v>28129.4</v>
      </c>
      <c r="BY22" s="40">
        <f t="shared" si="32"/>
        <v>28616.799999999999</v>
      </c>
      <c r="BZ22" s="40">
        <f t="shared" si="32"/>
        <v>28652.2</v>
      </c>
      <c r="CA22" s="40">
        <f t="shared" si="32"/>
        <v>34893.9</v>
      </c>
      <c r="CB22" s="40">
        <f t="shared" si="32"/>
        <v>35598.400000000001</v>
      </c>
      <c r="CC22" s="40">
        <f t="shared" si="32"/>
        <v>40682.700000000004</v>
      </c>
      <c r="CD22" s="40">
        <f t="shared" si="32"/>
        <v>53791.5</v>
      </c>
      <c r="CE22" s="40">
        <f t="shared" si="32"/>
        <v>55718.400000000001</v>
      </c>
      <c r="CF22" s="40">
        <f t="shared" ref="CF22:CI22" si="33">+SUM(CF23:CF30)</f>
        <v>48436.800000000003</v>
      </c>
      <c r="CG22" s="40">
        <f t="shared" si="33"/>
        <v>54751.4</v>
      </c>
      <c r="CH22" s="40">
        <f t="shared" si="33"/>
        <v>42365.9</v>
      </c>
      <c r="CI22" s="40">
        <f t="shared" si="33"/>
        <v>40030.400000000001</v>
      </c>
      <c r="CJ22" s="40">
        <f t="shared" si="31"/>
        <v>45850.8</v>
      </c>
      <c r="CK22" s="324">
        <f>+CJ22/$CJ$10</f>
        <v>9.7113810952679389E-2</v>
      </c>
    </row>
    <row r="23" spans="1:91" x14ac:dyDescent="0.3">
      <c r="A23" s="38"/>
      <c r="B23" s="41" t="s">
        <v>46</v>
      </c>
      <c r="C23" s="267">
        <v>21.4</v>
      </c>
      <c r="D23" s="267">
        <v>20.3</v>
      </c>
      <c r="E23" s="267">
        <v>18.3</v>
      </c>
      <c r="F23" s="267">
        <v>18</v>
      </c>
      <c r="G23" s="267">
        <v>17.7</v>
      </c>
      <c r="H23" s="267">
        <v>18.7</v>
      </c>
      <c r="I23" s="267">
        <v>18.100000000000001</v>
      </c>
      <c r="J23" s="267">
        <v>13.4</v>
      </c>
      <c r="K23" s="267">
        <v>13.8</v>
      </c>
      <c r="L23" s="267">
        <v>13.3</v>
      </c>
      <c r="M23" s="267">
        <v>13.3</v>
      </c>
      <c r="N23" s="267">
        <v>13.2</v>
      </c>
      <c r="O23" s="267">
        <v>13</v>
      </c>
      <c r="P23" s="267">
        <v>12.6</v>
      </c>
      <c r="Q23" s="267">
        <v>12.2</v>
      </c>
      <c r="R23" s="267">
        <v>11.7</v>
      </c>
      <c r="S23" s="267">
        <v>11.4</v>
      </c>
      <c r="T23" s="267">
        <v>11.1</v>
      </c>
      <c r="U23" s="267">
        <v>10.8</v>
      </c>
      <c r="V23" s="267">
        <v>10.6</v>
      </c>
      <c r="W23" s="267">
        <v>10.3</v>
      </c>
      <c r="X23" s="267">
        <v>10</v>
      </c>
      <c r="Y23" s="267">
        <v>9.6</v>
      </c>
      <c r="Z23" s="267">
        <v>9.3000000000000007</v>
      </c>
      <c r="AA23" s="267">
        <v>8.9</v>
      </c>
      <c r="AB23" s="267">
        <v>8.6</v>
      </c>
      <c r="AC23" s="267">
        <v>8.4</v>
      </c>
      <c r="AD23" s="267">
        <v>8.3000000000000007</v>
      </c>
      <c r="AE23" s="267">
        <v>8.1999999999999993</v>
      </c>
      <c r="AF23" s="267">
        <v>8.1</v>
      </c>
      <c r="AG23" s="267">
        <v>8</v>
      </c>
      <c r="AH23" s="267">
        <v>7.9</v>
      </c>
      <c r="AI23" s="267">
        <v>7.9</v>
      </c>
      <c r="AJ23" s="267">
        <v>7.8</v>
      </c>
      <c r="AK23" s="267">
        <v>7.7</v>
      </c>
      <c r="AL23" s="267">
        <v>7.5</v>
      </c>
      <c r="AM23" s="267">
        <v>7.3</v>
      </c>
      <c r="AN23" s="267">
        <v>7.1</v>
      </c>
      <c r="AO23" s="267">
        <v>6.9</v>
      </c>
      <c r="AP23" s="267">
        <v>6.7</v>
      </c>
      <c r="AQ23" s="267">
        <v>6.4</v>
      </c>
      <c r="AR23" s="267">
        <v>6.1</v>
      </c>
      <c r="AS23" s="267">
        <v>5.8</v>
      </c>
      <c r="AT23" s="267">
        <v>5.5</v>
      </c>
      <c r="AU23" s="267">
        <v>5.2</v>
      </c>
      <c r="AV23" s="267">
        <v>4.9000000000000004</v>
      </c>
      <c r="AW23" s="267">
        <v>4.5999999999999996</v>
      </c>
      <c r="AX23" s="267">
        <v>4.3</v>
      </c>
      <c r="AY23" s="267">
        <v>4.0999999999999996</v>
      </c>
      <c r="AZ23" s="267">
        <v>3.8</v>
      </c>
      <c r="BA23" s="267">
        <v>3.6</v>
      </c>
      <c r="BB23" s="267">
        <v>3.4</v>
      </c>
      <c r="BC23" s="267">
        <v>3.2</v>
      </c>
      <c r="BD23" s="267">
        <v>3</v>
      </c>
      <c r="BE23" s="267">
        <v>2.8</v>
      </c>
      <c r="BF23" s="267">
        <v>2.2000000000000002</v>
      </c>
      <c r="BG23" s="267">
        <v>2.2000000000000002</v>
      </c>
      <c r="BH23" s="267">
        <v>2.2000000000000002</v>
      </c>
      <c r="BI23" s="267">
        <v>2.1</v>
      </c>
      <c r="BJ23" s="267">
        <v>0.9</v>
      </c>
      <c r="BK23" s="267">
        <v>0.9</v>
      </c>
      <c r="BL23" s="267">
        <v>0.9</v>
      </c>
      <c r="BM23" s="267">
        <v>0.9</v>
      </c>
      <c r="BN23" s="267">
        <v>0.9</v>
      </c>
      <c r="BO23" s="267">
        <v>0.8</v>
      </c>
      <c r="BP23" s="267">
        <v>0.8</v>
      </c>
      <c r="BQ23" s="267">
        <v>0.8</v>
      </c>
      <c r="BR23" s="267">
        <v>0.8</v>
      </c>
      <c r="BS23" s="267">
        <v>0.8</v>
      </c>
      <c r="BT23" s="267">
        <v>0.8</v>
      </c>
      <c r="BU23" s="267">
        <v>0.7</v>
      </c>
      <c r="BV23" s="267">
        <v>0.7</v>
      </c>
      <c r="BW23" s="267">
        <v>0.7</v>
      </c>
      <c r="BX23" s="267">
        <v>0.7</v>
      </c>
      <c r="BY23" s="267">
        <v>0.7</v>
      </c>
      <c r="BZ23" s="267">
        <v>0.6</v>
      </c>
      <c r="CA23" s="267">
        <v>0.6</v>
      </c>
      <c r="CB23" s="267">
        <v>0.6</v>
      </c>
      <c r="CC23" s="267">
        <v>0.5</v>
      </c>
      <c r="CD23" s="267">
        <v>0.6</v>
      </c>
      <c r="CE23" s="267">
        <v>0.5</v>
      </c>
      <c r="CF23" s="267">
        <v>0.5</v>
      </c>
      <c r="CG23" s="267">
        <v>0.5</v>
      </c>
      <c r="CH23" s="267">
        <v>0.5</v>
      </c>
      <c r="CI23" s="267">
        <v>0.5</v>
      </c>
      <c r="CJ23" s="267">
        <v>0.5</v>
      </c>
      <c r="CK23" s="325"/>
    </row>
    <row r="24" spans="1:91" x14ac:dyDescent="0.3">
      <c r="A24" s="38"/>
      <c r="B24" s="41" t="s">
        <v>340</v>
      </c>
      <c r="C24" s="267">
        <v>199.9</v>
      </c>
      <c r="D24" s="267">
        <v>192.7</v>
      </c>
      <c r="E24" s="267">
        <v>174.6</v>
      </c>
      <c r="F24" s="267">
        <v>173.1</v>
      </c>
      <c r="G24" s="267">
        <v>172.1</v>
      </c>
      <c r="H24" s="267">
        <v>185.1</v>
      </c>
      <c r="I24" s="267">
        <v>174.6</v>
      </c>
      <c r="J24" s="267">
        <v>138.9</v>
      </c>
      <c r="K24" s="267">
        <v>146.80000000000001</v>
      </c>
      <c r="L24" s="267">
        <v>136.9</v>
      </c>
      <c r="M24" s="267">
        <v>140.6</v>
      </c>
      <c r="N24" s="267">
        <v>142.19999999999999</v>
      </c>
      <c r="O24" s="267">
        <v>134.30000000000001</v>
      </c>
      <c r="P24" s="267">
        <v>130.5</v>
      </c>
      <c r="Q24" s="267">
        <v>128.19999999999999</v>
      </c>
      <c r="R24" s="267">
        <v>114.8</v>
      </c>
      <c r="S24" s="267">
        <v>112.3</v>
      </c>
      <c r="T24" s="267">
        <v>110.9</v>
      </c>
      <c r="U24" s="267">
        <v>99.1</v>
      </c>
      <c r="V24" s="267">
        <v>97.5</v>
      </c>
      <c r="W24" s="267">
        <v>97.6</v>
      </c>
      <c r="X24" s="267">
        <v>138.30000000000001</v>
      </c>
      <c r="Y24" s="267">
        <v>134</v>
      </c>
      <c r="Z24" s="267">
        <v>200.6</v>
      </c>
      <c r="AA24" s="267">
        <v>172.5</v>
      </c>
      <c r="AB24" s="267">
        <v>170.2</v>
      </c>
      <c r="AC24" s="267">
        <v>169.2</v>
      </c>
      <c r="AD24" s="267">
        <v>150</v>
      </c>
      <c r="AE24" s="267">
        <v>149.80000000000001</v>
      </c>
      <c r="AF24" s="267">
        <v>149.9</v>
      </c>
      <c r="AG24" s="267">
        <v>129.9</v>
      </c>
      <c r="AH24" s="267">
        <v>131</v>
      </c>
      <c r="AI24" s="267">
        <v>135.80000000000001</v>
      </c>
      <c r="AJ24" s="267">
        <v>111.9</v>
      </c>
      <c r="AK24" s="267">
        <v>114.1</v>
      </c>
      <c r="AL24" s="267">
        <v>121.8</v>
      </c>
      <c r="AM24" s="267">
        <v>97.1</v>
      </c>
      <c r="AN24" s="267">
        <v>94.9</v>
      </c>
      <c r="AO24" s="267">
        <v>96.4</v>
      </c>
      <c r="AP24" s="267">
        <v>74.400000000000006</v>
      </c>
      <c r="AQ24" s="267">
        <v>73.2</v>
      </c>
      <c r="AR24" s="267">
        <v>70.2</v>
      </c>
      <c r="AS24" s="267">
        <v>43.5</v>
      </c>
      <c r="AT24" s="267">
        <v>41.2</v>
      </c>
      <c r="AU24" s="267">
        <v>38.799999999999997</v>
      </c>
      <c r="AV24" s="267">
        <v>0</v>
      </c>
      <c r="AW24" s="267">
        <v>0</v>
      </c>
      <c r="AX24" s="267">
        <v>0.1</v>
      </c>
      <c r="AY24" s="267">
        <v>0.2</v>
      </c>
      <c r="AZ24" s="267">
        <v>4.4000000000000004</v>
      </c>
      <c r="BA24" s="267">
        <v>6.4</v>
      </c>
      <c r="BB24" s="267">
        <v>13.8</v>
      </c>
      <c r="BC24" s="267">
        <v>20.2</v>
      </c>
      <c r="BD24" s="267">
        <v>22.5</v>
      </c>
      <c r="BE24" s="267">
        <v>23.3</v>
      </c>
      <c r="BF24" s="267">
        <v>25.7</v>
      </c>
      <c r="BG24" s="267">
        <v>30</v>
      </c>
      <c r="BH24" s="267">
        <v>30</v>
      </c>
      <c r="BI24" s="267">
        <v>40.5</v>
      </c>
      <c r="BJ24" s="267">
        <v>23.1</v>
      </c>
      <c r="BK24" s="267">
        <v>22.6</v>
      </c>
      <c r="BL24" s="267">
        <v>29.1</v>
      </c>
      <c r="BM24" s="267">
        <v>28.9</v>
      </c>
      <c r="BN24" s="267">
        <v>31</v>
      </c>
      <c r="BO24" s="267">
        <v>37.4</v>
      </c>
      <c r="BP24" s="267">
        <v>36.9</v>
      </c>
      <c r="BQ24" s="267">
        <v>36.200000000000003</v>
      </c>
      <c r="BR24" s="267">
        <v>39.299999999999997</v>
      </c>
      <c r="BS24" s="267">
        <v>42.5</v>
      </c>
      <c r="BT24" s="267">
        <v>43.5</v>
      </c>
      <c r="BU24" s="267">
        <v>48.3</v>
      </c>
      <c r="BV24" s="267">
        <v>47.5</v>
      </c>
      <c r="BW24" s="267">
        <v>46.6</v>
      </c>
      <c r="BX24" s="267">
        <v>50.4</v>
      </c>
      <c r="BY24" s="267">
        <v>51.3</v>
      </c>
      <c r="BZ24" s="267">
        <v>48.6</v>
      </c>
      <c r="CA24" s="267">
        <v>52.3</v>
      </c>
      <c r="CB24" s="267">
        <v>53.5</v>
      </c>
      <c r="CC24" s="267">
        <v>48.9</v>
      </c>
      <c r="CD24" s="267">
        <v>55.3</v>
      </c>
      <c r="CE24" s="267">
        <v>55.5</v>
      </c>
      <c r="CF24" s="267">
        <v>54</v>
      </c>
      <c r="CG24" s="267">
        <v>61.2</v>
      </c>
      <c r="CH24" s="267">
        <v>61.7</v>
      </c>
      <c r="CI24" s="267">
        <v>64.099999999999994</v>
      </c>
      <c r="CJ24" s="267">
        <v>71.400000000000006</v>
      </c>
      <c r="CK24" s="325"/>
    </row>
    <row r="25" spans="1:91" x14ac:dyDescent="0.3">
      <c r="A25" s="38"/>
      <c r="B25" s="41" t="s">
        <v>5</v>
      </c>
      <c r="C25" s="267">
        <v>7413.5</v>
      </c>
      <c r="D25" s="267">
        <v>8139.7</v>
      </c>
      <c r="E25" s="267">
        <v>6579.3</v>
      </c>
      <c r="F25" s="267">
        <v>6491.2</v>
      </c>
      <c r="G25" s="267">
        <v>6357.9</v>
      </c>
      <c r="H25" s="267">
        <v>6274</v>
      </c>
      <c r="I25" s="267">
        <v>6022.2</v>
      </c>
      <c r="J25" s="267">
        <v>4844.6000000000004</v>
      </c>
      <c r="K25" s="267">
        <v>4919.3999999999996</v>
      </c>
      <c r="L25" s="267">
        <v>4795.5</v>
      </c>
      <c r="M25" s="267">
        <v>4788.3</v>
      </c>
      <c r="N25" s="267">
        <v>4777.2</v>
      </c>
      <c r="O25" s="267">
        <v>4749.8</v>
      </c>
      <c r="P25" s="267">
        <v>4203.8999999999996</v>
      </c>
      <c r="Q25" s="267">
        <v>2888.9</v>
      </c>
      <c r="R25" s="267">
        <v>2786.6</v>
      </c>
      <c r="S25" s="267">
        <v>2574.4</v>
      </c>
      <c r="T25" s="267">
        <v>2498.4</v>
      </c>
      <c r="U25" s="267">
        <v>2414.1</v>
      </c>
      <c r="V25" s="267">
        <v>2351.4</v>
      </c>
      <c r="W25" s="267">
        <v>2220</v>
      </c>
      <c r="X25" s="267">
        <v>2159.1</v>
      </c>
      <c r="Y25" s="267">
        <v>2072.9</v>
      </c>
      <c r="Z25" s="267">
        <v>1578.3</v>
      </c>
      <c r="AA25" s="267">
        <v>1518.7</v>
      </c>
      <c r="AB25" s="267">
        <v>1027.3</v>
      </c>
      <c r="AC25" s="267">
        <v>996.4</v>
      </c>
      <c r="AD25" s="267">
        <v>976.4</v>
      </c>
      <c r="AE25" s="267">
        <v>961.5</v>
      </c>
      <c r="AF25" s="267">
        <v>947.8</v>
      </c>
      <c r="AG25" s="267">
        <v>936.7</v>
      </c>
      <c r="AH25" s="267">
        <v>1081.5</v>
      </c>
      <c r="AI25" s="267">
        <v>1067.5</v>
      </c>
      <c r="AJ25" s="267">
        <v>1056.9000000000001</v>
      </c>
      <c r="AK25" s="267">
        <v>1037.9000000000001</v>
      </c>
      <c r="AL25" s="267">
        <v>1016.3</v>
      </c>
      <c r="AM25" s="267">
        <v>990.9</v>
      </c>
      <c r="AN25" s="267">
        <v>968.5</v>
      </c>
      <c r="AO25" s="267">
        <v>931.6</v>
      </c>
      <c r="AP25" s="267">
        <v>294.60000000000002</v>
      </c>
      <c r="AQ25" s="267">
        <v>277.10000000000002</v>
      </c>
      <c r="AR25" s="267">
        <v>263.3</v>
      </c>
      <c r="AS25" s="267">
        <v>251.2</v>
      </c>
      <c r="AT25" s="267">
        <v>4209.7</v>
      </c>
      <c r="AU25" s="267">
        <v>4903.8999999999996</v>
      </c>
      <c r="AV25" s="267">
        <v>4843.8</v>
      </c>
      <c r="AW25" s="267">
        <v>6095.6</v>
      </c>
      <c r="AX25" s="267">
        <v>6086</v>
      </c>
      <c r="AY25" s="267">
        <v>12576</v>
      </c>
      <c r="AZ25" s="267">
        <v>12567.9</v>
      </c>
      <c r="BA25" s="267">
        <v>16238.6</v>
      </c>
      <c r="BB25" s="267">
        <v>19870.900000000001</v>
      </c>
      <c r="BC25" s="267">
        <v>19861.3</v>
      </c>
      <c r="BD25" s="267">
        <v>36482.300000000003</v>
      </c>
      <c r="BE25" s="267">
        <v>36475.4</v>
      </c>
      <c r="BF25" s="267">
        <v>36457.5</v>
      </c>
      <c r="BG25" s="267">
        <v>36618.699999999997</v>
      </c>
      <c r="BH25" s="267">
        <v>37354.5</v>
      </c>
      <c r="BI25" s="267">
        <v>38256.6</v>
      </c>
      <c r="BJ25" s="267">
        <v>35774.400000000001</v>
      </c>
      <c r="BK25" s="267">
        <v>35773.5</v>
      </c>
      <c r="BL25" s="267">
        <v>30834</v>
      </c>
      <c r="BM25" s="267">
        <v>11705</v>
      </c>
      <c r="BN25" s="267">
        <v>10950.3</v>
      </c>
      <c r="BO25" s="267">
        <v>10949.5</v>
      </c>
      <c r="BP25" s="267">
        <v>10949.1</v>
      </c>
      <c r="BQ25" s="267">
        <v>10948</v>
      </c>
      <c r="BR25" s="267">
        <v>9401.2000000000007</v>
      </c>
      <c r="BS25" s="267">
        <v>9400.2000000000007</v>
      </c>
      <c r="BT25" s="267">
        <v>9399.5</v>
      </c>
      <c r="BU25" s="267">
        <v>9254.7000000000007</v>
      </c>
      <c r="BV25" s="267">
        <v>9253.7999999999993</v>
      </c>
      <c r="BW25" s="267">
        <v>656.8</v>
      </c>
      <c r="BX25" s="267">
        <v>656.3</v>
      </c>
      <c r="BY25" s="267">
        <v>655.9</v>
      </c>
      <c r="BZ25" s="267">
        <v>654.4</v>
      </c>
      <c r="CA25" s="267">
        <v>654.1</v>
      </c>
      <c r="CB25" s="267">
        <v>653.6</v>
      </c>
      <c r="CC25" s="267">
        <v>651.9</v>
      </c>
      <c r="CD25" s="267">
        <v>652.1</v>
      </c>
      <c r="CE25" s="267">
        <v>651.29999999999995</v>
      </c>
      <c r="CF25" s="267">
        <v>650.5</v>
      </c>
      <c r="CG25" s="267">
        <v>650.5</v>
      </c>
      <c r="CH25" s="267">
        <v>649.9</v>
      </c>
      <c r="CI25" s="267">
        <v>650</v>
      </c>
      <c r="CJ25" s="267">
        <v>650</v>
      </c>
      <c r="CK25" s="325"/>
    </row>
    <row r="26" spans="1:91" x14ac:dyDescent="0.3">
      <c r="A26" s="38"/>
      <c r="B26" s="41" t="s">
        <v>6</v>
      </c>
      <c r="C26" s="267">
        <v>11828.4</v>
      </c>
      <c r="D26" s="267">
        <v>11232.9</v>
      </c>
      <c r="E26" s="267">
        <v>10295.299999999999</v>
      </c>
      <c r="F26" s="267">
        <v>10141.700000000001</v>
      </c>
      <c r="G26" s="267">
        <v>10078.5</v>
      </c>
      <c r="H26" s="267">
        <v>10653.4</v>
      </c>
      <c r="I26" s="267">
        <v>10308.4</v>
      </c>
      <c r="J26" s="267">
        <v>7655</v>
      </c>
      <c r="K26" s="267">
        <v>8012.9</v>
      </c>
      <c r="L26" s="267">
        <v>7722</v>
      </c>
      <c r="M26" s="267">
        <v>7704.3</v>
      </c>
      <c r="N26" s="267">
        <v>7700.3</v>
      </c>
      <c r="O26" s="267">
        <v>7644.6</v>
      </c>
      <c r="P26" s="267">
        <v>7700.9</v>
      </c>
      <c r="Q26" s="267">
        <v>7941</v>
      </c>
      <c r="R26" s="267">
        <v>7660.3</v>
      </c>
      <c r="S26" s="267">
        <v>7967.3</v>
      </c>
      <c r="T26" s="267">
        <v>7750.4</v>
      </c>
      <c r="U26" s="267">
        <v>7965.4</v>
      </c>
      <c r="V26" s="267">
        <v>7765.9</v>
      </c>
      <c r="W26" s="267">
        <v>8191.7</v>
      </c>
      <c r="X26" s="267">
        <v>11405</v>
      </c>
      <c r="Y26" s="267">
        <v>11570</v>
      </c>
      <c r="Z26" s="267">
        <v>11294.3</v>
      </c>
      <c r="AA26" s="267">
        <v>11010</v>
      </c>
      <c r="AB26" s="267">
        <v>11145.3</v>
      </c>
      <c r="AC26" s="267">
        <v>11089.3</v>
      </c>
      <c r="AD26" s="267">
        <v>11278.2</v>
      </c>
      <c r="AE26" s="267">
        <v>11851.8</v>
      </c>
      <c r="AF26" s="267">
        <v>11764.6</v>
      </c>
      <c r="AG26" s="267">
        <v>11769.9</v>
      </c>
      <c r="AH26" s="267">
        <v>11941</v>
      </c>
      <c r="AI26" s="267">
        <v>11054.4</v>
      </c>
      <c r="AJ26" s="267">
        <v>11272.9</v>
      </c>
      <c r="AK26" s="267">
        <v>11561.1</v>
      </c>
      <c r="AL26" s="267">
        <v>11750.9</v>
      </c>
      <c r="AM26" s="267">
        <v>11940.5</v>
      </c>
      <c r="AN26" s="267">
        <v>11798.8</v>
      </c>
      <c r="AO26" s="267">
        <v>11983.7</v>
      </c>
      <c r="AP26" s="267">
        <v>11167</v>
      </c>
      <c r="AQ26" s="267">
        <v>11574.4</v>
      </c>
      <c r="AR26" s="267">
        <v>11629.3</v>
      </c>
      <c r="AS26" s="267">
        <v>12010.5</v>
      </c>
      <c r="AT26" s="267">
        <v>11679.5</v>
      </c>
      <c r="AU26" s="267">
        <v>11561.3</v>
      </c>
      <c r="AV26" s="267">
        <v>11427.3</v>
      </c>
      <c r="AW26" s="267">
        <v>10693.2</v>
      </c>
      <c r="AX26" s="267">
        <v>11150.6</v>
      </c>
      <c r="AY26" s="267">
        <v>10632.5</v>
      </c>
      <c r="AZ26" s="267">
        <v>10690.2</v>
      </c>
      <c r="BA26" s="267">
        <v>9788.1</v>
      </c>
      <c r="BB26" s="267">
        <v>8495.7000000000007</v>
      </c>
      <c r="BC26" s="267">
        <v>9225.2999999999993</v>
      </c>
      <c r="BD26" s="267">
        <v>9375.2000000000007</v>
      </c>
      <c r="BE26" s="267">
        <v>8785.5</v>
      </c>
      <c r="BF26" s="267">
        <v>8036</v>
      </c>
      <c r="BG26" s="267">
        <v>8156.6</v>
      </c>
      <c r="BH26" s="267">
        <v>8614.7999999999993</v>
      </c>
      <c r="BI26" s="267">
        <v>8899.6</v>
      </c>
      <c r="BJ26" s="267">
        <v>7515.4</v>
      </c>
      <c r="BK26" s="267">
        <v>7491.4</v>
      </c>
      <c r="BL26" s="267">
        <v>7972.7</v>
      </c>
      <c r="BM26" s="267">
        <v>4607.7</v>
      </c>
      <c r="BN26" s="267">
        <v>2606.5</v>
      </c>
      <c r="BO26" s="267">
        <v>3009.1</v>
      </c>
      <c r="BP26" s="267">
        <v>2993.8</v>
      </c>
      <c r="BQ26" s="267">
        <v>4030.3</v>
      </c>
      <c r="BR26" s="267">
        <v>4013</v>
      </c>
      <c r="BS26" s="267">
        <v>3683.2</v>
      </c>
      <c r="BT26" s="267">
        <v>3824.8</v>
      </c>
      <c r="BU26" s="267">
        <v>3760.4</v>
      </c>
      <c r="BV26" s="267">
        <v>3746.3</v>
      </c>
      <c r="BW26" s="267">
        <v>3730.4</v>
      </c>
      <c r="BX26" s="267">
        <v>3723.3</v>
      </c>
      <c r="BY26" s="267">
        <v>3718.3</v>
      </c>
      <c r="BZ26" s="267">
        <v>3663.9</v>
      </c>
      <c r="CA26" s="267">
        <v>3536</v>
      </c>
      <c r="CB26" s="267">
        <v>2860.8</v>
      </c>
      <c r="CC26" s="267">
        <v>2681</v>
      </c>
      <c r="CD26" s="267">
        <v>2715.9</v>
      </c>
      <c r="CE26" s="267">
        <v>3147.8</v>
      </c>
      <c r="CF26" s="267">
        <v>5974.9</v>
      </c>
      <c r="CG26" s="267">
        <v>5932.7</v>
      </c>
      <c r="CH26" s="267">
        <v>3412.2</v>
      </c>
      <c r="CI26" s="267">
        <v>3444.7</v>
      </c>
      <c r="CJ26" s="267">
        <v>3604.5</v>
      </c>
      <c r="CK26" s="325"/>
    </row>
    <row r="27" spans="1:91" x14ac:dyDescent="0.3">
      <c r="A27" s="38"/>
      <c r="B27" s="41" t="s">
        <v>8</v>
      </c>
      <c r="C27" s="267">
        <v>949.5</v>
      </c>
      <c r="D27" s="267">
        <v>1202.9000000000001</v>
      </c>
      <c r="E27" s="267">
        <v>1062.5999999999999</v>
      </c>
      <c r="F27" s="267">
        <v>1086.5</v>
      </c>
      <c r="G27" s="267">
        <v>1103.9000000000001</v>
      </c>
      <c r="H27" s="267">
        <v>1232.5999999999999</v>
      </c>
      <c r="I27" s="267">
        <v>0</v>
      </c>
      <c r="J27" s="267">
        <v>0</v>
      </c>
      <c r="K27" s="267">
        <v>0</v>
      </c>
      <c r="L27" s="267">
        <v>0</v>
      </c>
      <c r="M27" s="267">
        <v>0</v>
      </c>
      <c r="N27" s="267">
        <v>0</v>
      </c>
      <c r="O27" s="267">
        <v>0</v>
      </c>
      <c r="P27" s="267">
        <v>0</v>
      </c>
      <c r="Q27" s="267">
        <v>0</v>
      </c>
      <c r="R27" s="267">
        <v>0</v>
      </c>
      <c r="S27" s="267">
        <v>0</v>
      </c>
      <c r="T27" s="267">
        <v>0</v>
      </c>
      <c r="U27" s="267">
        <v>0</v>
      </c>
      <c r="V27" s="267">
        <v>0</v>
      </c>
      <c r="W27" s="267">
        <v>0</v>
      </c>
      <c r="X27" s="267">
        <v>0</v>
      </c>
      <c r="Y27" s="267">
        <v>0</v>
      </c>
      <c r="Z27" s="267">
        <v>0</v>
      </c>
      <c r="AA27" s="267">
        <v>0</v>
      </c>
      <c r="AB27" s="267">
        <v>0</v>
      </c>
      <c r="AC27" s="267">
        <v>0</v>
      </c>
      <c r="AD27" s="267">
        <v>0</v>
      </c>
      <c r="AE27" s="267">
        <v>0</v>
      </c>
      <c r="AF27" s="267">
        <v>0</v>
      </c>
      <c r="AG27" s="267">
        <v>0</v>
      </c>
      <c r="AH27" s="267">
        <v>0</v>
      </c>
      <c r="AI27" s="267">
        <v>0</v>
      </c>
      <c r="AJ27" s="267">
        <v>0</v>
      </c>
      <c r="AK27" s="267">
        <v>0</v>
      </c>
      <c r="AL27" s="267">
        <v>0</v>
      </c>
      <c r="AM27" s="267">
        <v>0</v>
      </c>
      <c r="AN27" s="267">
        <v>0</v>
      </c>
      <c r="AO27" s="267">
        <v>0</v>
      </c>
      <c r="AP27" s="267">
        <v>0</v>
      </c>
      <c r="AQ27" s="267">
        <v>0</v>
      </c>
      <c r="AR27" s="267">
        <v>0</v>
      </c>
      <c r="AS27" s="267">
        <v>0</v>
      </c>
      <c r="AT27" s="267">
        <v>0</v>
      </c>
      <c r="AU27" s="267">
        <v>0</v>
      </c>
      <c r="AV27" s="267">
        <v>0</v>
      </c>
      <c r="AW27" s="267">
        <v>0</v>
      </c>
      <c r="AX27" s="267">
        <v>0</v>
      </c>
      <c r="AY27" s="267">
        <v>0</v>
      </c>
      <c r="AZ27" s="267">
        <v>0</v>
      </c>
      <c r="BA27" s="267">
        <v>0</v>
      </c>
      <c r="BB27" s="267">
        <v>0</v>
      </c>
      <c r="BC27" s="267">
        <v>0</v>
      </c>
      <c r="BD27" s="267">
        <v>0</v>
      </c>
      <c r="BE27" s="267">
        <v>0</v>
      </c>
      <c r="BF27" s="267">
        <v>0</v>
      </c>
      <c r="BG27" s="267">
        <v>0</v>
      </c>
      <c r="BH27" s="267">
        <v>0</v>
      </c>
      <c r="BI27" s="267">
        <v>0</v>
      </c>
      <c r="BJ27" s="267">
        <v>0</v>
      </c>
      <c r="BK27" s="267">
        <v>0</v>
      </c>
      <c r="BL27" s="267">
        <v>0</v>
      </c>
      <c r="BM27" s="267">
        <v>0</v>
      </c>
      <c r="BN27" s="267">
        <v>0</v>
      </c>
      <c r="BO27" s="267">
        <v>0</v>
      </c>
      <c r="BP27" s="267">
        <v>0</v>
      </c>
      <c r="BQ27" s="267">
        <v>0</v>
      </c>
      <c r="BR27" s="267">
        <v>0</v>
      </c>
      <c r="BS27" s="267">
        <v>0</v>
      </c>
      <c r="BT27" s="267">
        <v>0</v>
      </c>
      <c r="BU27" s="267">
        <v>0</v>
      </c>
      <c r="BV27" s="267">
        <v>0</v>
      </c>
      <c r="BW27" s="267">
        <v>0</v>
      </c>
      <c r="BX27" s="267">
        <v>0</v>
      </c>
      <c r="BY27" s="267">
        <v>0</v>
      </c>
      <c r="BZ27" s="267">
        <v>0</v>
      </c>
      <c r="CA27" s="267">
        <v>0</v>
      </c>
      <c r="CB27" s="267">
        <v>0</v>
      </c>
      <c r="CC27" s="267">
        <v>0</v>
      </c>
      <c r="CD27" s="267">
        <v>0</v>
      </c>
      <c r="CE27" s="267">
        <v>0</v>
      </c>
      <c r="CF27" s="267">
        <v>0</v>
      </c>
      <c r="CG27" s="267">
        <v>0</v>
      </c>
      <c r="CH27" s="267">
        <v>0</v>
      </c>
      <c r="CI27" s="267">
        <v>0</v>
      </c>
      <c r="CJ27" s="267">
        <v>0</v>
      </c>
      <c r="CK27" s="325"/>
    </row>
    <row r="28" spans="1:91" x14ac:dyDescent="0.3">
      <c r="A28" s="38"/>
      <c r="B28" s="41" t="s">
        <v>7</v>
      </c>
      <c r="C28" s="267">
        <v>2818.9</v>
      </c>
      <c r="D28" s="267">
        <v>2677</v>
      </c>
      <c r="E28" s="267">
        <v>2408.1</v>
      </c>
      <c r="F28" s="267">
        <v>2372.1999999999998</v>
      </c>
      <c r="G28" s="267">
        <v>2326.6999999999998</v>
      </c>
      <c r="H28" s="267">
        <v>3354.2</v>
      </c>
      <c r="I28" s="267">
        <v>3245.5</v>
      </c>
      <c r="J28" s="267">
        <v>2410.1</v>
      </c>
      <c r="K28" s="267">
        <v>2473.6</v>
      </c>
      <c r="L28" s="267">
        <v>2383.8000000000002</v>
      </c>
      <c r="M28" s="267">
        <v>2378.4</v>
      </c>
      <c r="N28" s="267">
        <v>2377.1</v>
      </c>
      <c r="O28" s="267">
        <v>2359.9</v>
      </c>
      <c r="P28" s="267">
        <v>2288.6999999999998</v>
      </c>
      <c r="Q28" s="267">
        <v>1838.4</v>
      </c>
      <c r="R28" s="267">
        <v>1773.4</v>
      </c>
      <c r="S28" s="267">
        <v>1729.4</v>
      </c>
      <c r="T28" s="267">
        <v>0</v>
      </c>
      <c r="U28" s="267">
        <v>0</v>
      </c>
      <c r="V28" s="267">
        <v>0</v>
      </c>
      <c r="W28" s="267">
        <v>0</v>
      </c>
      <c r="X28" s="267">
        <v>0</v>
      </c>
      <c r="Y28" s="267">
        <v>0</v>
      </c>
      <c r="Z28" s="267">
        <v>0</v>
      </c>
      <c r="AA28" s="267">
        <v>0</v>
      </c>
      <c r="AB28" s="267">
        <v>0</v>
      </c>
      <c r="AC28" s="267">
        <v>0</v>
      </c>
      <c r="AD28" s="267">
        <v>0</v>
      </c>
      <c r="AE28" s="267">
        <v>0</v>
      </c>
      <c r="AF28" s="267">
        <v>0</v>
      </c>
      <c r="AG28" s="267">
        <v>0</v>
      </c>
      <c r="AH28" s="267">
        <v>0</v>
      </c>
      <c r="AI28" s="267">
        <v>0</v>
      </c>
      <c r="AJ28" s="267">
        <v>0</v>
      </c>
      <c r="AK28" s="267">
        <v>0</v>
      </c>
      <c r="AL28" s="267">
        <v>0</v>
      </c>
      <c r="AM28" s="267">
        <v>0</v>
      </c>
      <c r="AN28" s="267">
        <v>0</v>
      </c>
      <c r="AO28" s="267">
        <v>0</v>
      </c>
      <c r="AP28" s="267">
        <v>0</v>
      </c>
      <c r="AQ28" s="267">
        <v>0</v>
      </c>
      <c r="AR28" s="267">
        <v>0</v>
      </c>
      <c r="AS28" s="267">
        <v>0</v>
      </c>
      <c r="AT28" s="267">
        <v>0</v>
      </c>
      <c r="AU28" s="267">
        <v>0</v>
      </c>
      <c r="AV28" s="267">
        <v>0</v>
      </c>
      <c r="AW28" s="267">
        <v>0</v>
      </c>
      <c r="AX28" s="267">
        <v>0</v>
      </c>
      <c r="AY28" s="267">
        <v>0</v>
      </c>
      <c r="AZ28" s="267">
        <v>0</v>
      </c>
      <c r="BA28" s="267">
        <v>0</v>
      </c>
      <c r="BB28" s="267">
        <v>0</v>
      </c>
      <c r="BC28" s="267">
        <v>0</v>
      </c>
      <c r="BD28" s="267">
        <v>0</v>
      </c>
      <c r="BE28" s="267">
        <v>0</v>
      </c>
      <c r="BF28" s="267">
        <v>0</v>
      </c>
      <c r="BG28" s="267">
        <v>0</v>
      </c>
      <c r="BH28" s="267">
        <v>0</v>
      </c>
      <c r="BI28" s="267">
        <v>0</v>
      </c>
      <c r="BJ28" s="267">
        <v>0</v>
      </c>
      <c r="BK28" s="267">
        <v>0</v>
      </c>
      <c r="BL28" s="267">
        <v>0</v>
      </c>
      <c r="BM28" s="267">
        <v>0</v>
      </c>
      <c r="BN28" s="267">
        <v>0</v>
      </c>
      <c r="BO28" s="267">
        <v>0</v>
      </c>
      <c r="BP28" s="267">
        <v>0</v>
      </c>
      <c r="BQ28" s="267">
        <v>0</v>
      </c>
      <c r="BR28" s="267">
        <v>0</v>
      </c>
      <c r="BS28" s="267">
        <v>0</v>
      </c>
      <c r="BT28" s="267">
        <v>0</v>
      </c>
      <c r="BU28" s="267">
        <v>0</v>
      </c>
      <c r="BV28" s="267">
        <v>0</v>
      </c>
      <c r="BW28" s="267">
        <v>0</v>
      </c>
      <c r="BX28" s="267">
        <v>0</v>
      </c>
      <c r="BY28" s="267">
        <v>0</v>
      </c>
      <c r="BZ28" s="267">
        <v>0</v>
      </c>
      <c r="CA28" s="267">
        <v>0</v>
      </c>
      <c r="CB28" s="267">
        <v>0</v>
      </c>
      <c r="CC28" s="267">
        <v>0</v>
      </c>
      <c r="CD28" s="267">
        <v>0</v>
      </c>
      <c r="CE28" s="267">
        <v>0</v>
      </c>
      <c r="CF28" s="267">
        <v>0</v>
      </c>
      <c r="CG28" s="267">
        <v>0</v>
      </c>
      <c r="CH28" s="267">
        <v>0</v>
      </c>
      <c r="CI28" s="267">
        <v>0</v>
      </c>
      <c r="CJ28" s="267">
        <v>0</v>
      </c>
      <c r="CK28" s="325"/>
    </row>
    <row r="29" spans="1:91" x14ac:dyDescent="0.3">
      <c r="A29" s="38"/>
      <c r="B29" s="41" t="s">
        <v>44</v>
      </c>
      <c r="C29" s="267">
        <v>0</v>
      </c>
      <c r="D29" s="267">
        <v>0</v>
      </c>
      <c r="E29" s="267">
        <v>0</v>
      </c>
      <c r="F29" s="267">
        <v>1299</v>
      </c>
      <c r="G29" s="267">
        <v>1249.0999999999999</v>
      </c>
      <c r="H29" s="267">
        <v>1199.2</v>
      </c>
      <c r="I29" s="267">
        <v>1207.2</v>
      </c>
      <c r="J29" s="267">
        <v>1156.9000000000001</v>
      </c>
      <c r="K29" s="267">
        <v>1104.4000000000001</v>
      </c>
      <c r="L29" s="267">
        <v>1051.9000000000001</v>
      </c>
      <c r="M29" s="267">
        <v>999.4</v>
      </c>
      <c r="N29" s="267">
        <v>950</v>
      </c>
      <c r="O29" s="267">
        <v>897.3</v>
      </c>
      <c r="P29" s="267">
        <v>844.6</v>
      </c>
      <c r="Q29" s="267">
        <v>791.9</v>
      </c>
      <c r="R29" s="267">
        <v>739.2</v>
      </c>
      <c r="S29" s="267">
        <v>686.5</v>
      </c>
      <c r="T29" s="267">
        <v>633.79999999999995</v>
      </c>
      <c r="U29" s="267">
        <v>581.20000000000005</v>
      </c>
      <c r="V29" s="267">
        <v>528.5</v>
      </c>
      <c r="W29" s="267">
        <v>475.6</v>
      </c>
      <c r="X29" s="267">
        <v>422.8</v>
      </c>
      <c r="Y29" s="267">
        <v>369.9</v>
      </c>
      <c r="Z29" s="267">
        <v>317.10000000000002</v>
      </c>
      <c r="AA29" s="267">
        <v>264.2</v>
      </c>
      <c r="AB29" s="267">
        <v>264.2</v>
      </c>
      <c r="AC29" s="267">
        <v>158.5</v>
      </c>
      <c r="AD29" s="267">
        <v>105.7</v>
      </c>
      <c r="AE29" s="267">
        <v>52.8</v>
      </c>
      <c r="AF29" s="267">
        <v>0</v>
      </c>
      <c r="AG29" s="267">
        <v>0</v>
      </c>
      <c r="AH29" s="267">
        <v>0</v>
      </c>
      <c r="AI29" s="267">
        <v>0</v>
      </c>
      <c r="AJ29" s="267">
        <v>0</v>
      </c>
      <c r="AK29" s="267">
        <v>0</v>
      </c>
      <c r="AL29" s="267">
        <v>0</v>
      </c>
      <c r="AM29" s="267">
        <v>0</v>
      </c>
      <c r="AN29" s="267">
        <v>0</v>
      </c>
      <c r="AO29" s="267">
        <v>0</v>
      </c>
      <c r="AP29" s="267">
        <v>0</v>
      </c>
      <c r="AQ29" s="267">
        <v>0</v>
      </c>
      <c r="AR29" s="267">
        <v>0</v>
      </c>
      <c r="AS29" s="267">
        <v>0</v>
      </c>
      <c r="AT29" s="267">
        <v>0</v>
      </c>
      <c r="AU29" s="267">
        <v>0</v>
      </c>
      <c r="AV29" s="267">
        <v>0</v>
      </c>
      <c r="AW29" s="267">
        <v>0</v>
      </c>
      <c r="AX29" s="267">
        <v>0</v>
      </c>
      <c r="AY29" s="267">
        <v>0</v>
      </c>
      <c r="AZ29" s="267">
        <v>0</v>
      </c>
      <c r="BA29" s="267">
        <v>0</v>
      </c>
      <c r="BB29" s="267">
        <v>0</v>
      </c>
      <c r="BC29" s="267">
        <v>0</v>
      </c>
      <c r="BD29" s="267">
        <v>0</v>
      </c>
      <c r="BE29" s="267">
        <v>0</v>
      </c>
      <c r="BF29" s="267">
        <v>0</v>
      </c>
      <c r="BG29" s="267">
        <v>0</v>
      </c>
      <c r="BH29" s="267">
        <v>0</v>
      </c>
      <c r="BI29" s="267">
        <v>0</v>
      </c>
      <c r="BJ29" s="267">
        <v>0</v>
      </c>
      <c r="BK29" s="267">
        <v>0</v>
      </c>
      <c r="BL29" s="267">
        <v>0</v>
      </c>
      <c r="BM29" s="267">
        <v>0</v>
      </c>
      <c r="BN29" s="267">
        <v>0</v>
      </c>
      <c r="BO29" s="267">
        <v>0</v>
      </c>
      <c r="BP29" s="267">
        <v>0</v>
      </c>
      <c r="BQ29" s="267">
        <v>0</v>
      </c>
      <c r="BR29" s="267">
        <v>0</v>
      </c>
      <c r="BS29" s="267">
        <v>0</v>
      </c>
      <c r="BT29" s="267">
        <v>0</v>
      </c>
      <c r="BU29" s="267">
        <v>0</v>
      </c>
      <c r="BV29" s="267">
        <v>0</v>
      </c>
      <c r="BW29" s="267">
        <v>0</v>
      </c>
      <c r="BX29" s="267">
        <v>0</v>
      </c>
      <c r="BY29" s="267">
        <v>0</v>
      </c>
      <c r="BZ29" s="267">
        <v>0</v>
      </c>
      <c r="CA29" s="267">
        <v>0</v>
      </c>
      <c r="CB29" s="267">
        <v>0</v>
      </c>
      <c r="CC29" s="267">
        <v>0</v>
      </c>
      <c r="CD29" s="267">
        <v>0</v>
      </c>
      <c r="CE29" s="267">
        <v>0</v>
      </c>
      <c r="CF29" s="267">
        <v>0</v>
      </c>
      <c r="CG29" s="267">
        <v>0</v>
      </c>
      <c r="CH29" s="267">
        <v>0</v>
      </c>
      <c r="CI29" s="267">
        <v>0</v>
      </c>
      <c r="CJ29" s="267">
        <v>0</v>
      </c>
      <c r="CK29" s="325"/>
    </row>
    <row r="30" spans="1:91" x14ac:dyDescent="0.3">
      <c r="A30" s="38"/>
      <c r="B30" s="41" t="s">
        <v>394</v>
      </c>
      <c r="C30" s="267">
        <v>0</v>
      </c>
      <c r="D30" s="267">
        <v>0</v>
      </c>
      <c r="E30" s="267">
        <v>0</v>
      </c>
      <c r="F30" s="267">
        <v>0</v>
      </c>
      <c r="G30" s="267">
        <v>0</v>
      </c>
      <c r="H30" s="267">
        <v>0</v>
      </c>
      <c r="I30" s="267">
        <v>0</v>
      </c>
      <c r="J30" s="267">
        <v>0</v>
      </c>
      <c r="K30" s="267">
        <v>0</v>
      </c>
      <c r="L30" s="267">
        <v>0</v>
      </c>
      <c r="M30" s="267">
        <v>0</v>
      </c>
      <c r="N30" s="267">
        <v>0</v>
      </c>
      <c r="O30" s="267">
        <v>0</v>
      </c>
      <c r="P30" s="267">
        <v>0</v>
      </c>
      <c r="Q30" s="267">
        <v>0</v>
      </c>
      <c r="R30" s="267">
        <v>0</v>
      </c>
      <c r="S30" s="267">
        <v>0</v>
      </c>
      <c r="T30" s="267">
        <v>0</v>
      </c>
      <c r="U30" s="267">
        <v>0</v>
      </c>
      <c r="V30" s="267">
        <v>0</v>
      </c>
      <c r="W30" s="267">
        <v>0</v>
      </c>
      <c r="X30" s="267">
        <v>0</v>
      </c>
      <c r="Y30" s="267">
        <v>0</v>
      </c>
      <c r="Z30" s="267">
        <v>0</v>
      </c>
      <c r="AA30" s="267">
        <v>0</v>
      </c>
      <c r="AB30" s="267">
        <v>0</v>
      </c>
      <c r="AC30" s="267">
        <v>0</v>
      </c>
      <c r="AD30" s="267">
        <v>0</v>
      </c>
      <c r="AE30" s="267">
        <v>0</v>
      </c>
      <c r="AF30" s="267">
        <v>0</v>
      </c>
      <c r="AG30" s="267">
        <v>0</v>
      </c>
      <c r="AH30" s="267">
        <v>0</v>
      </c>
      <c r="AI30" s="267">
        <v>0</v>
      </c>
      <c r="AJ30" s="267">
        <v>0</v>
      </c>
      <c r="AK30" s="267">
        <v>0</v>
      </c>
      <c r="AL30" s="267">
        <v>0</v>
      </c>
      <c r="AM30" s="267">
        <v>0</v>
      </c>
      <c r="AN30" s="267">
        <v>0</v>
      </c>
      <c r="AO30" s="267">
        <v>0</v>
      </c>
      <c r="AP30" s="267">
        <v>0</v>
      </c>
      <c r="AQ30" s="267">
        <v>0</v>
      </c>
      <c r="AR30" s="267">
        <v>0</v>
      </c>
      <c r="AS30" s="267">
        <v>0</v>
      </c>
      <c r="AT30" s="267">
        <v>0</v>
      </c>
      <c r="AU30" s="267">
        <v>0</v>
      </c>
      <c r="AV30" s="267">
        <v>0</v>
      </c>
      <c r="AW30" s="267">
        <v>0</v>
      </c>
      <c r="AX30" s="267">
        <v>0</v>
      </c>
      <c r="AY30" s="267">
        <v>0</v>
      </c>
      <c r="AZ30" s="267">
        <v>0</v>
      </c>
      <c r="BA30" s="267">
        <v>0</v>
      </c>
      <c r="BB30" s="267">
        <v>0</v>
      </c>
      <c r="BC30" s="267">
        <v>0</v>
      </c>
      <c r="BD30" s="267">
        <v>0</v>
      </c>
      <c r="BE30" s="267">
        <v>0</v>
      </c>
      <c r="BF30" s="267">
        <v>0</v>
      </c>
      <c r="BG30" s="267">
        <v>0</v>
      </c>
      <c r="BH30" s="267">
        <v>0</v>
      </c>
      <c r="BI30" s="267">
        <v>0</v>
      </c>
      <c r="BJ30" s="267">
        <v>0</v>
      </c>
      <c r="BK30" s="267">
        <v>0</v>
      </c>
      <c r="BL30" s="267">
        <v>0</v>
      </c>
      <c r="BM30" s="267">
        <v>0</v>
      </c>
      <c r="BN30" s="267">
        <v>0</v>
      </c>
      <c r="BO30" s="267">
        <v>0</v>
      </c>
      <c r="BP30" s="267">
        <v>0</v>
      </c>
      <c r="BQ30" s="267">
        <v>0</v>
      </c>
      <c r="BR30" s="267">
        <v>0</v>
      </c>
      <c r="BS30" s="267">
        <v>0</v>
      </c>
      <c r="BT30" s="267">
        <v>1775.1</v>
      </c>
      <c r="BU30" s="267">
        <v>3858.8</v>
      </c>
      <c r="BV30" s="267">
        <v>5180.3</v>
      </c>
      <c r="BW30" s="267">
        <v>23161.200000000001</v>
      </c>
      <c r="BX30" s="267">
        <v>23698.7</v>
      </c>
      <c r="BY30" s="267">
        <v>24190.6</v>
      </c>
      <c r="BZ30" s="267">
        <v>24284.7</v>
      </c>
      <c r="CA30" s="267">
        <v>30650.9</v>
      </c>
      <c r="CB30" s="267">
        <v>32029.9</v>
      </c>
      <c r="CC30" s="267">
        <v>37300.400000000001</v>
      </c>
      <c r="CD30" s="267">
        <v>50367.6</v>
      </c>
      <c r="CE30" s="267">
        <v>51863.3</v>
      </c>
      <c r="CF30" s="267">
        <v>41756.9</v>
      </c>
      <c r="CG30" s="267">
        <v>48106.5</v>
      </c>
      <c r="CH30" s="267">
        <v>38241.599999999999</v>
      </c>
      <c r="CI30" s="267">
        <v>35871.1</v>
      </c>
      <c r="CJ30" s="267">
        <v>41524.400000000001</v>
      </c>
      <c r="CK30" s="325"/>
    </row>
    <row r="31" spans="1:91" x14ac:dyDescent="0.3">
      <c r="A31" s="38"/>
      <c r="B31" s="39"/>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324"/>
    </row>
    <row r="32" spans="1:91" x14ac:dyDescent="0.3">
      <c r="A32" s="38"/>
      <c r="B32" s="39" t="s">
        <v>9</v>
      </c>
      <c r="C32" s="40">
        <f>+SUM(C33:C37)+C40</f>
        <v>20654.400000000001</v>
      </c>
      <c r="D32" s="40">
        <f t="shared" ref="D32:U32" si="34">+SUM(D33:D37)+D40</f>
        <v>20882.100000000002</v>
      </c>
      <c r="E32" s="40">
        <f t="shared" si="34"/>
        <v>20962.900000000001</v>
      </c>
      <c r="F32" s="40">
        <f t="shared" si="34"/>
        <v>21695.399999999998</v>
      </c>
      <c r="G32" s="40">
        <f t="shared" si="34"/>
        <v>22148.199999999997</v>
      </c>
      <c r="H32" s="40">
        <f t="shared" si="34"/>
        <v>24699.5</v>
      </c>
      <c r="I32" s="40">
        <f t="shared" si="34"/>
        <v>25836.299999999996</v>
      </c>
      <c r="J32" s="40">
        <f t="shared" si="34"/>
        <v>19658</v>
      </c>
      <c r="K32" s="40">
        <f t="shared" si="34"/>
        <v>20787.999999999996</v>
      </c>
      <c r="L32" s="40">
        <f t="shared" si="34"/>
        <v>21020.300000000003</v>
      </c>
      <c r="M32" s="40">
        <f t="shared" si="34"/>
        <v>21914.199999999997</v>
      </c>
      <c r="N32" s="40">
        <f t="shared" si="34"/>
        <v>22762.400000000001</v>
      </c>
      <c r="O32" s="40">
        <f t="shared" si="34"/>
        <v>23486</v>
      </c>
      <c r="P32" s="40">
        <f t="shared" si="34"/>
        <v>23583.800000000003</v>
      </c>
      <c r="Q32" s="40">
        <f t="shared" si="34"/>
        <v>28420.7</v>
      </c>
      <c r="R32" s="40">
        <f t="shared" si="34"/>
        <v>24306.100000000002</v>
      </c>
      <c r="S32" s="40">
        <f t="shared" si="34"/>
        <v>26717.300000000003</v>
      </c>
      <c r="T32" s="40">
        <f t="shared" si="34"/>
        <v>26697.100000000002</v>
      </c>
      <c r="U32" s="40">
        <f t="shared" si="34"/>
        <v>30553.199999999997</v>
      </c>
      <c r="V32" s="40">
        <f t="shared" ref="V32" si="35">+SUM(V33:V37)+V40</f>
        <v>30842.5</v>
      </c>
      <c r="W32" s="40">
        <f t="shared" ref="W32:AA32" si="36">+SUM(W33:W37)+W40</f>
        <v>31702.700000000004</v>
      </c>
      <c r="X32" s="40">
        <f t="shared" si="36"/>
        <v>31688.899999999998</v>
      </c>
      <c r="Y32" s="40">
        <f t="shared" si="36"/>
        <v>32400.6</v>
      </c>
      <c r="Z32" s="40">
        <f t="shared" si="36"/>
        <v>34189.500000000007</v>
      </c>
      <c r="AA32" s="40">
        <f t="shared" si="36"/>
        <v>34901.899999999994</v>
      </c>
      <c r="AB32" s="40">
        <f t="shared" ref="AB32:AT32" si="37">+SUM(AB33:AB37)+AB40</f>
        <v>36462.9</v>
      </c>
      <c r="AC32" s="40">
        <f t="shared" si="37"/>
        <v>37385.300000000003</v>
      </c>
      <c r="AD32" s="40">
        <f t="shared" si="37"/>
        <v>40176.5</v>
      </c>
      <c r="AE32" s="40">
        <f t="shared" si="37"/>
        <v>42038.8</v>
      </c>
      <c r="AF32" s="40">
        <f t="shared" si="37"/>
        <v>43190.8</v>
      </c>
      <c r="AG32" s="40">
        <f t="shared" si="37"/>
        <v>42606.799999999996</v>
      </c>
      <c r="AH32" s="40">
        <f t="shared" si="37"/>
        <v>41824.399999999994</v>
      </c>
      <c r="AI32" s="40">
        <f t="shared" si="37"/>
        <v>43364</v>
      </c>
      <c r="AJ32" s="40">
        <f t="shared" si="37"/>
        <v>44816.800000000003</v>
      </c>
      <c r="AK32" s="40">
        <f t="shared" si="37"/>
        <v>46558.600000000006</v>
      </c>
      <c r="AL32" s="40">
        <f t="shared" si="37"/>
        <v>47436.6</v>
      </c>
      <c r="AM32" s="40">
        <f t="shared" si="37"/>
        <v>48285.9</v>
      </c>
      <c r="AN32" s="40">
        <f t="shared" si="37"/>
        <v>49743.5</v>
      </c>
      <c r="AO32" s="40">
        <f t="shared" si="37"/>
        <v>49636.5</v>
      </c>
      <c r="AP32" s="40">
        <f t="shared" si="37"/>
        <v>52631.799999999996</v>
      </c>
      <c r="AQ32" s="40">
        <f t="shared" si="37"/>
        <v>54248.900000000009</v>
      </c>
      <c r="AR32" s="40">
        <f t="shared" si="37"/>
        <v>54891.4</v>
      </c>
      <c r="AS32" s="40">
        <f t="shared" si="37"/>
        <v>55140.800000000003</v>
      </c>
      <c r="AT32" s="40">
        <f t="shared" si="37"/>
        <v>49245.5</v>
      </c>
      <c r="AU32" s="40">
        <f t="shared" ref="AU32" si="38">+SUM(AU33:AU37)+AU40</f>
        <v>48796.100000000006</v>
      </c>
      <c r="AV32" s="40">
        <f t="shared" ref="AV32:BA32" si="39">+SUM(AV33:AV37)+AV40</f>
        <v>49920.799999999996</v>
      </c>
      <c r="AW32" s="40">
        <f t="shared" si="39"/>
        <v>48505.200000000012</v>
      </c>
      <c r="AX32" s="40">
        <f t="shared" si="39"/>
        <v>48397.1</v>
      </c>
      <c r="AY32" s="40">
        <f t="shared" si="39"/>
        <v>42363.200000000004</v>
      </c>
      <c r="AZ32" s="40">
        <f t="shared" si="39"/>
        <v>42255.4</v>
      </c>
      <c r="BA32" s="40">
        <f t="shared" si="39"/>
        <v>60223.9</v>
      </c>
      <c r="BB32" s="40">
        <f t="shared" ref="BB32:BI32" si="40">+SUM(BB33:BB37)+BB40</f>
        <v>60597.1</v>
      </c>
      <c r="BC32" s="40">
        <f t="shared" si="40"/>
        <v>64183.7</v>
      </c>
      <c r="BD32" s="40">
        <f t="shared" si="40"/>
        <v>67281.600000000006</v>
      </c>
      <c r="BE32" s="40">
        <f t="shared" si="40"/>
        <v>68855.700000000012</v>
      </c>
      <c r="BF32" s="40">
        <f t="shared" si="40"/>
        <v>57831.799999999996</v>
      </c>
      <c r="BG32" s="40">
        <f t="shared" si="40"/>
        <v>64319.200000000004</v>
      </c>
      <c r="BH32" s="40">
        <f t="shared" si="40"/>
        <v>76011.5</v>
      </c>
      <c r="BI32" s="40">
        <f t="shared" si="40"/>
        <v>84958.400000000009</v>
      </c>
      <c r="BJ32" s="40">
        <f t="shared" ref="BJ32:BO32" si="41">+SUM(BJ33:BJ37)+BJ40</f>
        <v>42206.2</v>
      </c>
      <c r="BK32" s="40">
        <f t="shared" si="41"/>
        <v>50082.000000000007</v>
      </c>
      <c r="BL32" s="40">
        <f t="shared" si="41"/>
        <v>70197.700000000012</v>
      </c>
      <c r="BM32" s="40">
        <f t="shared" si="41"/>
        <v>112474.4</v>
      </c>
      <c r="BN32" s="40">
        <f t="shared" si="41"/>
        <v>124747.90000000001</v>
      </c>
      <c r="BO32" s="40">
        <f t="shared" si="41"/>
        <v>135417.4</v>
      </c>
      <c r="BP32" s="40">
        <f t="shared" ref="BP32:CJ32" si="42">+SUM(BP33:BP37)+BP40</f>
        <v>141755.69999999998</v>
      </c>
      <c r="BQ32" s="40">
        <f t="shared" ref="BQ32:CI32" si="43">+SUM(BQ33:BQ37)+BQ40</f>
        <v>121217.3</v>
      </c>
      <c r="BR32" s="40">
        <f t="shared" si="43"/>
        <v>123632.9</v>
      </c>
      <c r="BS32" s="40">
        <f t="shared" si="43"/>
        <v>127213.6</v>
      </c>
      <c r="BT32" s="40">
        <f t="shared" si="43"/>
        <v>128258.4</v>
      </c>
      <c r="BU32" s="40">
        <f t="shared" si="43"/>
        <v>130856.7</v>
      </c>
      <c r="BV32" s="40">
        <f t="shared" si="43"/>
        <v>131018.90000000001</v>
      </c>
      <c r="BW32" s="40">
        <f t="shared" si="43"/>
        <v>127539.2</v>
      </c>
      <c r="BX32" s="40">
        <f t="shared" si="43"/>
        <v>123252.9</v>
      </c>
      <c r="BY32" s="40">
        <f t="shared" si="43"/>
        <v>125391.2</v>
      </c>
      <c r="BZ32" s="40">
        <f t="shared" si="43"/>
        <v>117193.2</v>
      </c>
      <c r="CA32" s="40">
        <f t="shared" si="43"/>
        <v>111783.30000000002</v>
      </c>
      <c r="CB32" s="40">
        <f t="shared" si="43"/>
        <v>112573.5</v>
      </c>
      <c r="CC32" s="40">
        <f t="shared" si="43"/>
        <v>101249.1</v>
      </c>
      <c r="CD32" s="40">
        <f t="shared" si="43"/>
        <v>104447.40000000001</v>
      </c>
      <c r="CE32" s="40">
        <f t="shared" si="43"/>
        <v>103178.6</v>
      </c>
      <c r="CF32" s="40">
        <f t="shared" si="43"/>
        <v>99702.3</v>
      </c>
      <c r="CG32" s="40">
        <f t="shared" si="43"/>
        <v>102094.7</v>
      </c>
      <c r="CH32" s="40">
        <f t="shared" si="43"/>
        <v>89799.9</v>
      </c>
      <c r="CI32" s="40">
        <f t="shared" si="43"/>
        <v>93749.999999999985</v>
      </c>
      <c r="CJ32" s="40">
        <f t="shared" si="42"/>
        <v>101131.9</v>
      </c>
      <c r="CK32" s="324">
        <f>+CJ32/$CJ$10</f>
        <v>0.21420137092232361</v>
      </c>
    </row>
    <row r="33" spans="1:89" x14ac:dyDescent="0.3">
      <c r="A33" s="38"/>
      <c r="B33" s="41" t="s">
        <v>340</v>
      </c>
      <c r="C33" s="267">
        <v>286</v>
      </c>
      <c r="D33" s="267">
        <v>274.2</v>
      </c>
      <c r="E33" s="267">
        <v>251.2</v>
      </c>
      <c r="F33" s="267">
        <v>253.6</v>
      </c>
      <c r="G33" s="267">
        <v>254.5</v>
      </c>
      <c r="H33" s="267">
        <v>272.89999999999998</v>
      </c>
      <c r="I33" s="267">
        <v>267.10000000000002</v>
      </c>
      <c r="J33" s="267">
        <v>199.6</v>
      </c>
      <c r="K33" s="267">
        <v>207.3</v>
      </c>
      <c r="L33" s="267">
        <v>206</v>
      </c>
      <c r="M33" s="267">
        <v>210.8</v>
      </c>
      <c r="N33" s="267">
        <v>214.7</v>
      </c>
      <c r="O33" s="267">
        <v>217.3</v>
      </c>
      <c r="P33" s="267">
        <v>212.6</v>
      </c>
      <c r="Q33" s="267">
        <v>205.4</v>
      </c>
      <c r="R33" s="267">
        <v>199.1</v>
      </c>
      <c r="S33" s="267">
        <v>194.7</v>
      </c>
      <c r="T33" s="267">
        <v>188.1</v>
      </c>
      <c r="U33" s="267">
        <v>182.6</v>
      </c>
      <c r="V33" s="267">
        <v>177.6</v>
      </c>
      <c r="W33" s="267">
        <v>172.7</v>
      </c>
      <c r="X33" s="267">
        <v>168.6</v>
      </c>
      <c r="Y33" s="267">
        <v>163.69999999999999</v>
      </c>
      <c r="Z33" s="267">
        <v>159.69999999999999</v>
      </c>
      <c r="AA33" s="267">
        <v>155.5</v>
      </c>
      <c r="AB33" s="267">
        <v>152.80000000000001</v>
      </c>
      <c r="AC33" s="267">
        <v>151</v>
      </c>
      <c r="AD33" s="267">
        <v>150.4</v>
      </c>
      <c r="AE33" s="267">
        <v>150.9</v>
      </c>
      <c r="AF33" s="267">
        <v>150.19999999999999</v>
      </c>
      <c r="AG33" s="267">
        <v>149.1</v>
      </c>
      <c r="AH33" s="267">
        <v>147.30000000000001</v>
      </c>
      <c r="AI33" s="267">
        <v>145</v>
      </c>
      <c r="AJ33" s="267">
        <v>143.1</v>
      </c>
      <c r="AK33" s="267">
        <v>141.30000000000001</v>
      </c>
      <c r="AL33" s="267">
        <v>138</v>
      </c>
      <c r="AM33" s="267">
        <v>134.19999999999999</v>
      </c>
      <c r="AN33" s="267">
        <v>130.9</v>
      </c>
      <c r="AO33" s="267">
        <v>127.2</v>
      </c>
      <c r="AP33" s="267">
        <v>124</v>
      </c>
      <c r="AQ33" s="267">
        <v>121.3</v>
      </c>
      <c r="AR33" s="267">
        <v>117.3</v>
      </c>
      <c r="AS33" s="267">
        <v>112.4</v>
      </c>
      <c r="AT33" s="267">
        <v>107.5</v>
      </c>
      <c r="AU33" s="267">
        <v>102.9</v>
      </c>
      <c r="AV33" s="267">
        <v>97.5</v>
      </c>
      <c r="AW33" s="267">
        <v>91.5</v>
      </c>
      <c r="AX33" s="267">
        <v>85.8</v>
      </c>
      <c r="AY33" s="267">
        <v>79.900000000000006</v>
      </c>
      <c r="AZ33" s="267">
        <v>74.2</v>
      </c>
      <c r="BA33" s="267">
        <v>69.099999999999994</v>
      </c>
      <c r="BB33" s="267">
        <v>63.9</v>
      </c>
      <c r="BC33" s="267">
        <v>58.7</v>
      </c>
      <c r="BD33" s="267">
        <v>53.4</v>
      </c>
      <c r="BE33" s="267">
        <v>47.7</v>
      </c>
      <c r="BF33" s="267">
        <v>35.1</v>
      </c>
      <c r="BG33" s="267">
        <v>33.200000000000003</v>
      </c>
      <c r="BH33" s="267">
        <v>31.7</v>
      </c>
      <c r="BI33" s="267">
        <v>27.7</v>
      </c>
      <c r="BJ33" s="267">
        <v>10.6</v>
      </c>
      <c r="BK33" s="267">
        <v>8.8000000000000007</v>
      </c>
      <c r="BL33" s="267">
        <v>6.3</v>
      </c>
      <c r="BM33" s="267">
        <v>0</v>
      </c>
      <c r="BN33" s="267">
        <v>0</v>
      </c>
      <c r="BO33" s="267">
        <v>0</v>
      </c>
      <c r="BP33" s="267">
        <v>0</v>
      </c>
      <c r="BQ33" s="267">
        <v>0</v>
      </c>
      <c r="BR33" s="267">
        <v>0</v>
      </c>
      <c r="BS33" s="267">
        <v>0</v>
      </c>
      <c r="BT33" s="267">
        <v>0</v>
      </c>
      <c r="BU33" s="267">
        <v>0</v>
      </c>
      <c r="BV33" s="267">
        <v>0</v>
      </c>
      <c r="BW33" s="267">
        <v>0</v>
      </c>
      <c r="BX33" s="267">
        <v>0</v>
      </c>
      <c r="BY33" s="267">
        <v>0</v>
      </c>
      <c r="BZ33" s="267">
        <v>0</v>
      </c>
      <c r="CA33" s="267">
        <v>0</v>
      </c>
      <c r="CB33" s="267">
        <v>0</v>
      </c>
      <c r="CC33" s="267">
        <v>0</v>
      </c>
      <c r="CD33" s="267">
        <v>0</v>
      </c>
      <c r="CE33" s="267">
        <v>0</v>
      </c>
      <c r="CF33" s="267">
        <v>0</v>
      </c>
      <c r="CG33" s="267">
        <v>0</v>
      </c>
      <c r="CH33" s="267">
        <v>0</v>
      </c>
      <c r="CI33" s="267">
        <v>0</v>
      </c>
      <c r="CJ33" s="267">
        <v>0</v>
      </c>
      <c r="CK33" s="325"/>
    </row>
    <row r="34" spans="1:89" x14ac:dyDescent="0.3">
      <c r="A34" s="38"/>
      <c r="B34" s="41" t="s">
        <v>10</v>
      </c>
      <c r="C34" s="267">
        <v>8886</v>
      </c>
      <c r="D34" s="267">
        <v>9419.7000000000007</v>
      </c>
      <c r="E34" s="267">
        <v>10293.5</v>
      </c>
      <c r="F34" s="267">
        <v>10749.3</v>
      </c>
      <c r="G34" s="267">
        <v>10975.9</v>
      </c>
      <c r="H34" s="267">
        <v>12517.2</v>
      </c>
      <c r="I34" s="267">
        <v>12468.4</v>
      </c>
      <c r="J34" s="267">
        <v>9485.1</v>
      </c>
      <c r="K34" s="267">
        <v>10032.9</v>
      </c>
      <c r="L34" s="267">
        <v>10156.200000000001</v>
      </c>
      <c r="M34" s="267">
        <v>10588.6</v>
      </c>
      <c r="N34" s="267">
        <v>10992.4</v>
      </c>
      <c r="O34" s="267">
        <v>11348.4</v>
      </c>
      <c r="P34" s="267">
        <v>11449.1</v>
      </c>
      <c r="Q34" s="267">
        <v>17587.400000000001</v>
      </c>
      <c r="R34" s="267">
        <v>13587</v>
      </c>
      <c r="S34" s="267">
        <v>16015.2</v>
      </c>
      <c r="T34" s="267">
        <v>16137.1</v>
      </c>
      <c r="U34" s="267">
        <v>20075.099999999999</v>
      </c>
      <c r="V34" s="267">
        <v>20422.099999999999</v>
      </c>
      <c r="W34" s="267">
        <v>21330</v>
      </c>
      <c r="X34" s="267">
        <v>21323.5</v>
      </c>
      <c r="Y34" s="267">
        <v>22092.799999999999</v>
      </c>
      <c r="Z34" s="267">
        <v>23881</v>
      </c>
      <c r="AA34" s="267">
        <v>24610.799999999999</v>
      </c>
      <c r="AB34" s="267">
        <v>26086.3</v>
      </c>
      <c r="AC34" s="267">
        <v>26850.799999999999</v>
      </c>
      <c r="AD34" s="267">
        <v>29394.2</v>
      </c>
      <c r="AE34" s="267">
        <v>30908.400000000001</v>
      </c>
      <c r="AF34" s="267">
        <v>31786.2</v>
      </c>
      <c r="AG34" s="267">
        <v>30946.799999999999</v>
      </c>
      <c r="AH34" s="267">
        <v>29939.3</v>
      </c>
      <c r="AI34" s="267">
        <v>31284.2</v>
      </c>
      <c r="AJ34" s="267">
        <v>32495.9</v>
      </c>
      <c r="AK34" s="267">
        <v>33970.400000000001</v>
      </c>
      <c r="AL34" s="267">
        <v>34701.199999999997</v>
      </c>
      <c r="AM34" s="267">
        <v>35435.5</v>
      </c>
      <c r="AN34" s="267">
        <v>36730.300000000003</v>
      </c>
      <c r="AO34" s="267">
        <v>36474</v>
      </c>
      <c r="AP34" s="267">
        <v>39257.599999999999</v>
      </c>
      <c r="AQ34" s="267">
        <v>40592.300000000003</v>
      </c>
      <c r="AR34" s="267">
        <v>41077.1</v>
      </c>
      <c r="AS34" s="267">
        <v>41267.800000000003</v>
      </c>
      <c r="AT34" s="267">
        <v>35289.800000000003</v>
      </c>
      <c r="AU34" s="267">
        <v>34730.800000000003</v>
      </c>
      <c r="AV34" s="267">
        <v>35834.699999999997</v>
      </c>
      <c r="AW34" s="267">
        <v>34484.9</v>
      </c>
      <c r="AX34" s="267">
        <v>34412</v>
      </c>
      <c r="AY34" s="267">
        <v>28449.8</v>
      </c>
      <c r="AZ34" s="267">
        <v>28381</v>
      </c>
      <c r="BA34" s="267">
        <v>46273</v>
      </c>
      <c r="BB34" s="267">
        <v>46581.5</v>
      </c>
      <c r="BC34" s="267">
        <v>50087</v>
      </c>
      <c r="BD34" s="267">
        <v>53097.2</v>
      </c>
      <c r="BE34" s="267">
        <v>54710.6</v>
      </c>
      <c r="BF34" s="267">
        <v>46026.8</v>
      </c>
      <c r="BG34" s="267">
        <v>51432.800000000003</v>
      </c>
      <c r="BH34" s="267">
        <v>61484</v>
      </c>
      <c r="BI34" s="267">
        <v>69412.600000000006</v>
      </c>
      <c r="BJ34" s="267">
        <v>35775.199999999997</v>
      </c>
      <c r="BK34" s="267">
        <v>42585.8</v>
      </c>
      <c r="BL34" s="267">
        <v>61217.2</v>
      </c>
      <c r="BM34" s="267">
        <v>102120.4</v>
      </c>
      <c r="BN34" s="267">
        <v>113420.1</v>
      </c>
      <c r="BO34" s="267">
        <v>123209.4</v>
      </c>
      <c r="BP34" s="267">
        <v>129009.8</v>
      </c>
      <c r="BQ34" s="267">
        <v>108288.4</v>
      </c>
      <c r="BR34" s="267">
        <v>110433.60000000001</v>
      </c>
      <c r="BS34" s="267">
        <v>113737.60000000001</v>
      </c>
      <c r="BT34" s="267">
        <v>114536.2</v>
      </c>
      <c r="BU34" s="267">
        <v>117010.7</v>
      </c>
      <c r="BV34" s="267">
        <v>117099.7</v>
      </c>
      <c r="BW34" s="267">
        <v>113643.8</v>
      </c>
      <c r="BX34" s="267">
        <v>109179.8</v>
      </c>
      <c r="BY34" s="267">
        <v>111105</v>
      </c>
      <c r="BZ34" s="267">
        <v>103709.3</v>
      </c>
      <c r="CA34" s="267">
        <v>98127</v>
      </c>
      <c r="CB34" s="267">
        <v>98710.8</v>
      </c>
      <c r="CC34" s="267">
        <v>88811.1</v>
      </c>
      <c r="CD34" s="267">
        <v>91523.5</v>
      </c>
      <c r="CE34" s="267">
        <v>90425</v>
      </c>
      <c r="CF34" s="267">
        <v>87378.3</v>
      </c>
      <c r="CG34" s="267">
        <v>89571.199999999997</v>
      </c>
      <c r="CH34" s="267">
        <v>77046.899999999994</v>
      </c>
      <c r="CI34" s="267">
        <v>80642.899999999994</v>
      </c>
      <c r="CJ34" s="267">
        <v>87301.2</v>
      </c>
      <c r="CK34" s="325"/>
    </row>
    <row r="35" spans="1:89" x14ac:dyDescent="0.3">
      <c r="A35" s="38"/>
      <c r="B35" s="41" t="s">
        <v>8</v>
      </c>
      <c r="C35" s="267">
        <v>0</v>
      </c>
      <c r="D35" s="267">
        <v>0</v>
      </c>
      <c r="E35" s="267">
        <v>0</v>
      </c>
      <c r="F35" s="267">
        <v>0</v>
      </c>
      <c r="G35" s="267">
        <v>0</v>
      </c>
      <c r="H35" s="267">
        <v>0</v>
      </c>
      <c r="I35" s="267">
        <v>1238</v>
      </c>
      <c r="J35" s="267">
        <v>948.8</v>
      </c>
      <c r="K35" s="267">
        <v>1002.1</v>
      </c>
      <c r="L35" s="267">
        <v>995</v>
      </c>
      <c r="M35" s="267">
        <v>1040.3</v>
      </c>
      <c r="N35" s="267">
        <v>1096.7</v>
      </c>
      <c r="O35" s="267">
        <v>1122.9000000000001</v>
      </c>
      <c r="P35" s="267">
        <v>1147.0999999999999</v>
      </c>
      <c r="Q35" s="267">
        <v>0</v>
      </c>
      <c r="R35" s="267">
        <v>0</v>
      </c>
      <c r="S35" s="267">
        <v>0</v>
      </c>
      <c r="T35" s="267">
        <v>0</v>
      </c>
      <c r="U35" s="267">
        <v>0</v>
      </c>
      <c r="V35" s="267">
        <v>0</v>
      </c>
      <c r="W35" s="267">
        <v>0</v>
      </c>
      <c r="X35" s="267">
        <v>0</v>
      </c>
      <c r="Y35" s="267">
        <v>0</v>
      </c>
      <c r="Z35" s="267">
        <v>0</v>
      </c>
      <c r="AA35" s="267">
        <v>0</v>
      </c>
      <c r="AB35" s="267">
        <v>0</v>
      </c>
      <c r="AC35" s="267">
        <v>0</v>
      </c>
      <c r="AD35" s="267">
        <v>0</v>
      </c>
      <c r="AE35" s="267">
        <v>0</v>
      </c>
      <c r="AF35" s="267">
        <v>0</v>
      </c>
      <c r="AG35" s="267">
        <v>0</v>
      </c>
      <c r="AH35" s="267">
        <v>0</v>
      </c>
      <c r="AI35" s="267">
        <v>0</v>
      </c>
      <c r="AJ35" s="267">
        <v>0</v>
      </c>
      <c r="AK35" s="267">
        <v>0</v>
      </c>
      <c r="AL35" s="267">
        <v>0</v>
      </c>
      <c r="AM35" s="267">
        <v>0</v>
      </c>
      <c r="AN35" s="267">
        <v>0</v>
      </c>
      <c r="AO35" s="267">
        <v>0</v>
      </c>
      <c r="AP35" s="267">
        <v>0</v>
      </c>
      <c r="AQ35" s="267">
        <v>0</v>
      </c>
      <c r="AR35" s="267">
        <v>0</v>
      </c>
      <c r="AS35" s="267">
        <v>0</v>
      </c>
      <c r="AT35" s="267">
        <v>0</v>
      </c>
      <c r="AU35" s="267">
        <v>0</v>
      </c>
      <c r="AV35" s="267">
        <v>0</v>
      </c>
      <c r="AW35" s="267">
        <v>0</v>
      </c>
      <c r="AX35" s="267">
        <v>0</v>
      </c>
      <c r="AY35" s="267">
        <v>0</v>
      </c>
      <c r="AZ35" s="267">
        <v>0</v>
      </c>
      <c r="BA35" s="267">
        <v>0</v>
      </c>
      <c r="BB35" s="267">
        <v>0</v>
      </c>
      <c r="BC35" s="267">
        <v>0</v>
      </c>
      <c r="BD35" s="267">
        <v>0</v>
      </c>
      <c r="BE35" s="267">
        <v>0</v>
      </c>
      <c r="BF35" s="267">
        <v>0</v>
      </c>
      <c r="BG35" s="267">
        <v>0</v>
      </c>
      <c r="BH35" s="267">
        <v>0</v>
      </c>
      <c r="BI35" s="267">
        <v>0</v>
      </c>
      <c r="BJ35" s="267">
        <v>0</v>
      </c>
      <c r="BK35" s="267">
        <v>0</v>
      </c>
      <c r="BL35" s="267">
        <v>0</v>
      </c>
      <c r="BM35" s="267">
        <v>0</v>
      </c>
      <c r="BN35" s="267">
        <v>0</v>
      </c>
      <c r="BO35" s="267">
        <v>0</v>
      </c>
      <c r="BP35" s="267">
        <v>0</v>
      </c>
      <c r="BQ35" s="267">
        <v>0</v>
      </c>
      <c r="BR35" s="267">
        <v>0</v>
      </c>
      <c r="BS35" s="267">
        <v>0</v>
      </c>
      <c r="BT35" s="267">
        <v>0</v>
      </c>
      <c r="BU35" s="267">
        <v>0</v>
      </c>
      <c r="BV35" s="267">
        <v>0</v>
      </c>
      <c r="BW35" s="267">
        <v>0</v>
      </c>
      <c r="BX35" s="267">
        <v>0</v>
      </c>
      <c r="BY35" s="267">
        <v>0</v>
      </c>
      <c r="BZ35" s="267">
        <v>0</v>
      </c>
      <c r="CA35" s="267">
        <v>0</v>
      </c>
      <c r="CB35" s="267">
        <v>0</v>
      </c>
      <c r="CC35" s="267">
        <v>0</v>
      </c>
      <c r="CD35" s="267">
        <v>0</v>
      </c>
      <c r="CE35" s="267">
        <v>0</v>
      </c>
      <c r="CF35" s="267">
        <v>0</v>
      </c>
      <c r="CG35" s="267">
        <v>0</v>
      </c>
      <c r="CH35" s="267">
        <v>0</v>
      </c>
      <c r="CI35" s="267">
        <v>0</v>
      </c>
      <c r="CJ35" s="267">
        <v>0</v>
      </c>
      <c r="CK35" s="325"/>
    </row>
    <row r="36" spans="1:89" x14ac:dyDescent="0.3">
      <c r="A36" s="38"/>
      <c r="B36" s="41" t="s">
        <v>11</v>
      </c>
      <c r="C36" s="267">
        <v>7656.9</v>
      </c>
      <c r="D36" s="267">
        <v>7460.7</v>
      </c>
      <c r="E36" s="267">
        <v>6947.2</v>
      </c>
      <c r="F36" s="267">
        <v>7130.1</v>
      </c>
      <c r="G36" s="267">
        <v>7280.4</v>
      </c>
      <c r="H36" s="267">
        <v>7941.6</v>
      </c>
      <c r="I36" s="267">
        <v>7910.6</v>
      </c>
      <c r="J36" s="267">
        <v>6017.8</v>
      </c>
      <c r="K36" s="267">
        <v>6365.4</v>
      </c>
      <c r="L36" s="267">
        <v>6443.7</v>
      </c>
      <c r="M36" s="267">
        <v>6718</v>
      </c>
      <c r="N36" s="267">
        <v>6974.2</v>
      </c>
      <c r="O36" s="267">
        <v>7200</v>
      </c>
      <c r="P36" s="267">
        <v>7185.1</v>
      </c>
      <c r="Q36" s="267">
        <v>7087.1</v>
      </c>
      <c r="R36" s="267">
        <v>7015.1</v>
      </c>
      <c r="S36" s="267">
        <v>7006.7</v>
      </c>
      <c r="T36" s="267">
        <v>6916.3</v>
      </c>
      <c r="U36" s="267">
        <v>6865.4</v>
      </c>
      <c r="V36" s="267">
        <v>6830.2</v>
      </c>
      <c r="W36" s="267">
        <v>6801.7</v>
      </c>
      <c r="X36" s="267">
        <v>6799.6</v>
      </c>
      <c r="Y36" s="267">
        <v>6764.5</v>
      </c>
      <c r="Z36" s="267">
        <v>6767.6</v>
      </c>
      <c r="AA36" s="267">
        <v>6758.8</v>
      </c>
      <c r="AB36" s="267">
        <v>6817.6</v>
      </c>
      <c r="AC36" s="267">
        <v>6924.1</v>
      </c>
      <c r="AD36" s="267">
        <v>7089.7</v>
      </c>
      <c r="AE36" s="267">
        <v>7321.5</v>
      </c>
      <c r="AF36" s="267">
        <v>7504.8</v>
      </c>
      <c r="AG36" s="267">
        <v>7675.8</v>
      </c>
      <c r="AH36" s="267">
        <v>7827.2</v>
      </c>
      <c r="AI36" s="267">
        <v>7958.5</v>
      </c>
      <c r="AJ36" s="267">
        <v>8120.6</v>
      </c>
      <c r="AK36" s="267">
        <v>8300</v>
      </c>
      <c r="AL36" s="267">
        <v>8400.4</v>
      </c>
      <c r="AM36" s="267">
        <v>8479.6</v>
      </c>
      <c r="AN36" s="267">
        <v>8590.2999999999993</v>
      </c>
      <c r="AO36" s="267">
        <v>8692.4</v>
      </c>
      <c r="AP36" s="267">
        <v>8835.6</v>
      </c>
      <c r="AQ36" s="267">
        <v>9025.7999999999993</v>
      </c>
      <c r="AR36" s="267">
        <v>9133.6</v>
      </c>
      <c r="AS36" s="267">
        <v>9176</v>
      </c>
      <c r="AT36" s="267">
        <v>9234.5</v>
      </c>
      <c r="AU36" s="267">
        <v>9310.6</v>
      </c>
      <c r="AV36" s="267">
        <v>9328.1</v>
      </c>
      <c r="AW36" s="267">
        <v>9288.2000000000007</v>
      </c>
      <c r="AX36" s="267">
        <v>9268.5</v>
      </c>
      <c r="AY36" s="267">
        <v>9224.6</v>
      </c>
      <c r="AZ36" s="267">
        <v>9202.4</v>
      </c>
      <c r="BA36" s="267">
        <v>9256.9</v>
      </c>
      <c r="BB36" s="267">
        <v>9303.5</v>
      </c>
      <c r="BC36" s="267">
        <v>9361</v>
      </c>
      <c r="BD36" s="267">
        <v>9423</v>
      </c>
      <c r="BE36" s="267">
        <v>9400.7000000000007</v>
      </c>
      <c r="BF36" s="267">
        <v>7848.6</v>
      </c>
      <c r="BG36" s="267">
        <v>8570.9</v>
      </c>
      <c r="BH36" s="267">
        <v>9666.2999999999993</v>
      </c>
      <c r="BI36" s="267">
        <v>10348</v>
      </c>
      <c r="BJ36" s="267">
        <v>5109.6000000000004</v>
      </c>
      <c r="BK36" s="267">
        <v>5958.7</v>
      </c>
      <c r="BL36" s="267">
        <v>7142</v>
      </c>
      <c r="BM36" s="267">
        <v>8240.2000000000007</v>
      </c>
      <c r="BN36" s="267">
        <v>9015.1</v>
      </c>
      <c r="BO36" s="267">
        <v>9715.6</v>
      </c>
      <c r="BP36" s="267">
        <v>10143.700000000001</v>
      </c>
      <c r="BQ36" s="267">
        <v>10359.1</v>
      </c>
      <c r="BR36" s="267">
        <v>10575.7</v>
      </c>
      <c r="BS36" s="267">
        <v>10797.5</v>
      </c>
      <c r="BT36" s="267">
        <v>10994.7</v>
      </c>
      <c r="BU36" s="267">
        <v>11094</v>
      </c>
      <c r="BV36" s="267">
        <v>11152.6</v>
      </c>
      <c r="BW36" s="267">
        <v>11209.5</v>
      </c>
      <c r="BX36" s="267">
        <v>11353</v>
      </c>
      <c r="BY36" s="267">
        <v>11524.8</v>
      </c>
      <c r="BZ36" s="267">
        <v>10877.5</v>
      </c>
      <c r="CA36" s="267">
        <v>11016.6</v>
      </c>
      <c r="CB36" s="267">
        <v>11260</v>
      </c>
      <c r="CC36" s="267">
        <v>10102.799999999999</v>
      </c>
      <c r="CD36" s="267">
        <v>10497.5</v>
      </c>
      <c r="CE36" s="267">
        <v>10359.200000000001</v>
      </c>
      <c r="CF36" s="267">
        <v>10010.200000000001</v>
      </c>
      <c r="CG36" s="267">
        <v>10172.299999999999</v>
      </c>
      <c r="CH36" s="267">
        <v>10358.700000000001</v>
      </c>
      <c r="CI36" s="267">
        <v>10720</v>
      </c>
      <c r="CJ36" s="267">
        <v>11311.8</v>
      </c>
      <c r="CK36" s="325"/>
    </row>
    <row r="37" spans="1:89" x14ac:dyDescent="0.3">
      <c r="A37" s="38"/>
      <c r="B37" s="41" t="s">
        <v>12</v>
      </c>
      <c r="C37" s="267">
        <f>+C38+C39</f>
        <v>3157.5</v>
      </c>
      <c r="D37" s="267">
        <f t="shared" ref="D37:H37" si="44">+D38+D39</f>
        <v>3076.6</v>
      </c>
      <c r="E37" s="267">
        <f t="shared" si="44"/>
        <v>2864.9</v>
      </c>
      <c r="F37" s="267">
        <f t="shared" si="44"/>
        <v>2940.3</v>
      </c>
      <c r="G37" s="267">
        <f t="shared" si="44"/>
        <v>3002.2999999999997</v>
      </c>
      <c r="H37" s="267">
        <f t="shared" si="44"/>
        <v>3275</v>
      </c>
      <c r="I37" s="267">
        <f t="shared" ref="I37" si="45">+I38+I39</f>
        <v>3262.1</v>
      </c>
      <c r="J37" s="267">
        <v>2481.6999999999998</v>
      </c>
      <c r="K37" s="267">
        <f t="shared" ref="K37" si="46">+K38+K39</f>
        <v>2625</v>
      </c>
      <c r="L37" s="267">
        <v>2657.2</v>
      </c>
      <c r="M37" s="267">
        <v>2770.4</v>
      </c>
      <c r="N37" s="267">
        <v>2876</v>
      </c>
      <c r="O37" s="267">
        <v>2969.2</v>
      </c>
      <c r="P37" s="267">
        <v>2963</v>
      </c>
      <c r="Q37" s="267">
        <f t="shared" ref="Q37" si="47">+Q38+Q39</f>
        <v>2922.6</v>
      </c>
      <c r="R37" s="267">
        <f t="shared" ref="R37:U37" si="48">+R38+R39</f>
        <v>2892.9</v>
      </c>
      <c r="S37" s="267">
        <f t="shared" si="48"/>
        <v>2889.4</v>
      </c>
      <c r="T37" s="267">
        <f t="shared" si="48"/>
        <v>2852.2000000000003</v>
      </c>
      <c r="U37" s="267">
        <f t="shared" si="48"/>
        <v>2831.1</v>
      </c>
      <c r="V37" s="267">
        <f t="shared" ref="V37" si="49">+V38+V39</f>
        <v>2816.7</v>
      </c>
      <c r="W37" s="267">
        <f t="shared" ref="W37:AD37" si="50">+W38+W39</f>
        <v>2804.9</v>
      </c>
      <c r="X37" s="267">
        <f t="shared" si="50"/>
        <v>2804</v>
      </c>
      <c r="Y37" s="267">
        <f t="shared" si="50"/>
        <v>2789.5</v>
      </c>
      <c r="Z37" s="267">
        <f t="shared" si="50"/>
        <v>2790.7999999999997</v>
      </c>
      <c r="AA37" s="267">
        <f t="shared" si="50"/>
        <v>2787.2</v>
      </c>
      <c r="AB37" s="267">
        <f t="shared" si="50"/>
        <v>2811.4</v>
      </c>
      <c r="AC37" s="267">
        <f t="shared" si="50"/>
        <v>2855.3</v>
      </c>
      <c r="AD37" s="267">
        <f t="shared" si="50"/>
        <v>2923.6</v>
      </c>
      <c r="AE37" s="267">
        <f t="shared" ref="AE37:AJ37" si="51">+AE38+AE39</f>
        <v>3019.3</v>
      </c>
      <c r="AF37" s="267">
        <f t="shared" si="51"/>
        <v>3094.9</v>
      </c>
      <c r="AG37" s="267">
        <f t="shared" si="51"/>
        <v>3165.4</v>
      </c>
      <c r="AH37" s="267">
        <f t="shared" si="51"/>
        <v>3227.7000000000003</v>
      </c>
      <c r="AI37" s="267">
        <f t="shared" si="51"/>
        <v>3281.9</v>
      </c>
      <c r="AJ37" s="267">
        <f t="shared" si="51"/>
        <v>3348.8</v>
      </c>
      <c r="AK37" s="267">
        <f t="shared" ref="AK37:AT37" si="52">+AK38+AK39</f>
        <v>3422.7999999999997</v>
      </c>
      <c r="AL37" s="267">
        <f t="shared" si="52"/>
        <v>3464.1</v>
      </c>
      <c r="AM37" s="267">
        <f t="shared" si="52"/>
        <v>3496.8</v>
      </c>
      <c r="AN37" s="267">
        <f t="shared" si="52"/>
        <v>3542.5</v>
      </c>
      <c r="AO37" s="267">
        <f t="shared" si="52"/>
        <v>3584.6</v>
      </c>
      <c r="AP37" s="267">
        <f t="shared" si="52"/>
        <v>3643.7000000000003</v>
      </c>
      <c r="AQ37" s="267">
        <f t="shared" si="52"/>
        <v>3722.1</v>
      </c>
      <c r="AR37" s="267">
        <f t="shared" si="52"/>
        <v>3766.5</v>
      </c>
      <c r="AS37" s="267">
        <f t="shared" si="52"/>
        <v>3784</v>
      </c>
      <c r="AT37" s="267">
        <f t="shared" si="52"/>
        <v>3808.1</v>
      </c>
      <c r="AU37" s="267">
        <f t="shared" ref="AU37" si="53">+AU38+AU39</f>
        <v>3839.5</v>
      </c>
      <c r="AV37" s="267">
        <f t="shared" ref="AV37:BA37" si="54">+AV38+AV39</f>
        <v>3846.7</v>
      </c>
      <c r="AW37" s="267">
        <f t="shared" si="54"/>
        <v>3830.3</v>
      </c>
      <c r="AX37" s="267">
        <f t="shared" si="54"/>
        <v>3822.2000000000003</v>
      </c>
      <c r="AY37" s="267">
        <f t="shared" si="54"/>
        <v>3804.1</v>
      </c>
      <c r="AZ37" s="267">
        <f t="shared" si="54"/>
        <v>3794.9</v>
      </c>
      <c r="BA37" s="267">
        <f t="shared" si="54"/>
        <v>3817.3</v>
      </c>
      <c r="BB37" s="267">
        <f t="shared" ref="BB37:BD37" si="55">+BB38+BB39</f>
        <v>3836.6</v>
      </c>
      <c r="BC37" s="267">
        <f t="shared" si="55"/>
        <v>3860.4</v>
      </c>
      <c r="BD37" s="267">
        <f t="shared" si="55"/>
        <v>3885.8999999999996</v>
      </c>
      <c r="BE37" s="267">
        <f>+BE38+BE39</f>
        <v>3876.6</v>
      </c>
      <c r="BF37" s="267">
        <f>+BF38+BF39</f>
        <v>3236.6</v>
      </c>
      <c r="BG37" s="267">
        <f>+BG38+BG39</f>
        <v>3534.5</v>
      </c>
      <c r="BH37" s="267">
        <f>+BH38+BH39</f>
        <v>3986.2000000000003</v>
      </c>
      <c r="BI37" s="267">
        <f>+BI38+BI39</f>
        <v>4267.3</v>
      </c>
      <c r="BJ37" s="267">
        <f t="shared" ref="BJ37" si="56">+BJ38+BJ39</f>
        <v>865</v>
      </c>
      <c r="BK37" s="267">
        <f t="shared" ref="BK37:BO37" si="57">+BK38+BK39</f>
        <v>1008.8000000000001</v>
      </c>
      <c r="BL37" s="267">
        <f t="shared" si="57"/>
        <v>1209.0999999999999</v>
      </c>
      <c r="BM37" s="267">
        <f t="shared" si="57"/>
        <v>1395</v>
      </c>
      <c r="BN37" s="267">
        <f t="shared" si="57"/>
        <v>1526.2</v>
      </c>
      <c r="BO37" s="267">
        <f t="shared" si="57"/>
        <v>1644.8</v>
      </c>
      <c r="BP37" s="267">
        <f t="shared" ref="BP37:CJ37" si="58">+BP38+BP39</f>
        <v>1717.3</v>
      </c>
      <c r="BQ37" s="267">
        <f t="shared" ref="BQ37:CI37" si="59">+BQ38+BQ39</f>
        <v>1666</v>
      </c>
      <c r="BR37" s="267">
        <f t="shared" si="59"/>
        <v>1700.9</v>
      </c>
      <c r="BS37" s="267">
        <f t="shared" si="59"/>
        <v>1736.5</v>
      </c>
      <c r="BT37" s="267">
        <f t="shared" si="59"/>
        <v>1768.3</v>
      </c>
      <c r="BU37" s="267">
        <f t="shared" si="59"/>
        <v>1784.1999999999998</v>
      </c>
      <c r="BV37" s="267">
        <f t="shared" si="59"/>
        <v>1793.6000000000001</v>
      </c>
      <c r="BW37" s="267">
        <f t="shared" si="59"/>
        <v>1707.9</v>
      </c>
      <c r="BX37" s="267">
        <f t="shared" si="59"/>
        <v>1729.7</v>
      </c>
      <c r="BY37" s="267">
        <f t="shared" si="59"/>
        <v>1755.8999999999999</v>
      </c>
      <c r="BZ37" s="267">
        <f t="shared" si="59"/>
        <v>1657.4</v>
      </c>
      <c r="CA37" s="267">
        <f t="shared" si="59"/>
        <v>1678.6</v>
      </c>
      <c r="CB37" s="267">
        <f t="shared" si="59"/>
        <v>1620.3000000000002</v>
      </c>
      <c r="CC37" s="267">
        <f t="shared" si="59"/>
        <v>1453.8</v>
      </c>
      <c r="CD37" s="267">
        <f t="shared" si="59"/>
        <v>1510.6000000000001</v>
      </c>
      <c r="CE37" s="267">
        <f t="shared" si="59"/>
        <v>1490.6</v>
      </c>
      <c r="CF37" s="267">
        <f t="shared" si="59"/>
        <v>1440.5</v>
      </c>
      <c r="CG37" s="267">
        <f t="shared" si="59"/>
        <v>1463.8000000000002</v>
      </c>
      <c r="CH37" s="267">
        <f t="shared" si="59"/>
        <v>1490.6</v>
      </c>
      <c r="CI37" s="267">
        <f t="shared" si="59"/>
        <v>1451.9</v>
      </c>
      <c r="CJ37" s="267">
        <f t="shared" si="58"/>
        <v>1532</v>
      </c>
      <c r="CK37" s="325"/>
    </row>
    <row r="38" spans="1:89" x14ac:dyDescent="0.3">
      <c r="A38" s="38"/>
      <c r="B38" s="41" t="s">
        <v>13</v>
      </c>
      <c r="C38" s="269">
        <v>3120</v>
      </c>
      <c r="D38" s="269">
        <v>3040.1</v>
      </c>
      <c r="E38" s="269">
        <v>2830.9</v>
      </c>
      <c r="F38" s="269">
        <v>2905.4</v>
      </c>
      <c r="G38" s="269">
        <v>2966.6</v>
      </c>
      <c r="H38" s="269">
        <v>3236.1</v>
      </c>
      <c r="I38" s="269">
        <v>3223.4</v>
      </c>
      <c r="J38" s="269">
        <v>2452.1999999999998</v>
      </c>
      <c r="K38" s="269">
        <v>2593.8000000000002</v>
      </c>
      <c r="L38" s="269">
        <v>2625.7</v>
      </c>
      <c r="M38" s="269">
        <v>2737.5</v>
      </c>
      <c r="N38" s="269">
        <v>2841.9</v>
      </c>
      <c r="O38" s="269">
        <v>2933.9</v>
      </c>
      <c r="P38" s="269">
        <v>2927.8</v>
      </c>
      <c r="Q38" s="269">
        <v>2887.9</v>
      </c>
      <c r="R38" s="269">
        <v>2858.5</v>
      </c>
      <c r="S38" s="269">
        <v>2855.1</v>
      </c>
      <c r="T38" s="269">
        <v>2818.3</v>
      </c>
      <c r="U38" s="269">
        <v>2797.5</v>
      </c>
      <c r="V38" s="269">
        <v>2783.2</v>
      </c>
      <c r="W38" s="269">
        <v>2771.6</v>
      </c>
      <c r="X38" s="269">
        <v>2770.7</v>
      </c>
      <c r="Y38" s="269">
        <v>2756.4</v>
      </c>
      <c r="Z38" s="269">
        <v>2757.7</v>
      </c>
      <c r="AA38" s="269">
        <v>2754.1</v>
      </c>
      <c r="AB38" s="269">
        <v>2778</v>
      </c>
      <c r="AC38" s="269">
        <v>2821.4</v>
      </c>
      <c r="AD38" s="269">
        <v>2888.9</v>
      </c>
      <c r="AE38" s="269">
        <v>2983.4</v>
      </c>
      <c r="AF38" s="269">
        <v>3058.1</v>
      </c>
      <c r="AG38" s="269">
        <v>3127.8</v>
      </c>
      <c r="AH38" s="269">
        <v>3189.4</v>
      </c>
      <c r="AI38" s="269">
        <v>3242.9</v>
      </c>
      <c r="AJ38" s="269">
        <v>3309</v>
      </c>
      <c r="AK38" s="269">
        <v>3382.1</v>
      </c>
      <c r="AL38" s="269">
        <v>3423</v>
      </c>
      <c r="AM38" s="269">
        <v>3455.3</v>
      </c>
      <c r="AN38" s="269">
        <v>3500.4</v>
      </c>
      <c r="AO38" s="269">
        <v>3542</v>
      </c>
      <c r="AP38" s="269">
        <v>3600.4</v>
      </c>
      <c r="AQ38" s="269">
        <v>3677.9</v>
      </c>
      <c r="AR38" s="269">
        <v>3721.8</v>
      </c>
      <c r="AS38" s="269">
        <v>3739.1</v>
      </c>
      <c r="AT38" s="269">
        <v>3762.9</v>
      </c>
      <c r="AU38" s="269">
        <v>3793.9</v>
      </c>
      <c r="AV38" s="269">
        <v>3801</v>
      </c>
      <c r="AW38" s="269">
        <v>3784.8</v>
      </c>
      <c r="AX38" s="269">
        <v>3776.8</v>
      </c>
      <c r="AY38" s="269">
        <v>3758.9</v>
      </c>
      <c r="AZ38" s="269">
        <v>3749.8</v>
      </c>
      <c r="BA38" s="269">
        <v>3772</v>
      </c>
      <c r="BB38" s="269">
        <v>3791</v>
      </c>
      <c r="BC38" s="269">
        <v>3814.5</v>
      </c>
      <c r="BD38" s="269">
        <v>3839.7</v>
      </c>
      <c r="BE38" s="269">
        <v>3830.6</v>
      </c>
      <c r="BF38" s="269">
        <v>3198.2</v>
      </c>
      <c r="BG38" s="269">
        <v>3492.5</v>
      </c>
      <c r="BH38" s="269">
        <v>3938.9</v>
      </c>
      <c r="BI38" s="269">
        <v>4216.6000000000004</v>
      </c>
      <c r="BJ38" s="269">
        <v>840</v>
      </c>
      <c r="BK38" s="269">
        <v>979.6</v>
      </c>
      <c r="BL38" s="269">
        <v>1174.0999999999999</v>
      </c>
      <c r="BM38" s="269">
        <v>1354.6</v>
      </c>
      <c r="BN38" s="269">
        <v>1482</v>
      </c>
      <c r="BO38" s="269">
        <v>1597.2</v>
      </c>
      <c r="BP38" s="269">
        <v>1667.6</v>
      </c>
      <c r="BQ38" s="269">
        <v>1617.8</v>
      </c>
      <c r="BR38" s="269">
        <v>1651.7</v>
      </c>
      <c r="BS38" s="269">
        <v>1686.3</v>
      </c>
      <c r="BT38" s="269">
        <v>1717.1</v>
      </c>
      <c r="BU38" s="269">
        <v>1732.6</v>
      </c>
      <c r="BV38" s="269">
        <v>1741.7</v>
      </c>
      <c r="BW38" s="269">
        <v>1658.5</v>
      </c>
      <c r="BX38" s="269">
        <v>1679.7</v>
      </c>
      <c r="BY38" s="269">
        <v>1705.1</v>
      </c>
      <c r="BZ38" s="269">
        <v>1609.4</v>
      </c>
      <c r="CA38" s="269">
        <v>1630</v>
      </c>
      <c r="CB38" s="269">
        <v>1573.4</v>
      </c>
      <c r="CC38" s="269">
        <v>1411.7</v>
      </c>
      <c r="CD38" s="269">
        <v>1466.9</v>
      </c>
      <c r="CE38" s="269">
        <v>1447.5</v>
      </c>
      <c r="CF38" s="269">
        <v>1398.8</v>
      </c>
      <c r="CG38" s="269">
        <v>1421.4</v>
      </c>
      <c r="CH38" s="269">
        <v>1447.5</v>
      </c>
      <c r="CI38" s="269">
        <v>1409.9</v>
      </c>
      <c r="CJ38" s="269">
        <v>1487.7</v>
      </c>
      <c r="CK38" s="326"/>
    </row>
    <row r="39" spans="1:89" x14ac:dyDescent="0.3">
      <c r="A39" s="38"/>
      <c r="B39" s="41" t="s">
        <v>14</v>
      </c>
      <c r="C39" s="269">
        <v>37.5</v>
      </c>
      <c r="D39" s="269">
        <v>36.5</v>
      </c>
      <c r="E39" s="269">
        <v>34</v>
      </c>
      <c r="F39" s="269">
        <v>34.9</v>
      </c>
      <c r="G39" s="269">
        <v>35.700000000000003</v>
      </c>
      <c r="H39" s="269">
        <v>38.9</v>
      </c>
      <c r="I39" s="269">
        <v>38.700000000000003</v>
      </c>
      <c r="J39" s="269">
        <v>29.5</v>
      </c>
      <c r="K39" s="269">
        <v>31.2</v>
      </c>
      <c r="L39" s="269">
        <v>31.6</v>
      </c>
      <c r="M39" s="269">
        <v>32.9</v>
      </c>
      <c r="N39" s="269">
        <v>34.200000000000003</v>
      </c>
      <c r="O39" s="269">
        <v>35.299999999999997</v>
      </c>
      <c r="P39" s="269">
        <v>35.200000000000003</v>
      </c>
      <c r="Q39" s="269">
        <v>34.700000000000003</v>
      </c>
      <c r="R39" s="269">
        <v>34.4</v>
      </c>
      <c r="S39" s="269">
        <v>34.299999999999997</v>
      </c>
      <c r="T39" s="269">
        <v>33.9</v>
      </c>
      <c r="U39" s="269">
        <v>33.6</v>
      </c>
      <c r="V39" s="269">
        <v>33.5</v>
      </c>
      <c r="W39" s="269">
        <v>33.299999999999997</v>
      </c>
      <c r="X39" s="269">
        <v>33.299999999999997</v>
      </c>
      <c r="Y39" s="269">
        <v>33.1</v>
      </c>
      <c r="Z39" s="269">
        <v>33.1</v>
      </c>
      <c r="AA39" s="269">
        <v>33.1</v>
      </c>
      <c r="AB39" s="269">
        <v>33.4</v>
      </c>
      <c r="AC39" s="269">
        <v>33.9</v>
      </c>
      <c r="AD39" s="269">
        <v>34.700000000000003</v>
      </c>
      <c r="AE39" s="269">
        <v>35.9</v>
      </c>
      <c r="AF39" s="269">
        <v>36.799999999999997</v>
      </c>
      <c r="AG39" s="269">
        <v>37.6</v>
      </c>
      <c r="AH39" s="269">
        <v>38.299999999999997</v>
      </c>
      <c r="AI39" s="269">
        <v>39</v>
      </c>
      <c r="AJ39" s="269">
        <v>39.799999999999997</v>
      </c>
      <c r="AK39" s="269">
        <v>40.700000000000003</v>
      </c>
      <c r="AL39" s="269">
        <v>41.1</v>
      </c>
      <c r="AM39" s="269">
        <v>41.5</v>
      </c>
      <c r="AN39" s="269">
        <v>42.1</v>
      </c>
      <c r="AO39" s="269">
        <v>42.6</v>
      </c>
      <c r="AP39" s="269">
        <v>43.3</v>
      </c>
      <c r="AQ39" s="269">
        <v>44.2</v>
      </c>
      <c r="AR39" s="269">
        <v>44.7</v>
      </c>
      <c r="AS39" s="269">
        <v>44.9</v>
      </c>
      <c r="AT39" s="269">
        <v>45.2</v>
      </c>
      <c r="AU39" s="269">
        <v>45.6</v>
      </c>
      <c r="AV39" s="269">
        <v>45.7</v>
      </c>
      <c r="AW39" s="269">
        <v>45.5</v>
      </c>
      <c r="AX39" s="269">
        <v>45.4</v>
      </c>
      <c r="AY39" s="269">
        <v>45.2</v>
      </c>
      <c r="AZ39" s="269">
        <v>45.1</v>
      </c>
      <c r="BA39" s="269">
        <v>45.3</v>
      </c>
      <c r="BB39" s="269">
        <v>45.6</v>
      </c>
      <c r="BC39" s="269">
        <v>45.9</v>
      </c>
      <c r="BD39" s="269">
        <v>46.2</v>
      </c>
      <c r="BE39" s="269">
        <v>46</v>
      </c>
      <c r="BF39" s="269">
        <v>38.4</v>
      </c>
      <c r="BG39" s="269">
        <v>42</v>
      </c>
      <c r="BH39" s="269">
        <v>47.3</v>
      </c>
      <c r="BI39" s="269">
        <v>50.7</v>
      </c>
      <c r="BJ39" s="269">
        <v>25</v>
      </c>
      <c r="BK39" s="269">
        <v>29.2</v>
      </c>
      <c r="BL39" s="269">
        <v>35</v>
      </c>
      <c r="BM39" s="269">
        <v>40.4</v>
      </c>
      <c r="BN39" s="269">
        <v>44.2</v>
      </c>
      <c r="BO39" s="269">
        <v>47.6</v>
      </c>
      <c r="BP39" s="269">
        <v>49.7</v>
      </c>
      <c r="BQ39" s="269">
        <v>48.2</v>
      </c>
      <c r="BR39" s="269">
        <v>49.2</v>
      </c>
      <c r="BS39" s="269">
        <v>50.2</v>
      </c>
      <c r="BT39" s="269">
        <v>51.2</v>
      </c>
      <c r="BU39" s="269">
        <v>51.6</v>
      </c>
      <c r="BV39" s="269">
        <v>51.9</v>
      </c>
      <c r="BW39" s="269">
        <v>49.4</v>
      </c>
      <c r="BX39" s="269">
        <v>50</v>
      </c>
      <c r="BY39" s="269">
        <v>50.8</v>
      </c>
      <c r="BZ39" s="269">
        <v>48</v>
      </c>
      <c r="CA39" s="269">
        <v>48.6</v>
      </c>
      <c r="CB39" s="269">
        <v>46.9</v>
      </c>
      <c r="CC39" s="269">
        <v>42.1</v>
      </c>
      <c r="CD39" s="269">
        <v>43.7</v>
      </c>
      <c r="CE39" s="269">
        <v>43.1</v>
      </c>
      <c r="CF39" s="269">
        <v>41.7</v>
      </c>
      <c r="CG39" s="269">
        <v>42.4</v>
      </c>
      <c r="CH39" s="269">
        <v>43.1</v>
      </c>
      <c r="CI39" s="269">
        <v>42</v>
      </c>
      <c r="CJ39" s="269">
        <v>44.3</v>
      </c>
      <c r="CK39" s="326"/>
    </row>
    <row r="40" spans="1:89" x14ac:dyDescent="0.3">
      <c r="A40" s="38"/>
      <c r="B40" s="41" t="s">
        <v>15</v>
      </c>
      <c r="C40" s="267">
        <f>+C41+C42</f>
        <v>668</v>
      </c>
      <c r="D40" s="267">
        <f t="shared" ref="D40:H40" si="60">+D41+D42</f>
        <v>650.9</v>
      </c>
      <c r="E40" s="267">
        <f t="shared" si="60"/>
        <v>606.1</v>
      </c>
      <c r="F40" s="267">
        <f t="shared" si="60"/>
        <v>622.1</v>
      </c>
      <c r="G40" s="267">
        <f t="shared" si="60"/>
        <v>635.1</v>
      </c>
      <c r="H40" s="267">
        <f t="shared" si="60"/>
        <v>692.80000000000007</v>
      </c>
      <c r="I40" s="267">
        <f t="shared" ref="I40" si="61">+I41+I42</f>
        <v>690.1</v>
      </c>
      <c r="J40" s="267">
        <v>525</v>
      </c>
      <c r="K40" s="267">
        <f t="shared" ref="K40" si="62">+K41+K42</f>
        <v>555.30000000000007</v>
      </c>
      <c r="L40" s="267">
        <v>562.20000000000005</v>
      </c>
      <c r="M40" s="267">
        <v>586.1</v>
      </c>
      <c r="N40" s="267">
        <f t="shared" ref="N40:P40" si="63">+N41+N42</f>
        <v>608.4</v>
      </c>
      <c r="O40" s="267">
        <f t="shared" si="63"/>
        <v>628.20000000000005</v>
      </c>
      <c r="P40" s="267">
        <f t="shared" si="63"/>
        <v>626.9</v>
      </c>
      <c r="Q40" s="267">
        <f t="shared" ref="Q40" si="64">+Q41+Q42</f>
        <v>618.19999999999993</v>
      </c>
      <c r="R40" s="267">
        <f t="shared" ref="R40:U40" si="65">+R41+R42</f>
        <v>612</v>
      </c>
      <c r="S40" s="267">
        <f t="shared" si="65"/>
        <v>611.29999999999995</v>
      </c>
      <c r="T40" s="267">
        <f t="shared" si="65"/>
        <v>603.4</v>
      </c>
      <c r="U40" s="267">
        <f t="shared" si="65"/>
        <v>599</v>
      </c>
      <c r="V40" s="267">
        <f t="shared" ref="V40" si="66">+V41+V42</f>
        <v>595.9</v>
      </c>
      <c r="W40" s="267">
        <f t="shared" ref="W40:AD40" si="67">+W41+W42</f>
        <v>593.4</v>
      </c>
      <c r="X40" s="267">
        <f t="shared" si="67"/>
        <v>593.19999999999993</v>
      </c>
      <c r="Y40" s="267">
        <f t="shared" si="67"/>
        <v>590.09999999999991</v>
      </c>
      <c r="Z40" s="267">
        <f t="shared" si="67"/>
        <v>590.4</v>
      </c>
      <c r="AA40" s="267">
        <f t="shared" si="67"/>
        <v>589.59999999999991</v>
      </c>
      <c r="AB40" s="267">
        <f t="shared" si="67"/>
        <v>594.79999999999995</v>
      </c>
      <c r="AC40" s="267">
        <f t="shared" si="67"/>
        <v>604.1</v>
      </c>
      <c r="AD40" s="267">
        <f t="shared" si="67"/>
        <v>618.6</v>
      </c>
      <c r="AE40" s="267">
        <f t="shared" ref="AE40:AJ40" si="68">+AE41+AE42</f>
        <v>638.70000000000005</v>
      </c>
      <c r="AF40" s="267">
        <f t="shared" si="68"/>
        <v>654.70000000000005</v>
      </c>
      <c r="AG40" s="267">
        <f t="shared" si="68"/>
        <v>669.7</v>
      </c>
      <c r="AH40" s="267">
        <f t="shared" si="68"/>
        <v>682.90000000000009</v>
      </c>
      <c r="AI40" s="267">
        <f t="shared" si="68"/>
        <v>694.4</v>
      </c>
      <c r="AJ40" s="267">
        <f t="shared" si="68"/>
        <v>708.4</v>
      </c>
      <c r="AK40" s="267">
        <f t="shared" ref="AK40:AT40" si="69">+AK41+AK42</f>
        <v>724.1</v>
      </c>
      <c r="AL40" s="267">
        <f t="shared" si="69"/>
        <v>732.9</v>
      </c>
      <c r="AM40" s="267">
        <f t="shared" si="69"/>
        <v>739.8</v>
      </c>
      <c r="AN40" s="267">
        <f t="shared" si="69"/>
        <v>749.5</v>
      </c>
      <c r="AO40" s="267">
        <f t="shared" si="69"/>
        <v>758.3</v>
      </c>
      <c r="AP40" s="267">
        <f t="shared" si="69"/>
        <v>770.9</v>
      </c>
      <c r="AQ40" s="267">
        <f t="shared" si="69"/>
        <v>787.4</v>
      </c>
      <c r="AR40" s="267">
        <f t="shared" si="69"/>
        <v>796.90000000000009</v>
      </c>
      <c r="AS40" s="267">
        <f t="shared" si="69"/>
        <v>800.6</v>
      </c>
      <c r="AT40" s="267">
        <f t="shared" si="69"/>
        <v>805.6</v>
      </c>
      <c r="AU40" s="267">
        <f t="shared" ref="AU40" si="70">+AU41+AU42</f>
        <v>812.30000000000007</v>
      </c>
      <c r="AV40" s="267">
        <f t="shared" ref="AV40:BA40" si="71">+AV41+AV42</f>
        <v>813.80000000000007</v>
      </c>
      <c r="AW40" s="267">
        <f t="shared" si="71"/>
        <v>810.30000000000007</v>
      </c>
      <c r="AX40" s="267">
        <f t="shared" si="71"/>
        <v>808.6</v>
      </c>
      <c r="AY40" s="267">
        <f t="shared" si="71"/>
        <v>804.80000000000007</v>
      </c>
      <c r="AZ40" s="267">
        <f t="shared" si="71"/>
        <v>802.90000000000009</v>
      </c>
      <c r="BA40" s="267">
        <f t="shared" si="71"/>
        <v>807.6</v>
      </c>
      <c r="BB40" s="267">
        <f t="shared" ref="BB40:BI40" si="72">+BB41+BB42</f>
        <v>811.6</v>
      </c>
      <c r="BC40" s="267">
        <f t="shared" si="72"/>
        <v>816.6</v>
      </c>
      <c r="BD40" s="267">
        <f t="shared" si="72"/>
        <v>822.09999999999991</v>
      </c>
      <c r="BE40" s="267">
        <f t="shared" si="72"/>
        <v>820.1</v>
      </c>
      <c r="BF40" s="267">
        <f t="shared" si="72"/>
        <v>684.7</v>
      </c>
      <c r="BG40" s="267">
        <f t="shared" si="72"/>
        <v>747.8</v>
      </c>
      <c r="BH40" s="267">
        <f t="shared" si="72"/>
        <v>843.3</v>
      </c>
      <c r="BI40" s="267">
        <f t="shared" si="72"/>
        <v>902.80000000000007</v>
      </c>
      <c r="BJ40" s="267">
        <f t="shared" ref="BJ40:BO40" si="73">+BJ41+BJ42</f>
        <v>445.8</v>
      </c>
      <c r="BK40" s="267">
        <f t="shared" si="73"/>
        <v>519.9</v>
      </c>
      <c r="BL40" s="267">
        <f t="shared" si="73"/>
        <v>623.1</v>
      </c>
      <c r="BM40" s="267">
        <f t="shared" si="73"/>
        <v>718.8</v>
      </c>
      <c r="BN40" s="267">
        <f t="shared" si="73"/>
        <v>786.5</v>
      </c>
      <c r="BO40" s="267">
        <f t="shared" si="73"/>
        <v>847.6</v>
      </c>
      <c r="BP40" s="267">
        <f t="shared" ref="BP40:CJ40" si="74">+BP41+BP42</f>
        <v>884.9</v>
      </c>
      <c r="BQ40" s="267">
        <f t="shared" ref="BQ40:CI40" si="75">+BQ41+BQ42</f>
        <v>903.80000000000007</v>
      </c>
      <c r="BR40" s="267">
        <f t="shared" si="75"/>
        <v>922.7</v>
      </c>
      <c r="BS40" s="267">
        <f t="shared" si="75"/>
        <v>942</v>
      </c>
      <c r="BT40" s="267">
        <f t="shared" si="75"/>
        <v>959.19999999999993</v>
      </c>
      <c r="BU40" s="267">
        <f t="shared" si="75"/>
        <v>967.8</v>
      </c>
      <c r="BV40" s="267">
        <f t="shared" si="75"/>
        <v>973</v>
      </c>
      <c r="BW40" s="267">
        <f t="shared" si="75"/>
        <v>978</v>
      </c>
      <c r="BX40" s="267">
        <f t="shared" si="75"/>
        <v>990.4</v>
      </c>
      <c r="BY40" s="267">
        <f t="shared" si="75"/>
        <v>1005.5</v>
      </c>
      <c r="BZ40" s="267">
        <f t="shared" si="75"/>
        <v>949</v>
      </c>
      <c r="CA40" s="267">
        <f t="shared" si="75"/>
        <v>961.09999999999991</v>
      </c>
      <c r="CB40" s="267">
        <f t="shared" si="75"/>
        <v>982.4</v>
      </c>
      <c r="CC40" s="267">
        <f t="shared" si="75"/>
        <v>881.4</v>
      </c>
      <c r="CD40" s="267">
        <f t="shared" si="75"/>
        <v>915.80000000000007</v>
      </c>
      <c r="CE40" s="267">
        <f t="shared" si="75"/>
        <v>903.80000000000007</v>
      </c>
      <c r="CF40" s="267">
        <f t="shared" si="75"/>
        <v>873.3</v>
      </c>
      <c r="CG40" s="267">
        <f t="shared" si="75"/>
        <v>887.4</v>
      </c>
      <c r="CH40" s="267">
        <f t="shared" si="75"/>
        <v>903.7</v>
      </c>
      <c r="CI40" s="267">
        <f t="shared" si="75"/>
        <v>935.2</v>
      </c>
      <c r="CJ40" s="267">
        <f t="shared" si="74"/>
        <v>986.9</v>
      </c>
      <c r="CK40" s="325"/>
    </row>
    <row r="41" spans="1:89" x14ac:dyDescent="0.3">
      <c r="A41" s="38"/>
      <c r="B41" s="41" t="s">
        <v>13</v>
      </c>
      <c r="C41" s="269">
        <v>665.4</v>
      </c>
      <c r="D41" s="269">
        <v>648.29999999999995</v>
      </c>
      <c r="E41" s="269">
        <v>603.70000000000005</v>
      </c>
      <c r="F41" s="269">
        <v>619.6</v>
      </c>
      <c r="G41" s="269">
        <v>632.6</v>
      </c>
      <c r="H41" s="269">
        <v>690.1</v>
      </c>
      <c r="I41" s="269">
        <v>687.4</v>
      </c>
      <c r="J41" s="269">
        <v>522.9</v>
      </c>
      <c r="K41" s="269">
        <v>553.1</v>
      </c>
      <c r="L41" s="269">
        <v>559.9</v>
      </c>
      <c r="M41" s="269">
        <v>583.79999999999995</v>
      </c>
      <c r="N41" s="269">
        <v>606</v>
      </c>
      <c r="O41" s="269">
        <v>625.70000000000005</v>
      </c>
      <c r="P41" s="269">
        <v>624.4</v>
      </c>
      <c r="Q41" s="269">
        <v>615.79999999999995</v>
      </c>
      <c r="R41" s="269">
        <v>609.6</v>
      </c>
      <c r="S41" s="269">
        <v>608.9</v>
      </c>
      <c r="T41" s="269">
        <v>601</v>
      </c>
      <c r="U41" s="269">
        <v>596.6</v>
      </c>
      <c r="V41" s="269">
        <v>593.5</v>
      </c>
      <c r="W41" s="269">
        <v>591</v>
      </c>
      <c r="X41" s="269">
        <v>590.9</v>
      </c>
      <c r="Y41" s="269">
        <v>587.79999999999995</v>
      </c>
      <c r="Z41" s="269">
        <v>588.1</v>
      </c>
      <c r="AA41" s="269">
        <v>587.29999999999995</v>
      </c>
      <c r="AB41" s="269">
        <v>592.4</v>
      </c>
      <c r="AC41" s="269">
        <v>601.70000000000005</v>
      </c>
      <c r="AD41" s="269">
        <v>616.1</v>
      </c>
      <c r="AE41" s="269">
        <v>636.20000000000005</v>
      </c>
      <c r="AF41" s="269">
        <v>652.1</v>
      </c>
      <c r="AG41" s="269">
        <v>667</v>
      </c>
      <c r="AH41" s="269">
        <v>680.2</v>
      </c>
      <c r="AI41" s="269">
        <v>691.6</v>
      </c>
      <c r="AJ41" s="269">
        <v>705.6</v>
      </c>
      <c r="AK41" s="269">
        <v>721.2</v>
      </c>
      <c r="AL41" s="269">
        <v>730</v>
      </c>
      <c r="AM41" s="269">
        <v>736.9</v>
      </c>
      <c r="AN41" s="269">
        <v>746.5</v>
      </c>
      <c r="AO41" s="269">
        <v>755.3</v>
      </c>
      <c r="AP41" s="269">
        <v>767.8</v>
      </c>
      <c r="AQ41" s="269">
        <v>784.3</v>
      </c>
      <c r="AR41" s="269">
        <v>793.7</v>
      </c>
      <c r="AS41" s="269">
        <v>797.4</v>
      </c>
      <c r="AT41" s="269">
        <v>802.4</v>
      </c>
      <c r="AU41" s="269">
        <v>809.1</v>
      </c>
      <c r="AV41" s="269">
        <v>810.6</v>
      </c>
      <c r="AW41" s="269">
        <v>807.1</v>
      </c>
      <c r="AX41" s="269">
        <v>805.4</v>
      </c>
      <c r="AY41" s="269">
        <v>801.6</v>
      </c>
      <c r="AZ41" s="269">
        <v>799.7</v>
      </c>
      <c r="BA41" s="269">
        <v>804.4</v>
      </c>
      <c r="BB41" s="269">
        <v>808.4</v>
      </c>
      <c r="BC41" s="269">
        <v>813.4</v>
      </c>
      <c r="BD41" s="269">
        <v>818.8</v>
      </c>
      <c r="BE41" s="269">
        <v>816.9</v>
      </c>
      <c r="BF41" s="269">
        <v>682</v>
      </c>
      <c r="BG41" s="269">
        <v>744.8</v>
      </c>
      <c r="BH41" s="269">
        <v>840</v>
      </c>
      <c r="BI41" s="269">
        <v>899.2</v>
      </c>
      <c r="BJ41" s="269">
        <v>444</v>
      </c>
      <c r="BK41" s="269">
        <v>517.79999999999995</v>
      </c>
      <c r="BL41" s="269">
        <v>620.6</v>
      </c>
      <c r="BM41" s="269">
        <v>716</v>
      </c>
      <c r="BN41" s="269">
        <v>783.4</v>
      </c>
      <c r="BO41" s="269">
        <v>844.2</v>
      </c>
      <c r="BP41" s="269">
        <v>881.4</v>
      </c>
      <c r="BQ41" s="269">
        <v>900.2</v>
      </c>
      <c r="BR41" s="269">
        <v>919</v>
      </c>
      <c r="BS41" s="269">
        <v>938.3</v>
      </c>
      <c r="BT41" s="269">
        <v>955.4</v>
      </c>
      <c r="BU41" s="269">
        <v>964</v>
      </c>
      <c r="BV41" s="269">
        <v>969.1</v>
      </c>
      <c r="BW41" s="269">
        <v>974.1</v>
      </c>
      <c r="BX41" s="269">
        <v>986.5</v>
      </c>
      <c r="BY41" s="269">
        <v>1001.5</v>
      </c>
      <c r="BZ41" s="269">
        <v>945.2</v>
      </c>
      <c r="CA41" s="269">
        <v>957.3</v>
      </c>
      <c r="CB41" s="269">
        <v>978.5</v>
      </c>
      <c r="CC41" s="269">
        <v>877.9</v>
      </c>
      <c r="CD41" s="269">
        <v>912.2</v>
      </c>
      <c r="CE41" s="269">
        <v>900.2</v>
      </c>
      <c r="CF41" s="269">
        <v>869.8</v>
      </c>
      <c r="CG41" s="269">
        <v>883.9</v>
      </c>
      <c r="CH41" s="269">
        <v>900.1</v>
      </c>
      <c r="CI41" s="269">
        <v>931.5</v>
      </c>
      <c r="CJ41" s="269">
        <v>983</v>
      </c>
      <c r="CK41" s="326"/>
    </row>
    <row r="42" spans="1:89" x14ac:dyDescent="0.3">
      <c r="A42" s="38"/>
      <c r="B42" s="41" t="s">
        <v>14</v>
      </c>
      <c r="C42" s="269">
        <v>2.6</v>
      </c>
      <c r="D42" s="269">
        <v>2.6</v>
      </c>
      <c r="E42" s="269">
        <v>2.4</v>
      </c>
      <c r="F42" s="269">
        <v>2.5</v>
      </c>
      <c r="G42" s="269">
        <v>2.5</v>
      </c>
      <c r="H42" s="269">
        <v>2.7</v>
      </c>
      <c r="I42" s="269">
        <v>2.7</v>
      </c>
      <c r="J42" s="269">
        <v>2.1</v>
      </c>
      <c r="K42" s="269">
        <v>2.2000000000000002</v>
      </c>
      <c r="L42" s="269">
        <v>2.2000000000000002</v>
      </c>
      <c r="M42" s="269">
        <v>2.2999999999999998</v>
      </c>
      <c r="N42" s="269">
        <v>2.4</v>
      </c>
      <c r="O42" s="269">
        <v>2.5</v>
      </c>
      <c r="P42" s="269">
        <v>2.5</v>
      </c>
      <c r="Q42" s="269">
        <v>2.4</v>
      </c>
      <c r="R42" s="269">
        <v>2.4</v>
      </c>
      <c r="S42" s="269">
        <v>2.4</v>
      </c>
      <c r="T42" s="269">
        <v>2.4</v>
      </c>
      <c r="U42" s="269">
        <v>2.4</v>
      </c>
      <c r="V42" s="269">
        <v>2.4</v>
      </c>
      <c r="W42" s="269">
        <v>2.4</v>
      </c>
      <c r="X42" s="269">
        <v>2.2999999999999998</v>
      </c>
      <c r="Y42" s="269">
        <v>2.2999999999999998</v>
      </c>
      <c r="Z42" s="269">
        <v>2.2999999999999998</v>
      </c>
      <c r="AA42" s="269">
        <v>2.2999999999999998</v>
      </c>
      <c r="AB42" s="269">
        <v>2.4</v>
      </c>
      <c r="AC42" s="269">
        <v>2.4</v>
      </c>
      <c r="AD42" s="269">
        <v>2.5</v>
      </c>
      <c r="AE42" s="269">
        <v>2.5</v>
      </c>
      <c r="AF42" s="269">
        <v>2.6</v>
      </c>
      <c r="AG42" s="269">
        <v>2.7</v>
      </c>
      <c r="AH42" s="269">
        <v>2.7</v>
      </c>
      <c r="AI42" s="269">
        <v>2.8</v>
      </c>
      <c r="AJ42" s="269">
        <v>2.8</v>
      </c>
      <c r="AK42" s="269">
        <v>2.9</v>
      </c>
      <c r="AL42" s="269">
        <v>2.9</v>
      </c>
      <c r="AM42" s="269">
        <v>2.9</v>
      </c>
      <c r="AN42" s="269">
        <v>3</v>
      </c>
      <c r="AO42" s="269">
        <v>3</v>
      </c>
      <c r="AP42" s="269">
        <v>3.1</v>
      </c>
      <c r="AQ42" s="269">
        <v>3.1</v>
      </c>
      <c r="AR42" s="269">
        <v>3.2</v>
      </c>
      <c r="AS42" s="269">
        <v>3.2</v>
      </c>
      <c r="AT42" s="269">
        <v>3.2</v>
      </c>
      <c r="AU42" s="269">
        <v>3.2</v>
      </c>
      <c r="AV42" s="269">
        <v>3.2</v>
      </c>
      <c r="AW42" s="269">
        <v>3.2</v>
      </c>
      <c r="AX42" s="269">
        <v>3.2</v>
      </c>
      <c r="AY42" s="269">
        <v>3.2</v>
      </c>
      <c r="AZ42" s="269">
        <v>3.2</v>
      </c>
      <c r="BA42" s="269">
        <v>3.2</v>
      </c>
      <c r="BB42" s="269">
        <v>3.2</v>
      </c>
      <c r="BC42" s="269">
        <v>3.2</v>
      </c>
      <c r="BD42" s="269">
        <v>3.3</v>
      </c>
      <c r="BE42" s="269">
        <v>3.2</v>
      </c>
      <c r="BF42" s="269">
        <v>2.7</v>
      </c>
      <c r="BG42" s="269">
        <v>3</v>
      </c>
      <c r="BH42" s="269">
        <v>3.3</v>
      </c>
      <c r="BI42" s="269">
        <v>3.6</v>
      </c>
      <c r="BJ42" s="269">
        <v>1.8</v>
      </c>
      <c r="BK42" s="269">
        <v>2.1</v>
      </c>
      <c r="BL42" s="269">
        <v>2.5</v>
      </c>
      <c r="BM42" s="269">
        <v>2.8</v>
      </c>
      <c r="BN42" s="269">
        <v>3.1</v>
      </c>
      <c r="BO42" s="269">
        <v>3.4</v>
      </c>
      <c r="BP42" s="269">
        <v>3.5</v>
      </c>
      <c r="BQ42" s="269">
        <v>3.6</v>
      </c>
      <c r="BR42" s="269">
        <v>3.7</v>
      </c>
      <c r="BS42" s="269">
        <v>3.7</v>
      </c>
      <c r="BT42" s="269">
        <v>3.8</v>
      </c>
      <c r="BU42" s="269">
        <v>3.8</v>
      </c>
      <c r="BV42" s="269">
        <v>3.9</v>
      </c>
      <c r="BW42" s="269">
        <v>3.9</v>
      </c>
      <c r="BX42" s="269">
        <v>3.9</v>
      </c>
      <c r="BY42" s="269">
        <v>4</v>
      </c>
      <c r="BZ42" s="269">
        <v>3.8</v>
      </c>
      <c r="CA42" s="269">
        <v>3.8</v>
      </c>
      <c r="CB42" s="269">
        <v>3.9</v>
      </c>
      <c r="CC42" s="269">
        <v>3.5</v>
      </c>
      <c r="CD42" s="269">
        <v>3.6</v>
      </c>
      <c r="CE42" s="269">
        <v>3.6</v>
      </c>
      <c r="CF42" s="269">
        <v>3.5</v>
      </c>
      <c r="CG42" s="269">
        <v>3.5</v>
      </c>
      <c r="CH42" s="269">
        <v>3.6</v>
      </c>
      <c r="CI42" s="269">
        <v>3.7</v>
      </c>
      <c r="CJ42" s="269">
        <v>3.9</v>
      </c>
      <c r="CK42" s="326"/>
    </row>
    <row r="43" spans="1:89" x14ac:dyDescent="0.3">
      <c r="A43" s="38"/>
      <c r="B43" s="42"/>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365"/>
      <c r="AZ43" s="365"/>
      <c r="BA43" s="365"/>
      <c r="BB43" s="365"/>
      <c r="BC43" s="365"/>
      <c r="BD43" s="365"/>
      <c r="BE43" s="365"/>
      <c r="BF43" s="365"/>
      <c r="BG43" s="365"/>
      <c r="BH43" s="365"/>
      <c r="BI43" s="365"/>
      <c r="BJ43" s="365"/>
      <c r="BK43" s="365"/>
      <c r="BL43" s="365"/>
      <c r="BM43" s="365"/>
      <c r="BN43" s="365"/>
      <c r="BO43" s="365"/>
      <c r="BP43" s="365"/>
      <c r="BQ43" s="365"/>
      <c r="BR43" s="365"/>
      <c r="BS43" s="365"/>
      <c r="BT43" s="365"/>
      <c r="BU43" s="365"/>
      <c r="BV43" s="365"/>
      <c r="BW43" s="365"/>
      <c r="BX43" s="365"/>
      <c r="BY43" s="365"/>
      <c r="BZ43" s="365"/>
      <c r="CA43" s="365"/>
      <c r="CB43" s="365"/>
      <c r="CC43" s="365"/>
      <c r="CD43" s="365"/>
      <c r="CE43" s="365"/>
      <c r="CF43" s="365"/>
      <c r="CG43" s="365"/>
      <c r="CH43" s="365"/>
      <c r="CI43" s="365"/>
      <c r="CJ43" s="365"/>
      <c r="CK43" s="327"/>
    </row>
    <row r="44" spans="1:89" x14ac:dyDescent="0.3">
      <c r="A44" s="38"/>
      <c r="B44" s="36" t="s">
        <v>16</v>
      </c>
      <c r="C44" s="37">
        <f t="shared" ref="C44:AH44" si="76">+C45+C60+C70+C78</f>
        <v>172870.80000000005</v>
      </c>
      <c r="D44" s="37">
        <f t="shared" si="76"/>
        <v>174813.20000000004</v>
      </c>
      <c r="E44" s="37">
        <f t="shared" si="76"/>
        <v>171814.30000000005</v>
      </c>
      <c r="F44" s="37">
        <f t="shared" si="76"/>
        <v>169417.9</v>
      </c>
      <c r="G44" s="37">
        <f t="shared" si="76"/>
        <v>166833.80000000005</v>
      </c>
      <c r="H44" s="37">
        <f t="shared" si="76"/>
        <v>167195.5</v>
      </c>
      <c r="I44" s="37">
        <f t="shared" si="76"/>
        <v>166683.70000000001</v>
      </c>
      <c r="J44" s="37">
        <f t="shared" si="76"/>
        <v>153699.80000000002</v>
      </c>
      <c r="K44" s="37">
        <f t="shared" si="76"/>
        <v>153532.90000000002</v>
      </c>
      <c r="L44" s="37">
        <f t="shared" si="76"/>
        <v>153977.70000000004</v>
      </c>
      <c r="M44" s="37">
        <f t="shared" si="76"/>
        <v>153732.30000000005</v>
      </c>
      <c r="N44" s="37">
        <f t="shared" si="76"/>
        <v>155415.59999999998</v>
      </c>
      <c r="O44" s="37">
        <f t="shared" si="76"/>
        <v>156481.5</v>
      </c>
      <c r="P44" s="37">
        <f t="shared" si="76"/>
        <v>157008.70000000001</v>
      </c>
      <c r="Q44" s="37">
        <f t="shared" si="76"/>
        <v>157690</v>
      </c>
      <c r="R44" s="37">
        <f t="shared" si="76"/>
        <v>157731</v>
      </c>
      <c r="S44" s="37">
        <f t="shared" si="76"/>
        <v>158465.40000000002</v>
      </c>
      <c r="T44" s="37">
        <f t="shared" si="76"/>
        <v>158771.9</v>
      </c>
      <c r="U44" s="37">
        <f t="shared" si="76"/>
        <v>159786.1</v>
      </c>
      <c r="V44" s="37">
        <f t="shared" si="76"/>
        <v>160079.90000000002</v>
      </c>
      <c r="W44" s="37">
        <f t="shared" si="76"/>
        <v>164582.19999999998</v>
      </c>
      <c r="X44" s="37">
        <f t="shared" si="76"/>
        <v>164550.59999999998</v>
      </c>
      <c r="Y44" s="37">
        <f t="shared" si="76"/>
        <v>165432.70000000001</v>
      </c>
      <c r="Z44" s="37">
        <f t="shared" si="76"/>
        <v>166321.99999999997</v>
      </c>
      <c r="AA44" s="37">
        <f t="shared" si="76"/>
        <v>166285.50000000003</v>
      </c>
      <c r="AB44" s="37">
        <f t="shared" si="76"/>
        <v>166254.00000000003</v>
      </c>
      <c r="AC44" s="37">
        <f t="shared" si="76"/>
        <v>166079.4</v>
      </c>
      <c r="AD44" s="37">
        <f t="shared" si="76"/>
        <v>166220.20000000001</v>
      </c>
      <c r="AE44" s="37">
        <f t="shared" si="76"/>
        <v>166317.90000000002</v>
      </c>
      <c r="AF44" s="37">
        <f t="shared" si="76"/>
        <v>166138.70000000001</v>
      </c>
      <c r="AG44" s="37">
        <f t="shared" si="76"/>
        <v>166147.19999999998</v>
      </c>
      <c r="AH44" s="37">
        <f t="shared" si="76"/>
        <v>166116.4</v>
      </c>
      <c r="AI44" s="37">
        <f t="shared" ref="AI44:BN44" si="77">+AI45+AI60+AI70+AI78</f>
        <v>167894.39999999999</v>
      </c>
      <c r="AJ44" s="37">
        <f t="shared" si="77"/>
        <v>167874.00000000003</v>
      </c>
      <c r="AK44" s="37">
        <f t="shared" si="77"/>
        <v>168156.5</v>
      </c>
      <c r="AL44" s="37">
        <f t="shared" si="77"/>
        <v>170020.89999999997</v>
      </c>
      <c r="AM44" s="37">
        <f t="shared" si="77"/>
        <v>170160.5</v>
      </c>
      <c r="AN44" s="37">
        <f t="shared" si="77"/>
        <v>170153.40000000002</v>
      </c>
      <c r="AO44" s="37">
        <f t="shared" si="77"/>
        <v>170066.30000000002</v>
      </c>
      <c r="AP44" s="37">
        <f t="shared" si="77"/>
        <v>169801.9</v>
      </c>
      <c r="AQ44" s="37">
        <f t="shared" si="77"/>
        <v>169895.2</v>
      </c>
      <c r="AR44" s="37">
        <f t="shared" si="77"/>
        <v>169764.6</v>
      </c>
      <c r="AS44" s="37">
        <f t="shared" si="77"/>
        <v>169642.8</v>
      </c>
      <c r="AT44" s="37">
        <f t="shared" si="77"/>
        <v>169557.80000000002</v>
      </c>
      <c r="AU44" s="37">
        <f t="shared" si="77"/>
        <v>172158.80000000002</v>
      </c>
      <c r="AV44" s="37">
        <f t="shared" si="77"/>
        <v>172446.69999999998</v>
      </c>
      <c r="AW44" s="37">
        <f t="shared" si="77"/>
        <v>172709.09999999998</v>
      </c>
      <c r="AX44" s="37">
        <f t="shared" si="77"/>
        <v>173877.5</v>
      </c>
      <c r="AY44" s="37">
        <f t="shared" si="77"/>
        <v>174043.69999999998</v>
      </c>
      <c r="AZ44" s="37">
        <f t="shared" si="77"/>
        <v>173928.89999999997</v>
      </c>
      <c r="BA44" s="37">
        <f t="shared" si="77"/>
        <v>174105.79999999996</v>
      </c>
      <c r="BB44" s="37">
        <f t="shared" si="77"/>
        <v>174241</v>
      </c>
      <c r="BC44" s="37">
        <f t="shared" si="77"/>
        <v>174081.1</v>
      </c>
      <c r="BD44" s="37">
        <f t="shared" si="77"/>
        <v>174292.19999999998</v>
      </c>
      <c r="BE44" s="37">
        <f t="shared" si="77"/>
        <v>177152.89999999997</v>
      </c>
      <c r="BF44" s="37">
        <f t="shared" si="77"/>
        <v>177107.9</v>
      </c>
      <c r="BG44" s="37">
        <f t="shared" si="77"/>
        <v>179164.3</v>
      </c>
      <c r="BH44" s="37">
        <f t="shared" si="77"/>
        <v>177608.69999999995</v>
      </c>
      <c r="BI44" s="37">
        <f t="shared" si="77"/>
        <v>177761.39999999997</v>
      </c>
      <c r="BJ44" s="37">
        <f t="shared" si="77"/>
        <v>177890.69999999998</v>
      </c>
      <c r="BK44" s="37">
        <f t="shared" si="77"/>
        <v>179523.09999999998</v>
      </c>
      <c r="BL44" s="37">
        <f t="shared" si="77"/>
        <v>171932.5</v>
      </c>
      <c r="BM44" s="37">
        <f t="shared" si="77"/>
        <v>171961.4</v>
      </c>
      <c r="BN44" s="37">
        <f t="shared" si="77"/>
        <v>171929.8</v>
      </c>
      <c r="BO44" s="37">
        <f t="shared" ref="BO44:CJ44" si="78">+BO45+BO60+BO70+BO78</f>
        <v>169888.59999999998</v>
      </c>
      <c r="BP44" s="37">
        <f t="shared" si="78"/>
        <v>169859.3</v>
      </c>
      <c r="BQ44" s="37">
        <f t="shared" si="78"/>
        <v>168876.3</v>
      </c>
      <c r="BR44" s="37">
        <f t="shared" si="78"/>
        <v>168995.9</v>
      </c>
      <c r="BS44" s="37">
        <f t="shared" si="78"/>
        <v>169064.2</v>
      </c>
      <c r="BT44" s="37">
        <f t="shared" si="78"/>
        <v>168958.9</v>
      </c>
      <c r="BU44" s="37">
        <f t="shared" si="78"/>
        <v>168818.49999999997</v>
      </c>
      <c r="BV44" s="37">
        <f t="shared" si="78"/>
        <v>168732.6</v>
      </c>
      <c r="BW44" s="37">
        <f t="shared" si="78"/>
        <v>165985.99999999997</v>
      </c>
      <c r="BX44" s="37">
        <f t="shared" si="78"/>
        <v>165996.20000000001</v>
      </c>
      <c r="BY44" s="37">
        <f t="shared" si="78"/>
        <v>166222.49999999997</v>
      </c>
      <c r="BZ44" s="37">
        <f t="shared" si="78"/>
        <v>166506.1</v>
      </c>
      <c r="CA44" s="37">
        <f t="shared" si="78"/>
        <v>152898.69999999998</v>
      </c>
      <c r="CB44" s="37">
        <f t="shared" si="78"/>
        <v>151795.59999999998</v>
      </c>
      <c r="CC44" s="37">
        <f t="shared" si="78"/>
        <v>148911.9</v>
      </c>
      <c r="CD44" s="37">
        <f t="shared" si="78"/>
        <v>145770.40000000002</v>
      </c>
      <c r="CE44" s="37">
        <f t="shared" si="78"/>
        <v>145796.49999999997</v>
      </c>
      <c r="CF44" s="37">
        <f t="shared" si="78"/>
        <v>145708.39999999997</v>
      </c>
      <c r="CG44" s="37">
        <f t="shared" si="78"/>
        <v>145734.99999999997</v>
      </c>
      <c r="CH44" s="37">
        <f t="shared" ref="CH44:CI44" si="79">+CH45+CH60+CH70+CH78</f>
        <v>155325.5</v>
      </c>
      <c r="CI44" s="37">
        <f t="shared" si="79"/>
        <v>152664.29999999996</v>
      </c>
      <c r="CJ44" s="37">
        <f t="shared" si="78"/>
        <v>152899</v>
      </c>
      <c r="CK44" s="323">
        <f>+CJ44/$CJ$10</f>
        <v>0.32384613967158099</v>
      </c>
    </row>
    <row r="45" spans="1:89" x14ac:dyDescent="0.3">
      <c r="A45" s="38"/>
      <c r="B45" s="44" t="s">
        <v>17</v>
      </c>
      <c r="C45" s="40">
        <f t="shared" ref="C45:AH45" si="80">+SUM(C46:C53)+C56</f>
        <v>152184.80000000005</v>
      </c>
      <c r="D45" s="40">
        <f t="shared" si="80"/>
        <v>154264.30000000005</v>
      </c>
      <c r="E45" s="40">
        <f t="shared" si="80"/>
        <v>151530.80000000005</v>
      </c>
      <c r="F45" s="40">
        <f t="shared" si="80"/>
        <v>149149.80000000002</v>
      </c>
      <c r="G45" s="40">
        <f t="shared" si="80"/>
        <v>146634.30000000002</v>
      </c>
      <c r="H45" s="40">
        <f t="shared" si="80"/>
        <v>146634.30000000002</v>
      </c>
      <c r="I45" s="40">
        <f t="shared" si="80"/>
        <v>146634.30000000002</v>
      </c>
      <c r="J45" s="40">
        <f t="shared" si="80"/>
        <v>133802.50000000003</v>
      </c>
      <c r="K45" s="40">
        <f t="shared" si="80"/>
        <v>133802.50000000003</v>
      </c>
      <c r="L45" s="40">
        <f t="shared" si="80"/>
        <v>133802.30000000002</v>
      </c>
      <c r="M45" s="40">
        <f t="shared" si="80"/>
        <v>133802.30000000002</v>
      </c>
      <c r="N45" s="40">
        <f t="shared" si="80"/>
        <v>135128.9</v>
      </c>
      <c r="O45" s="40">
        <f t="shared" si="80"/>
        <v>136396.80000000002</v>
      </c>
      <c r="P45" s="40">
        <f t="shared" si="80"/>
        <v>137041.80000000002</v>
      </c>
      <c r="Q45" s="40">
        <f t="shared" si="80"/>
        <v>137713.80000000002</v>
      </c>
      <c r="R45" s="40">
        <f t="shared" si="80"/>
        <v>137884.6</v>
      </c>
      <c r="S45" s="40">
        <f t="shared" si="80"/>
        <v>138369.80000000002</v>
      </c>
      <c r="T45" s="40">
        <f t="shared" si="80"/>
        <v>138437.1</v>
      </c>
      <c r="U45" s="40">
        <f t="shared" si="80"/>
        <v>138479.20000000001</v>
      </c>
      <c r="V45" s="40">
        <f t="shared" si="80"/>
        <v>138485.90000000002</v>
      </c>
      <c r="W45" s="40">
        <f t="shared" si="80"/>
        <v>158747.69999999998</v>
      </c>
      <c r="X45" s="40">
        <f t="shared" si="80"/>
        <v>158747.69999999998</v>
      </c>
      <c r="Y45" s="40">
        <f t="shared" si="80"/>
        <v>159495.5</v>
      </c>
      <c r="Z45" s="40">
        <f t="shared" si="80"/>
        <v>160246.49999999997</v>
      </c>
      <c r="AA45" s="40">
        <f t="shared" si="80"/>
        <v>160250.30000000002</v>
      </c>
      <c r="AB45" s="40">
        <f t="shared" si="80"/>
        <v>160252.90000000002</v>
      </c>
      <c r="AC45" s="40">
        <f t="shared" si="80"/>
        <v>160252.9</v>
      </c>
      <c r="AD45" s="40">
        <f t="shared" si="80"/>
        <v>160252.4</v>
      </c>
      <c r="AE45" s="40">
        <f t="shared" si="80"/>
        <v>160252.30000000002</v>
      </c>
      <c r="AF45" s="40">
        <f t="shared" si="80"/>
        <v>160252.30000000002</v>
      </c>
      <c r="AG45" s="40">
        <f t="shared" si="80"/>
        <v>160250.79999999999</v>
      </c>
      <c r="AH45" s="40">
        <f t="shared" si="80"/>
        <v>160250.79999999999</v>
      </c>
      <c r="AI45" s="40">
        <f t="shared" ref="AI45:BN45" si="81">+SUM(AI46:AI53)+AI56</f>
        <v>162138.79999999999</v>
      </c>
      <c r="AJ45" s="40">
        <f t="shared" si="81"/>
        <v>162134.00000000003</v>
      </c>
      <c r="AK45" s="40">
        <f t="shared" si="81"/>
        <v>162521.30000000002</v>
      </c>
      <c r="AL45" s="40">
        <f t="shared" si="81"/>
        <v>164375.09999999998</v>
      </c>
      <c r="AM45" s="40">
        <f t="shared" si="81"/>
        <v>164578.40000000002</v>
      </c>
      <c r="AN45" s="40">
        <f t="shared" si="81"/>
        <v>164577.70000000001</v>
      </c>
      <c r="AO45" s="40">
        <f t="shared" si="81"/>
        <v>164577.70000000001</v>
      </c>
      <c r="AP45" s="40">
        <f t="shared" si="81"/>
        <v>164576.6</v>
      </c>
      <c r="AQ45" s="40">
        <f t="shared" si="81"/>
        <v>164576.6</v>
      </c>
      <c r="AR45" s="40">
        <f t="shared" si="81"/>
        <v>164576.6</v>
      </c>
      <c r="AS45" s="40">
        <f t="shared" si="81"/>
        <v>164576.6</v>
      </c>
      <c r="AT45" s="40">
        <f t="shared" si="81"/>
        <v>164576.6</v>
      </c>
      <c r="AU45" s="40">
        <f t="shared" si="81"/>
        <v>167308.20000000001</v>
      </c>
      <c r="AV45" s="40">
        <f t="shared" si="81"/>
        <v>167561.19999999998</v>
      </c>
      <c r="AW45" s="40">
        <f t="shared" si="81"/>
        <v>167561.19999999998</v>
      </c>
      <c r="AX45" s="40">
        <f t="shared" si="81"/>
        <v>168577.69999999998</v>
      </c>
      <c r="AY45" s="40">
        <f t="shared" si="81"/>
        <v>168665.9</v>
      </c>
      <c r="AZ45" s="40">
        <f t="shared" si="81"/>
        <v>168696.59999999998</v>
      </c>
      <c r="BA45" s="40">
        <f t="shared" si="81"/>
        <v>168743.69999999998</v>
      </c>
      <c r="BB45" s="40">
        <f t="shared" si="81"/>
        <v>168797.8</v>
      </c>
      <c r="BC45" s="40">
        <f t="shared" si="81"/>
        <v>168800.4</v>
      </c>
      <c r="BD45" s="40">
        <f t="shared" si="81"/>
        <v>168913.09999999998</v>
      </c>
      <c r="BE45" s="40">
        <f t="shared" si="81"/>
        <v>171731.8</v>
      </c>
      <c r="BF45" s="40">
        <f t="shared" si="81"/>
        <v>171763</v>
      </c>
      <c r="BG45" s="40">
        <f t="shared" si="81"/>
        <v>173953.3</v>
      </c>
      <c r="BH45" s="40">
        <f t="shared" si="81"/>
        <v>172396.89999999997</v>
      </c>
      <c r="BI45" s="40">
        <f t="shared" si="81"/>
        <v>172396.89999999997</v>
      </c>
      <c r="BJ45" s="40">
        <f t="shared" si="81"/>
        <v>172443.3</v>
      </c>
      <c r="BK45" s="40">
        <f t="shared" si="81"/>
        <v>174190.5</v>
      </c>
      <c r="BL45" s="40">
        <f t="shared" si="81"/>
        <v>166610</v>
      </c>
      <c r="BM45" s="40">
        <f t="shared" si="81"/>
        <v>166644.5</v>
      </c>
      <c r="BN45" s="40">
        <f t="shared" si="81"/>
        <v>166682.79999999999</v>
      </c>
      <c r="BO45" s="40">
        <f t="shared" ref="BO45:CJ45" si="82">+SUM(BO46:BO53)+BO56</f>
        <v>164552.39999999997</v>
      </c>
      <c r="BP45" s="40">
        <f t="shared" si="82"/>
        <v>164594.79999999999</v>
      </c>
      <c r="BQ45" s="40">
        <f t="shared" si="82"/>
        <v>163597.59999999998</v>
      </c>
      <c r="BR45" s="40">
        <f t="shared" si="82"/>
        <v>163607</v>
      </c>
      <c r="BS45" s="40">
        <f t="shared" si="82"/>
        <v>163632.20000000001</v>
      </c>
      <c r="BT45" s="40">
        <f t="shared" si="82"/>
        <v>163655.4</v>
      </c>
      <c r="BU45" s="40">
        <f t="shared" si="82"/>
        <v>163655.4</v>
      </c>
      <c r="BV45" s="40">
        <f t="shared" si="82"/>
        <v>163687.5</v>
      </c>
      <c r="BW45" s="40">
        <f t="shared" si="82"/>
        <v>161043.9</v>
      </c>
      <c r="BX45" s="40">
        <f t="shared" si="82"/>
        <v>161043.9</v>
      </c>
      <c r="BY45" s="40">
        <f t="shared" si="82"/>
        <v>161067.59999999998</v>
      </c>
      <c r="BZ45" s="40">
        <f t="shared" si="82"/>
        <v>161107.29999999999</v>
      </c>
      <c r="CA45" s="40">
        <f t="shared" si="82"/>
        <v>147490.5</v>
      </c>
      <c r="CB45" s="40">
        <f t="shared" si="82"/>
        <v>146191</v>
      </c>
      <c r="CC45" s="40">
        <f t="shared" si="82"/>
        <v>143609.5</v>
      </c>
      <c r="CD45" s="40">
        <f t="shared" si="82"/>
        <v>140340.70000000001</v>
      </c>
      <c r="CE45" s="40">
        <f t="shared" si="82"/>
        <v>140348.09999999998</v>
      </c>
      <c r="CF45" s="40">
        <f t="shared" si="82"/>
        <v>140354.09999999998</v>
      </c>
      <c r="CG45" s="40">
        <f t="shared" si="82"/>
        <v>140354.09999999998</v>
      </c>
      <c r="CH45" s="40">
        <f t="shared" ref="CH45:CI45" si="83">+SUM(CH46:CH53)+CH56</f>
        <v>149884</v>
      </c>
      <c r="CI45" s="40">
        <f t="shared" si="83"/>
        <v>147300.69999999998</v>
      </c>
      <c r="CJ45" s="40">
        <f t="shared" si="82"/>
        <v>147550.69999999998</v>
      </c>
      <c r="CK45" s="324">
        <f>+CJ45/$CJ$10</f>
        <v>0.31251822837846904</v>
      </c>
    </row>
    <row r="46" spans="1:89" x14ac:dyDescent="0.3">
      <c r="A46" s="38"/>
      <c r="B46" s="45" t="s">
        <v>47</v>
      </c>
      <c r="C46" s="267">
        <v>38770</v>
      </c>
      <c r="D46" s="267">
        <v>38770</v>
      </c>
      <c r="E46" s="267">
        <v>38770</v>
      </c>
      <c r="F46" s="267">
        <v>38770</v>
      </c>
      <c r="G46" s="267">
        <v>38770</v>
      </c>
      <c r="H46" s="267">
        <v>38770</v>
      </c>
      <c r="I46" s="267">
        <v>38770</v>
      </c>
      <c r="J46" s="267">
        <v>38770</v>
      </c>
      <c r="K46" s="267">
        <v>38770</v>
      </c>
      <c r="L46" s="267">
        <v>38770</v>
      </c>
      <c r="M46" s="267">
        <v>38770</v>
      </c>
      <c r="N46" s="267">
        <v>38770</v>
      </c>
      <c r="O46" s="267">
        <v>38770</v>
      </c>
      <c r="P46" s="267">
        <v>38770</v>
      </c>
      <c r="Q46" s="267">
        <v>38770</v>
      </c>
      <c r="R46" s="267">
        <v>38770</v>
      </c>
      <c r="S46" s="267">
        <v>38770</v>
      </c>
      <c r="T46" s="267">
        <v>38770</v>
      </c>
      <c r="U46" s="267">
        <v>38770</v>
      </c>
      <c r="V46" s="267">
        <v>38770</v>
      </c>
      <c r="W46" s="267">
        <v>38770</v>
      </c>
      <c r="X46" s="267">
        <v>38770</v>
      </c>
      <c r="Y46" s="267">
        <v>38770</v>
      </c>
      <c r="Z46" s="267">
        <v>38770</v>
      </c>
      <c r="AA46" s="267">
        <v>31266</v>
      </c>
      <c r="AB46" s="267">
        <v>31266</v>
      </c>
      <c r="AC46" s="267">
        <v>31266</v>
      </c>
      <c r="AD46" s="267">
        <v>31266</v>
      </c>
      <c r="AE46" s="267">
        <v>31266</v>
      </c>
      <c r="AF46" s="267">
        <v>31266</v>
      </c>
      <c r="AG46" s="267">
        <v>31266</v>
      </c>
      <c r="AH46" s="267">
        <v>31266</v>
      </c>
      <c r="AI46" s="267">
        <v>31266</v>
      </c>
      <c r="AJ46" s="267">
        <v>31266</v>
      </c>
      <c r="AK46" s="267">
        <v>31266</v>
      </c>
      <c r="AL46" s="267">
        <v>31266</v>
      </c>
      <c r="AM46" s="267">
        <v>31266</v>
      </c>
      <c r="AN46" s="267">
        <v>31266</v>
      </c>
      <c r="AO46" s="267">
        <v>31266</v>
      </c>
      <c r="AP46" s="267">
        <v>25592</v>
      </c>
      <c r="AQ46" s="267">
        <v>25592</v>
      </c>
      <c r="AR46" s="267">
        <v>25592</v>
      </c>
      <c r="AS46" s="267">
        <v>25592</v>
      </c>
      <c r="AT46" s="267">
        <v>25592</v>
      </c>
      <c r="AU46" s="267">
        <v>25592</v>
      </c>
      <c r="AV46" s="267">
        <v>25592</v>
      </c>
      <c r="AW46" s="267">
        <v>25592</v>
      </c>
      <c r="AX46" s="267">
        <v>25592</v>
      </c>
      <c r="AY46" s="267">
        <v>18459.3</v>
      </c>
      <c r="AZ46" s="267">
        <v>18459.3</v>
      </c>
      <c r="BA46" s="267">
        <v>18459.3</v>
      </c>
      <c r="BB46" s="267">
        <v>18459.3</v>
      </c>
      <c r="BC46" s="267">
        <v>18459.3</v>
      </c>
      <c r="BD46" s="267">
        <v>18459.3</v>
      </c>
      <c r="BE46" s="267">
        <v>18459.3</v>
      </c>
      <c r="BF46" s="267">
        <v>18459.3</v>
      </c>
      <c r="BG46" s="267">
        <v>18459.3</v>
      </c>
      <c r="BH46" s="267">
        <v>18459.3</v>
      </c>
      <c r="BI46" s="267">
        <v>18459.3</v>
      </c>
      <c r="BJ46" s="267">
        <v>18459.3</v>
      </c>
      <c r="BK46" s="267">
        <v>10562.5</v>
      </c>
      <c r="BL46" s="267">
        <v>10562.5</v>
      </c>
      <c r="BM46" s="267">
        <v>10562.5</v>
      </c>
      <c r="BN46" s="267">
        <v>10562.5</v>
      </c>
      <c r="BO46" s="267">
        <v>10562.5</v>
      </c>
      <c r="BP46" s="267">
        <v>10562.5</v>
      </c>
      <c r="BQ46" s="267">
        <v>10562.5</v>
      </c>
      <c r="BR46" s="267">
        <v>10562.5</v>
      </c>
      <c r="BS46" s="267">
        <v>10562.5</v>
      </c>
      <c r="BT46" s="267">
        <v>10562.5</v>
      </c>
      <c r="BU46" s="267">
        <v>10562.5</v>
      </c>
      <c r="BV46" s="267">
        <v>10562.5</v>
      </c>
      <c r="BW46" s="267">
        <v>10562.5</v>
      </c>
      <c r="BX46" s="267">
        <v>10562.5</v>
      </c>
      <c r="BY46" s="267">
        <v>10562.5</v>
      </c>
      <c r="BZ46" s="267">
        <v>10562.5</v>
      </c>
      <c r="CA46" s="267">
        <v>0</v>
      </c>
      <c r="CB46" s="267">
        <v>0</v>
      </c>
      <c r="CC46" s="267">
        <v>0</v>
      </c>
      <c r="CD46" s="267">
        <v>0</v>
      </c>
      <c r="CE46" s="267">
        <v>0</v>
      </c>
      <c r="CF46" s="267">
        <v>0</v>
      </c>
      <c r="CG46" s="267">
        <v>0</v>
      </c>
      <c r="CH46" s="267">
        <v>0</v>
      </c>
      <c r="CI46" s="267">
        <v>0</v>
      </c>
      <c r="CJ46" s="267">
        <v>0</v>
      </c>
      <c r="CK46" s="325"/>
    </row>
    <row r="47" spans="1:89" x14ac:dyDescent="0.3">
      <c r="A47" s="38"/>
      <c r="B47" s="45" t="s">
        <v>48</v>
      </c>
      <c r="C47" s="267">
        <v>9540.2999999999993</v>
      </c>
      <c r="D47" s="267">
        <v>9540.2999999999993</v>
      </c>
      <c r="E47" s="267">
        <v>9540.2999999999993</v>
      </c>
      <c r="F47" s="267">
        <v>9540.2999999999993</v>
      </c>
      <c r="G47" s="267">
        <v>9540.2999999999993</v>
      </c>
      <c r="H47" s="267">
        <v>9540.2999999999993</v>
      </c>
      <c r="I47" s="267">
        <v>9540.2999999999993</v>
      </c>
      <c r="J47" s="267">
        <v>9540.2999999999993</v>
      </c>
      <c r="K47" s="267">
        <v>9540.2999999999993</v>
      </c>
      <c r="L47" s="267">
        <v>9540.2999999999993</v>
      </c>
      <c r="M47" s="267">
        <v>9540.2999999999993</v>
      </c>
      <c r="N47" s="267">
        <v>9540.2999999999993</v>
      </c>
      <c r="O47" s="267">
        <v>9540.2999999999993</v>
      </c>
      <c r="P47" s="267">
        <v>9540.2999999999993</v>
      </c>
      <c r="Q47" s="267">
        <v>9540.2999999999993</v>
      </c>
      <c r="R47" s="267">
        <v>9540.2999999999993</v>
      </c>
      <c r="S47" s="267">
        <v>9540.2999999999993</v>
      </c>
      <c r="T47" s="267">
        <v>9540.2999999999993</v>
      </c>
      <c r="U47" s="267">
        <v>9540.2999999999993</v>
      </c>
      <c r="V47" s="267">
        <v>9540.2999999999993</v>
      </c>
      <c r="W47" s="267">
        <v>9540.2999999999993</v>
      </c>
      <c r="X47" s="267">
        <v>9540.2999999999993</v>
      </c>
      <c r="Y47" s="267">
        <v>9540.2999999999993</v>
      </c>
      <c r="Z47" s="267">
        <v>9540.2999999999993</v>
      </c>
      <c r="AA47" s="267">
        <v>9540.2999999999993</v>
      </c>
      <c r="AB47" s="267">
        <v>9540.2999999999993</v>
      </c>
      <c r="AC47" s="267">
        <v>7418.9</v>
      </c>
      <c r="AD47" s="267">
        <v>7418.9</v>
      </c>
      <c r="AE47" s="267">
        <v>7418.9</v>
      </c>
      <c r="AF47" s="267">
        <v>7418.9</v>
      </c>
      <c r="AG47" s="267">
        <v>7418.9</v>
      </c>
      <c r="AH47" s="267">
        <v>7418.9</v>
      </c>
      <c r="AI47" s="267">
        <v>7418.9</v>
      </c>
      <c r="AJ47" s="267">
        <v>7418.9</v>
      </c>
      <c r="AK47" s="267">
        <v>7418.9</v>
      </c>
      <c r="AL47" s="267">
        <v>7418.9</v>
      </c>
      <c r="AM47" s="267">
        <v>7418.9</v>
      </c>
      <c r="AN47" s="267">
        <v>7418.9</v>
      </c>
      <c r="AO47" s="267">
        <v>7418.9</v>
      </c>
      <c r="AP47" s="267">
        <v>7418.9</v>
      </c>
      <c r="AQ47" s="267">
        <v>7418.9</v>
      </c>
      <c r="AR47" s="267">
        <v>5335.3</v>
      </c>
      <c r="AS47" s="267">
        <v>5335.3</v>
      </c>
      <c r="AT47" s="267">
        <v>5335.3</v>
      </c>
      <c r="AU47" s="267">
        <v>5335.3</v>
      </c>
      <c r="AV47" s="267">
        <v>5335.3</v>
      </c>
      <c r="AW47" s="267">
        <v>5335.3</v>
      </c>
      <c r="AX47" s="267">
        <v>5335.3</v>
      </c>
      <c r="AY47" s="267">
        <v>5335.3</v>
      </c>
      <c r="AZ47" s="267">
        <v>5335.3</v>
      </c>
      <c r="BA47" s="267">
        <v>5335.3</v>
      </c>
      <c r="BB47" s="267">
        <v>5335.3</v>
      </c>
      <c r="BC47" s="267">
        <v>5335.3</v>
      </c>
      <c r="BD47" s="267">
        <v>5335.3</v>
      </c>
      <c r="BE47" s="267">
        <v>5335.3</v>
      </c>
      <c r="BF47" s="267">
        <v>3043</v>
      </c>
      <c r="BG47" s="267">
        <v>3043</v>
      </c>
      <c r="BH47" s="267">
        <v>3043</v>
      </c>
      <c r="BI47" s="267">
        <v>3043</v>
      </c>
      <c r="BJ47" s="267">
        <v>3043</v>
      </c>
      <c r="BK47" s="267">
        <v>3043</v>
      </c>
      <c r="BL47" s="267">
        <v>3043</v>
      </c>
      <c r="BM47" s="267">
        <v>3043</v>
      </c>
      <c r="BN47" s="267">
        <v>3043</v>
      </c>
      <c r="BO47" s="267">
        <v>3043</v>
      </c>
      <c r="BP47" s="267">
        <v>3043</v>
      </c>
      <c r="BQ47" s="267">
        <v>3043</v>
      </c>
      <c r="BR47" s="267">
        <v>0</v>
      </c>
      <c r="BS47" s="267">
        <v>0</v>
      </c>
      <c r="BT47" s="267">
        <v>0</v>
      </c>
      <c r="BU47" s="267">
        <v>0</v>
      </c>
      <c r="BV47" s="267">
        <v>0</v>
      </c>
      <c r="BW47" s="267">
        <v>0</v>
      </c>
      <c r="BX47" s="267">
        <v>0</v>
      </c>
      <c r="BY47" s="267">
        <v>0</v>
      </c>
      <c r="BZ47" s="267">
        <v>0</v>
      </c>
      <c r="CA47" s="267">
        <v>0</v>
      </c>
      <c r="CB47" s="267">
        <v>0</v>
      </c>
      <c r="CC47" s="267">
        <v>0</v>
      </c>
      <c r="CD47" s="267">
        <v>0</v>
      </c>
      <c r="CE47" s="267">
        <v>0</v>
      </c>
      <c r="CF47" s="267">
        <v>0</v>
      </c>
      <c r="CG47" s="267">
        <v>0</v>
      </c>
      <c r="CH47" s="267">
        <v>0</v>
      </c>
      <c r="CI47" s="267">
        <v>0</v>
      </c>
      <c r="CJ47" s="267">
        <v>0</v>
      </c>
      <c r="CK47" s="325"/>
    </row>
    <row r="48" spans="1:89" x14ac:dyDescent="0.3">
      <c r="A48" s="38"/>
      <c r="B48" s="45" t="s">
        <v>49</v>
      </c>
      <c r="C48" s="267">
        <v>376.3</v>
      </c>
      <c r="D48" s="267">
        <v>376.3</v>
      </c>
      <c r="E48" s="267">
        <v>376.3</v>
      </c>
      <c r="F48" s="267">
        <v>376.3</v>
      </c>
      <c r="G48" s="267">
        <v>376.3</v>
      </c>
      <c r="H48" s="267">
        <v>376.3</v>
      </c>
      <c r="I48" s="267">
        <v>376.3</v>
      </c>
      <c r="J48" s="267">
        <v>376.3</v>
      </c>
      <c r="K48" s="267">
        <v>376.3</v>
      </c>
      <c r="L48" s="267">
        <v>376.3</v>
      </c>
      <c r="M48" s="267">
        <v>376.3</v>
      </c>
      <c r="N48" s="267">
        <v>1702.9</v>
      </c>
      <c r="O48" s="267">
        <v>2970.6</v>
      </c>
      <c r="P48" s="267">
        <v>3615.6</v>
      </c>
      <c r="Q48" s="267">
        <v>4287.6000000000004</v>
      </c>
      <c r="R48" s="267">
        <v>4458.3999999999996</v>
      </c>
      <c r="S48" s="267">
        <v>4943.6000000000004</v>
      </c>
      <c r="T48" s="267">
        <v>5010.8999999999996</v>
      </c>
      <c r="U48" s="267">
        <v>5053</v>
      </c>
      <c r="V48" s="267">
        <v>5059.7</v>
      </c>
      <c r="W48" s="267">
        <v>5059.7</v>
      </c>
      <c r="X48" s="267">
        <v>5059.7</v>
      </c>
      <c r="Y48" s="267">
        <v>5059.7</v>
      </c>
      <c r="Z48" s="267">
        <v>5061</v>
      </c>
      <c r="AA48" s="267">
        <v>12569.4</v>
      </c>
      <c r="AB48" s="267">
        <v>12572.2</v>
      </c>
      <c r="AC48" s="267">
        <v>14693.6</v>
      </c>
      <c r="AD48" s="267">
        <v>14693.6</v>
      </c>
      <c r="AE48" s="267">
        <v>14693.6</v>
      </c>
      <c r="AF48" s="267">
        <v>14693.6</v>
      </c>
      <c r="AG48" s="267">
        <v>14693.6</v>
      </c>
      <c r="AH48" s="267">
        <v>14693.6</v>
      </c>
      <c r="AI48" s="267">
        <v>16581.599999999999</v>
      </c>
      <c r="AJ48" s="267">
        <v>16581.599999999999</v>
      </c>
      <c r="AK48" s="267">
        <v>16969.099999999999</v>
      </c>
      <c r="AL48" s="267">
        <v>18824.5</v>
      </c>
      <c r="AM48" s="267">
        <v>19027.599999999999</v>
      </c>
      <c r="AN48" s="267">
        <v>19027.599999999999</v>
      </c>
      <c r="AO48" s="267">
        <v>19027.599999999999</v>
      </c>
      <c r="AP48" s="267">
        <v>24701.599999999999</v>
      </c>
      <c r="AQ48" s="267">
        <v>24701.599999999999</v>
      </c>
      <c r="AR48" s="267">
        <v>26785.200000000001</v>
      </c>
      <c r="AS48" s="267">
        <v>26785.200000000001</v>
      </c>
      <c r="AT48" s="267">
        <v>26785.200000000001</v>
      </c>
      <c r="AU48" s="267">
        <v>29516.799999999999</v>
      </c>
      <c r="AV48" s="267">
        <v>29763.599999999999</v>
      </c>
      <c r="AW48" s="267">
        <v>29763.599999999999</v>
      </c>
      <c r="AX48" s="267">
        <v>30780.1</v>
      </c>
      <c r="AY48" s="267">
        <v>38001</v>
      </c>
      <c r="AZ48" s="267">
        <v>38031.699999999997</v>
      </c>
      <c r="BA48" s="267">
        <v>38078.800000000003</v>
      </c>
      <c r="BB48" s="267">
        <v>38132.9</v>
      </c>
      <c r="BC48" s="267">
        <v>38135.5</v>
      </c>
      <c r="BD48" s="267">
        <v>38248.199999999997</v>
      </c>
      <c r="BE48" s="267">
        <v>41066.9</v>
      </c>
      <c r="BF48" s="267">
        <v>43390.400000000001</v>
      </c>
      <c r="BG48" s="267">
        <v>45580.7</v>
      </c>
      <c r="BH48" s="267">
        <v>45641.1</v>
      </c>
      <c r="BI48" s="267">
        <v>45641.1</v>
      </c>
      <c r="BJ48" s="267">
        <v>45687.5</v>
      </c>
      <c r="BK48" s="267">
        <v>55331.5</v>
      </c>
      <c r="BL48" s="267">
        <v>55346.9</v>
      </c>
      <c r="BM48" s="267">
        <v>55381.4</v>
      </c>
      <c r="BN48" s="267">
        <v>55419.7</v>
      </c>
      <c r="BO48" s="267">
        <v>55419.7</v>
      </c>
      <c r="BP48" s="267">
        <v>55462.1</v>
      </c>
      <c r="BQ48" s="267">
        <v>55591</v>
      </c>
      <c r="BR48" s="267">
        <v>58643.4</v>
      </c>
      <c r="BS48" s="267">
        <v>58668.6</v>
      </c>
      <c r="BT48" s="267">
        <v>58691.8</v>
      </c>
      <c r="BU48" s="267">
        <v>58691.8</v>
      </c>
      <c r="BV48" s="267">
        <v>58723.9</v>
      </c>
      <c r="BW48" s="267">
        <v>58781.8</v>
      </c>
      <c r="BX48" s="267">
        <v>58781.8</v>
      </c>
      <c r="BY48" s="267">
        <v>58805.5</v>
      </c>
      <c r="BZ48" s="267">
        <v>58845.2</v>
      </c>
      <c r="CA48" s="267">
        <v>55790.9</v>
      </c>
      <c r="CB48" s="267">
        <v>55790.9</v>
      </c>
      <c r="CC48" s="267">
        <v>55792.6</v>
      </c>
      <c r="CD48" s="267">
        <v>52523.8</v>
      </c>
      <c r="CE48" s="267">
        <v>52531.199999999997</v>
      </c>
      <c r="CF48" s="267">
        <v>52537.2</v>
      </c>
      <c r="CG48" s="267">
        <v>52537.2</v>
      </c>
      <c r="CH48" s="267">
        <v>52533.5</v>
      </c>
      <c r="CI48" s="267">
        <v>52533.5</v>
      </c>
      <c r="CJ48" s="267">
        <v>52533.5</v>
      </c>
      <c r="CK48" s="325"/>
    </row>
    <row r="49" spans="1:89" x14ac:dyDescent="0.3">
      <c r="A49" s="38"/>
      <c r="B49" s="46" t="s">
        <v>422</v>
      </c>
      <c r="C49" s="267">
        <v>46114.3</v>
      </c>
      <c r="D49" s="267">
        <v>48193.8</v>
      </c>
      <c r="E49" s="267">
        <v>45460.3</v>
      </c>
      <c r="F49" s="267">
        <v>45699.4</v>
      </c>
      <c r="G49" s="267">
        <v>43183.9</v>
      </c>
      <c r="H49" s="267">
        <v>43183.9</v>
      </c>
      <c r="I49" s="267">
        <v>43183.9</v>
      </c>
      <c r="J49" s="267">
        <v>30352.1</v>
      </c>
      <c r="K49" s="267">
        <v>30352.1</v>
      </c>
      <c r="L49" s="267">
        <v>30352.1</v>
      </c>
      <c r="M49" s="267">
        <v>30352.1</v>
      </c>
      <c r="N49" s="267">
        <v>30352.1</v>
      </c>
      <c r="O49" s="267">
        <v>30352.1</v>
      </c>
      <c r="P49" s="267">
        <v>30352.1</v>
      </c>
      <c r="Q49" s="267">
        <v>30352.1</v>
      </c>
      <c r="R49" s="267">
        <v>30352.1</v>
      </c>
      <c r="S49" s="267">
        <v>30352.1</v>
      </c>
      <c r="T49" s="267">
        <v>30352.1</v>
      </c>
      <c r="U49" s="267">
        <v>30352.1</v>
      </c>
      <c r="V49" s="267">
        <v>30352.1</v>
      </c>
      <c r="W49" s="267">
        <v>132.1</v>
      </c>
      <c r="X49" s="267">
        <v>132.1</v>
      </c>
      <c r="Y49" s="267">
        <v>106.7</v>
      </c>
      <c r="Z49" s="267">
        <v>101.8</v>
      </c>
      <c r="AA49" s="267">
        <v>97</v>
      </c>
      <c r="AB49" s="267">
        <v>94.2</v>
      </c>
      <c r="AC49" s="267">
        <v>91.8</v>
      </c>
      <c r="AD49" s="267">
        <v>89</v>
      </c>
      <c r="AE49" s="267">
        <v>87</v>
      </c>
      <c r="AF49" s="267">
        <v>87</v>
      </c>
      <c r="AG49" s="267">
        <v>79.400000000000006</v>
      </c>
      <c r="AH49" s="267">
        <v>79.400000000000006</v>
      </c>
      <c r="AI49" s="267">
        <v>79.400000000000006</v>
      </c>
      <c r="AJ49" s="267">
        <v>72.099999999999994</v>
      </c>
      <c r="AK49" s="267">
        <v>69.7</v>
      </c>
      <c r="AL49" s="267">
        <v>64.900000000000006</v>
      </c>
      <c r="AM49" s="267">
        <v>62.8</v>
      </c>
      <c r="AN49" s="267">
        <v>61.1</v>
      </c>
      <c r="AO49" s="267">
        <v>61.1</v>
      </c>
      <c r="AP49" s="267">
        <v>50</v>
      </c>
      <c r="AQ49" s="267">
        <v>50</v>
      </c>
      <c r="AR49" s="267">
        <v>50</v>
      </c>
      <c r="AS49" s="267">
        <v>50</v>
      </c>
      <c r="AT49" s="267">
        <v>50</v>
      </c>
      <c r="AU49" s="267">
        <v>50</v>
      </c>
      <c r="AV49" s="267">
        <v>0</v>
      </c>
      <c r="AW49" s="267">
        <v>0</v>
      </c>
      <c r="AX49" s="267">
        <v>0</v>
      </c>
      <c r="AY49" s="267">
        <v>0</v>
      </c>
      <c r="AZ49" s="267">
        <v>0</v>
      </c>
      <c r="BA49" s="267">
        <v>0</v>
      </c>
      <c r="BB49" s="267">
        <v>0</v>
      </c>
      <c r="BC49" s="267">
        <v>0</v>
      </c>
      <c r="BD49" s="267">
        <v>0</v>
      </c>
      <c r="BE49" s="267">
        <v>0</v>
      </c>
      <c r="BF49" s="267">
        <v>0</v>
      </c>
      <c r="BG49" s="267">
        <v>0</v>
      </c>
      <c r="BH49" s="267">
        <v>0</v>
      </c>
      <c r="BI49" s="267">
        <v>0</v>
      </c>
      <c r="BJ49" s="267">
        <v>0</v>
      </c>
      <c r="BK49" s="267">
        <v>0</v>
      </c>
      <c r="BL49" s="267">
        <v>0</v>
      </c>
      <c r="BM49" s="267">
        <v>0</v>
      </c>
      <c r="BN49" s="267">
        <v>0</v>
      </c>
      <c r="BO49" s="267">
        <v>0</v>
      </c>
      <c r="BP49" s="267">
        <v>0</v>
      </c>
      <c r="BQ49" s="267">
        <v>0</v>
      </c>
      <c r="BR49" s="267">
        <v>0</v>
      </c>
      <c r="BS49" s="267">
        <v>0</v>
      </c>
      <c r="BT49" s="267">
        <v>0</v>
      </c>
      <c r="BU49" s="267">
        <v>0</v>
      </c>
      <c r="BV49" s="267">
        <v>0</v>
      </c>
      <c r="BW49" s="267">
        <v>0</v>
      </c>
      <c r="BX49" s="267">
        <v>0</v>
      </c>
      <c r="BY49" s="267">
        <v>0</v>
      </c>
      <c r="BZ49" s="267">
        <v>0</v>
      </c>
      <c r="CA49" s="267">
        <v>0</v>
      </c>
      <c r="CB49" s="267">
        <v>0</v>
      </c>
      <c r="CC49" s="267">
        <v>0</v>
      </c>
      <c r="CD49" s="267">
        <v>0</v>
      </c>
      <c r="CE49" s="267">
        <v>0</v>
      </c>
      <c r="CF49" s="267">
        <v>0</v>
      </c>
      <c r="CG49" s="267">
        <v>0</v>
      </c>
      <c r="CH49" s="267">
        <v>1000</v>
      </c>
      <c r="CI49" s="267">
        <v>1000</v>
      </c>
      <c r="CJ49" s="267">
        <v>1250</v>
      </c>
      <c r="CK49" s="325"/>
    </row>
    <row r="50" spans="1:89" x14ac:dyDescent="0.3">
      <c r="A50" s="38"/>
      <c r="B50" s="46" t="s">
        <v>18</v>
      </c>
      <c r="C50" s="267">
        <v>38000</v>
      </c>
      <c r="D50" s="267">
        <v>38000</v>
      </c>
      <c r="E50" s="267">
        <v>38000</v>
      </c>
      <c r="F50" s="267">
        <v>35250</v>
      </c>
      <c r="G50" s="267">
        <v>35250</v>
      </c>
      <c r="H50" s="267">
        <v>35250</v>
      </c>
      <c r="I50" s="267">
        <v>35250</v>
      </c>
      <c r="J50" s="267">
        <v>35250</v>
      </c>
      <c r="K50" s="267">
        <v>35250</v>
      </c>
      <c r="L50" s="267">
        <v>35250</v>
      </c>
      <c r="M50" s="267">
        <v>35250</v>
      </c>
      <c r="N50" s="267">
        <v>35250</v>
      </c>
      <c r="O50" s="267">
        <v>35250</v>
      </c>
      <c r="P50" s="267">
        <v>35250</v>
      </c>
      <c r="Q50" s="267">
        <v>35250</v>
      </c>
      <c r="R50" s="267">
        <v>35250</v>
      </c>
      <c r="S50" s="267">
        <v>35250</v>
      </c>
      <c r="T50" s="267">
        <v>35250</v>
      </c>
      <c r="U50" s="267">
        <v>35250</v>
      </c>
      <c r="V50" s="267">
        <v>35250</v>
      </c>
      <c r="W50" s="267">
        <v>0</v>
      </c>
      <c r="X50" s="267">
        <v>0</v>
      </c>
      <c r="Y50" s="267">
        <v>0</v>
      </c>
      <c r="Z50" s="267">
        <v>0</v>
      </c>
      <c r="AA50" s="267">
        <v>0</v>
      </c>
      <c r="AB50" s="267">
        <v>0</v>
      </c>
      <c r="AC50" s="267">
        <v>0</v>
      </c>
      <c r="AD50" s="267">
        <v>0</v>
      </c>
      <c r="AE50" s="267">
        <v>0</v>
      </c>
      <c r="AF50" s="267">
        <v>0</v>
      </c>
      <c r="AG50" s="267">
        <v>0</v>
      </c>
      <c r="AH50" s="267">
        <v>0</v>
      </c>
      <c r="AI50" s="267">
        <v>0</v>
      </c>
      <c r="AJ50" s="267">
        <v>0</v>
      </c>
      <c r="AK50" s="267">
        <v>0</v>
      </c>
      <c r="AL50" s="267">
        <v>0</v>
      </c>
      <c r="AM50" s="267">
        <v>0</v>
      </c>
      <c r="AN50" s="267">
        <v>0</v>
      </c>
      <c r="AO50" s="267">
        <v>0</v>
      </c>
      <c r="AP50" s="267">
        <v>0</v>
      </c>
      <c r="AQ50" s="267">
        <v>0</v>
      </c>
      <c r="AR50" s="267">
        <v>0</v>
      </c>
      <c r="AS50" s="267">
        <v>0</v>
      </c>
      <c r="AT50" s="267">
        <v>0</v>
      </c>
      <c r="AU50" s="267">
        <v>0</v>
      </c>
      <c r="AV50" s="267">
        <v>0</v>
      </c>
      <c r="AW50" s="267">
        <v>0</v>
      </c>
      <c r="AX50" s="267">
        <v>0</v>
      </c>
      <c r="AY50" s="267">
        <v>0</v>
      </c>
      <c r="AZ50" s="267">
        <v>0</v>
      </c>
      <c r="BA50" s="267">
        <v>0</v>
      </c>
      <c r="BB50" s="267">
        <v>0</v>
      </c>
      <c r="BC50" s="267">
        <v>0</v>
      </c>
      <c r="BD50" s="267">
        <v>0</v>
      </c>
      <c r="BE50" s="267">
        <v>0</v>
      </c>
      <c r="BF50" s="267">
        <v>0</v>
      </c>
      <c r="BG50" s="267">
        <v>0</v>
      </c>
      <c r="BH50" s="267">
        <v>0</v>
      </c>
      <c r="BI50" s="267">
        <v>0</v>
      </c>
      <c r="BJ50" s="267">
        <v>0</v>
      </c>
      <c r="BK50" s="267">
        <v>0</v>
      </c>
      <c r="BL50" s="267">
        <v>0</v>
      </c>
      <c r="BM50" s="267">
        <v>0</v>
      </c>
      <c r="BN50" s="267">
        <v>0</v>
      </c>
      <c r="BO50" s="267">
        <v>0</v>
      </c>
      <c r="BP50" s="267">
        <v>0</v>
      </c>
      <c r="BQ50" s="267">
        <v>0</v>
      </c>
      <c r="BR50" s="267">
        <v>0</v>
      </c>
      <c r="BS50" s="267">
        <v>0</v>
      </c>
      <c r="BT50" s="267">
        <v>0</v>
      </c>
      <c r="BU50" s="267">
        <v>0</v>
      </c>
      <c r="BV50" s="267">
        <v>0</v>
      </c>
      <c r="BW50" s="267">
        <v>0</v>
      </c>
      <c r="BX50" s="267">
        <v>0</v>
      </c>
      <c r="BY50" s="267">
        <v>0</v>
      </c>
      <c r="BZ50" s="267">
        <v>0</v>
      </c>
      <c r="CA50" s="267">
        <v>0</v>
      </c>
      <c r="CB50" s="267">
        <v>0</v>
      </c>
      <c r="CC50" s="267">
        <v>0</v>
      </c>
      <c r="CD50" s="267">
        <v>0</v>
      </c>
      <c r="CE50" s="267">
        <v>0</v>
      </c>
      <c r="CF50" s="267">
        <v>0</v>
      </c>
      <c r="CG50" s="267">
        <v>0</v>
      </c>
      <c r="CH50" s="267">
        <v>0</v>
      </c>
      <c r="CI50" s="267">
        <v>0</v>
      </c>
      <c r="CJ50" s="267">
        <v>0</v>
      </c>
      <c r="CK50" s="325"/>
    </row>
    <row r="51" spans="1:89" x14ac:dyDescent="0.3">
      <c r="A51" s="38"/>
      <c r="B51" s="46" t="s">
        <v>228</v>
      </c>
      <c r="C51" s="267">
        <v>0</v>
      </c>
      <c r="D51" s="267">
        <v>0</v>
      </c>
      <c r="E51" s="267">
        <v>0</v>
      </c>
      <c r="F51" s="267">
        <v>0</v>
      </c>
      <c r="G51" s="267">
        <v>0</v>
      </c>
      <c r="H51" s="267">
        <v>0</v>
      </c>
      <c r="I51" s="267">
        <v>0</v>
      </c>
      <c r="J51" s="267">
        <v>0</v>
      </c>
      <c r="K51" s="267">
        <v>0</v>
      </c>
      <c r="L51" s="267">
        <v>0</v>
      </c>
      <c r="M51" s="267">
        <v>0</v>
      </c>
      <c r="N51" s="267">
        <v>0</v>
      </c>
      <c r="O51" s="267">
        <v>0</v>
      </c>
      <c r="P51" s="267">
        <v>0</v>
      </c>
      <c r="Q51" s="267">
        <v>0</v>
      </c>
      <c r="R51" s="267">
        <v>0</v>
      </c>
      <c r="S51" s="267">
        <v>0</v>
      </c>
      <c r="T51" s="267">
        <v>0</v>
      </c>
      <c r="U51" s="267">
        <v>0</v>
      </c>
      <c r="V51" s="267">
        <v>0</v>
      </c>
      <c r="W51" s="267">
        <v>41938.199999999997</v>
      </c>
      <c r="X51" s="267">
        <v>41938.199999999997</v>
      </c>
      <c r="Y51" s="267">
        <v>42715.6</v>
      </c>
      <c r="Z51" s="267">
        <v>43470.7</v>
      </c>
      <c r="AA51" s="267">
        <v>43476.800000000003</v>
      </c>
      <c r="AB51" s="267">
        <v>43480.3</v>
      </c>
      <c r="AC51" s="267">
        <v>43483.7</v>
      </c>
      <c r="AD51" s="267">
        <v>43486.7</v>
      </c>
      <c r="AE51" s="267">
        <v>43489.2</v>
      </c>
      <c r="AF51" s="267">
        <v>43489.2</v>
      </c>
      <c r="AG51" s="267">
        <v>43498.5</v>
      </c>
      <c r="AH51" s="267">
        <v>43498.5</v>
      </c>
      <c r="AI51" s="267">
        <v>43498.5</v>
      </c>
      <c r="AJ51" s="267">
        <v>43502.1</v>
      </c>
      <c r="AK51" s="267">
        <v>43505.7</v>
      </c>
      <c r="AL51" s="267">
        <v>43510.1</v>
      </c>
      <c r="AM51" s="267">
        <v>43512.7</v>
      </c>
      <c r="AN51" s="267">
        <v>43514.5</v>
      </c>
      <c r="AO51" s="267">
        <v>43514.5</v>
      </c>
      <c r="AP51" s="267">
        <v>43529.599999999999</v>
      </c>
      <c r="AQ51" s="267">
        <v>43529.599999999999</v>
      </c>
      <c r="AR51" s="267">
        <v>43529.599999999999</v>
      </c>
      <c r="AS51" s="267">
        <v>43529.599999999999</v>
      </c>
      <c r="AT51" s="267">
        <v>43529.599999999999</v>
      </c>
      <c r="AU51" s="267">
        <v>43529.599999999999</v>
      </c>
      <c r="AV51" s="267">
        <v>43628</v>
      </c>
      <c r="AW51" s="267">
        <v>43628</v>
      </c>
      <c r="AX51" s="267">
        <v>43628</v>
      </c>
      <c r="AY51" s="267">
        <v>43628</v>
      </c>
      <c r="AZ51" s="267">
        <v>43628</v>
      </c>
      <c r="BA51" s="267">
        <v>43628</v>
      </c>
      <c r="BB51" s="267">
        <v>43628</v>
      </c>
      <c r="BC51" s="267">
        <v>43628</v>
      </c>
      <c r="BD51" s="267">
        <v>43628</v>
      </c>
      <c r="BE51" s="267">
        <v>43628</v>
      </c>
      <c r="BF51" s="267">
        <v>43628</v>
      </c>
      <c r="BG51" s="267">
        <v>43628</v>
      </c>
      <c r="BH51" s="267">
        <v>43628</v>
      </c>
      <c r="BI51" s="267">
        <v>43628</v>
      </c>
      <c r="BJ51" s="267">
        <v>43628</v>
      </c>
      <c r="BK51" s="267">
        <v>43628</v>
      </c>
      <c r="BL51" s="267">
        <v>36032.1</v>
      </c>
      <c r="BM51" s="267">
        <v>36032.1</v>
      </c>
      <c r="BN51" s="267">
        <v>36032.1</v>
      </c>
      <c r="BO51" s="267">
        <v>33901.699999999997</v>
      </c>
      <c r="BP51" s="267">
        <v>33901.699999999997</v>
      </c>
      <c r="BQ51" s="267">
        <v>33358.5</v>
      </c>
      <c r="BR51" s="267">
        <v>33358.5</v>
      </c>
      <c r="BS51" s="267">
        <v>33358.5</v>
      </c>
      <c r="BT51" s="267">
        <v>33358.5</v>
      </c>
      <c r="BU51" s="267">
        <v>33358.5</v>
      </c>
      <c r="BV51" s="267">
        <v>33358.5</v>
      </c>
      <c r="BW51" s="267">
        <v>32132.5</v>
      </c>
      <c r="BX51" s="267">
        <v>32132.5</v>
      </c>
      <c r="BY51" s="267">
        <v>32132.5</v>
      </c>
      <c r="BZ51" s="267">
        <v>32132.5</v>
      </c>
      <c r="CA51" s="267">
        <v>32132.5</v>
      </c>
      <c r="CB51" s="267">
        <v>31701</v>
      </c>
      <c r="CC51" s="267">
        <v>30514.3</v>
      </c>
      <c r="CD51" s="267">
        <v>30514.3</v>
      </c>
      <c r="CE51" s="267">
        <v>30514.3</v>
      </c>
      <c r="CF51" s="267">
        <v>30514.3</v>
      </c>
      <c r="CG51" s="267">
        <v>30514.3</v>
      </c>
      <c r="CH51" s="267">
        <v>39047.9</v>
      </c>
      <c r="CI51" s="267">
        <v>37861.199999999997</v>
      </c>
      <c r="CJ51" s="267">
        <v>37861.199999999997</v>
      </c>
      <c r="CK51" s="325"/>
    </row>
    <row r="52" spans="1:89" x14ac:dyDescent="0.3">
      <c r="A52" s="38"/>
      <c r="B52" s="46" t="s">
        <v>229</v>
      </c>
      <c r="C52" s="267">
        <v>0</v>
      </c>
      <c r="D52" s="267">
        <v>0</v>
      </c>
      <c r="E52" s="267">
        <v>0</v>
      </c>
      <c r="F52" s="267">
        <v>0</v>
      </c>
      <c r="G52" s="267">
        <v>0</v>
      </c>
      <c r="H52" s="267">
        <v>0</v>
      </c>
      <c r="I52" s="267">
        <v>0</v>
      </c>
      <c r="J52" s="267">
        <v>0</v>
      </c>
      <c r="K52" s="267">
        <v>0</v>
      </c>
      <c r="L52" s="267">
        <v>0</v>
      </c>
      <c r="M52" s="267">
        <v>0</v>
      </c>
      <c r="N52" s="267">
        <v>0</v>
      </c>
      <c r="O52" s="267">
        <v>0</v>
      </c>
      <c r="P52" s="267">
        <v>0</v>
      </c>
      <c r="Q52" s="267">
        <v>0</v>
      </c>
      <c r="R52" s="267">
        <v>0</v>
      </c>
      <c r="S52" s="267">
        <v>0</v>
      </c>
      <c r="T52" s="267">
        <v>0</v>
      </c>
      <c r="U52" s="267">
        <v>0</v>
      </c>
      <c r="V52" s="267">
        <v>0</v>
      </c>
      <c r="W52" s="267">
        <v>63206.5</v>
      </c>
      <c r="X52" s="267">
        <v>63206.5</v>
      </c>
      <c r="Y52" s="267">
        <v>63206.5</v>
      </c>
      <c r="Z52" s="267">
        <v>63206.5</v>
      </c>
      <c r="AA52" s="267">
        <v>63206.5</v>
      </c>
      <c r="AB52" s="267">
        <v>63206.5</v>
      </c>
      <c r="AC52" s="267">
        <v>63206.5</v>
      </c>
      <c r="AD52" s="267">
        <v>63206.5</v>
      </c>
      <c r="AE52" s="267">
        <v>63206.5</v>
      </c>
      <c r="AF52" s="267">
        <v>63206.5</v>
      </c>
      <c r="AG52" s="267">
        <v>63206.5</v>
      </c>
      <c r="AH52" s="267">
        <v>63206.5</v>
      </c>
      <c r="AI52" s="267">
        <v>63206.5</v>
      </c>
      <c r="AJ52" s="267">
        <v>63206.5</v>
      </c>
      <c r="AK52" s="267">
        <v>63206.5</v>
      </c>
      <c r="AL52" s="267">
        <v>63206.5</v>
      </c>
      <c r="AM52" s="267">
        <v>63206.5</v>
      </c>
      <c r="AN52" s="267">
        <v>63206.5</v>
      </c>
      <c r="AO52" s="267">
        <v>63206.5</v>
      </c>
      <c r="AP52" s="267">
        <v>63206.5</v>
      </c>
      <c r="AQ52" s="267">
        <v>63206.5</v>
      </c>
      <c r="AR52" s="267">
        <v>63206.5</v>
      </c>
      <c r="AS52" s="267">
        <v>63206.5</v>
      </c>
      <c r="AT52" s="267">
        <v>63206.5</v>
      </c>
      <c r="AU52" s="267">
        <v>63206.5</v>
      </c>
      <c r="AV52" s="267">
        <v>63206.5</v>
      </c>
      <c r="AW52" s="267">
        <v>63206.5</v>
      </c>
      <c r="AX52" s="267">
        <v>63206.5</v>
      </c>
      <c r="AY52" s="267">
        <v>63206.5</v>
      </c>
      <c r="AZ52" s="267">
        <v>63206.5</v>
      </c>
      <c r="BA52" s="267">
        <v>63206.5</v>
      </c>
      <c r="BB52" s="267">
        <v>63206.5</v>
      </c>
      <c r="BC52" s="267">
        <v>63206.5</v>
      </c>
      <c r="BD52" s="267">
        <v>63206.5</v>
      </c>
      <c r="BE52" s="267">
        <v>63206.5</v>
      </c>
      <c r="BF52" s="267">
        <v>63206.5</v>
      </c>
      <c r="BG52" s="267">
        <v>63206.5</v>
      </c>
      <c r="BH52" s="267">
        <v>61589.7</v>
      </c>
      <c r="BI52" s="267">
        <v>61589.7</v>
      </c>
      <c r="BJ52" s="267">
        <v>61589.7</v>
      </c>
      <c r="BK52" s="267">
        <v>61589.7</v>
      </c>
      <c r="BL52" s="267">
        <v>61589.7</v>
      </c>
      <c r="BM52" s="267">
        <v>61589.7</v>
      </c>
      <c r="BN52" s="267">
        <v>61589.7</v>
      </c>
      <c r="BO52" s="267">
        <v>61589.7</v>
      </c>
      <c r="BP52" s="267">
        <v>61589.7</v>
      </c>
      <c r="BQ52" s="267">
        <v>61006.8</v>
      </c>
      <c r="BR52" s="267">
        <v>61006.8</v>
      </c>
      <c r="BS52" s="267">
        <v>61006.8</v>
      </c>
      <c r="BT52" s="267">
        <v>61006.8</v>
      </c>
      <c r="BU52" s="267">
        <v>61006.8</v>
      </c>
      <c r="BV52" s="267">
        <v>61006.8</v>
      </c>
      <c r="BW52" s="267">
        <v>59531.3</v>
      </c>
      <c r="BX52" s="267">
        <v>59531.3</v>
      </c>
      <c r="BY52" s="267">
        <v>59531.3</v>
      </c>
      <c r="BZ52" s="267">
        <v>59531.3</v>
      </c>
      <c r="CA52" s="267">
        <v>59531.3</v>
      </c>
      <c r="CB52" s="267">
        <v>58663.3</v>
      </c>
      <c r="CC52" s="267">
        <v>57266.8</v>
      </c>
      <c r="CD52" s="267">
        <v>57266.8</v>
      </c>
      <c r="CE52" s="267">
        <v>57266.8</v>
      </c>
      <c r="CF52" s="267">
        <v>57266.8</v>
      </c>
      <c r="CG52" s="267">
        <v>57266.8</v>
      </c>
      <c r="CH52" s="267">
        <v>57266.8</v>
      </c>
      <c r="CI52" s="267">
        <v>55870.2</v>
      </c>
      <c r="CJ52" s="267">
        <v>55870.2</v>
      </c>
      <c r="CK52" s="325"/>
    </row>
    <row r="53" spans="1:89" x14ac:dyDescent="0.3">
      <c r="A53" s="38"/>
      <c r="B53" s="46" t="s">
        <v>19</v>
      </c>
      <c r="C53" s="267">
        <f>+C54+C55</f>
        <v>12689.2</v>
      </c>
      <c r="D53" s="267">
        <f t="shared" ref="D53:H53" si="84">+D54+D55</f>
        <v>12689.2</v>
      </c>
      <c r="E53" s="267">
        <f t="shared" si="84"/>
        <v>12689.2</v>
      </c>
      <c r="F53" s="267">
        <f t="shared" si="84"/>
        <v>12819.1</v>
      </c>
      <c r="G53" s="267">
        <f t="shared" si="84"/>
        <v>12819.1</v>
      </c>
      <c r="H53" s="267">
        <f t="shared" si="84"/>
        <v>12819.1</v>
      </c>
      <c r="I53" s="267">
        <f t="shared" ref="I53:K53" si="85">+I54+I55</f>
        <v>12819.1</v>
      </c>
      <c r="J53" s="267">
        <f t="shared" si="85"/>
        <v>12819.1</v>
      </c>
      <c r="K53" s="267">
        <f t="shared" si="85"/>
        <v>12819.1</v>
      </c>
      <c r="L53" s="267">
        <v>12819</v>
      </c>
      <c r="M53" s="267">
        <v>12819</v>
      </c>
      <c r="N53" s="267">
        <v>12819</v>
      </c>
      <c r="O53" s="267">
        <f t="shared" ref="O53" si="86">+O54+O55</f>
        <v>12819.1</v>
      </c>
      <c r="P53" s="267">
        <f t="shared" ref="P53" si="87">+P54+P55</f>
        <v>12819.1</v>
      </c>
      <c r="Q53" s="267">
        <f>+Q54+Q55</f>
        <v>12819.1</v>
      </c>
      <c r="R53" s="267">
        <f>+R54+R55</f>
        <v>12819.1</v>
      </c>
      <c r="S53" s="267">
        <f>+S54+S55</f>
        <v>12819.1</v>
      </c>
      <c r="T53" s="267">
        <f>+T54+T55</f>
        <v>12819.1</v>
      </c>
      <c r="U53" s="267">
        <f>+U54+U55</f>
        <v>12819.1</v>
      </c>
      <c r="V53" s="267">
        <f t="shared" ref="V53" si="88">+V54+V55</f>
        <v>12819.1</v>
      </c>
      <c r="W53" s="267">
        <f t="shared" ref="W53:AD53" si="89">+W54+W55</f>
        <v>21.6</v>
      </c>
      <c r="X53" s="267">
        <f t="shared" si="89"/>
        <v>21.6</v>
      </c>
      <c r="Y53" s="267">
        <f t="shared" si="89"/>
        <v>18.700000000000003</v>
      </c>
      <c r="Z53" s="267">
        <f t="shared" si="89"/>
        <v>18.399999999999999</v>
      </c>
      <c r="AA53" s="267">
        <f t="shared" si="89"/>
        <v>17.7</v>
      </c>
      <c r="AB53" s="267">
        <f t="shared" si="89"/>
        <v>17.2</v>
      </c>
      <c r="AC53" s="267">
        <f t="shared" si="89"/>
        <v>17.100000000000001</v>
      </c>
      <c r="AD53" s="267">
        <f t="shared" si="89"/>
        <v>16.899999999999999</v>
      </c>
      <c r="AE53" s="267">
        <f t="shared" ref="AE53:AJ53" si="90">+AE54+AE55</f>
        <v>16.899999999999999</v>
      </c>
      <c r="AF53" s="267">
        <f t="shared" si="90"/>
        <v>16.899999999999999</v>
      </c>
      <c r="AG53" s="267">
        <f t="shared" si="90"/>
        <v>15.3</v>
      </c>
      <c r="AH53" s="267">
        <f t="shared" si="90"/>
        <v>15.3</v>
      </c>
      <c r="AI53" s="267">
        <f t="shared" si="90"/>
        <v>15.3</v>
      </c>
      <c r="AJ53" s="267">
        <f t="shared" si="90"/>
        <v>14.6</v>
      </c>
      <c r="AK53" s="267">
        <f t="shared" ref="AK53:AT53" si="91">+AK54+AK55</f>
        <v>14.2</v>
      </c>
      <c r="AL53" s="267">
        <f t="shared" si="91"/>
        <v>13.8</v>
      </c>
      <c r="AM53" s="267">
        <f t="shared" si="91"/>
        <v>13.7</v>
      </c>
      <c r="AN53" s="267">
        <f t="shared" si="91"/>
        <v>13.5</v>
      </c>
      <c r="AO53" s="267">
        <f t="shared" si="91"/>
        <v>13.5</v>
      </c>
      <c r="AP53" s="267">
        <f t="shared" si="91"/>
        <v>12.7</v>
      </c>
      <c r="AQ53" s="267">
        <f t="shared" si="91"/>
        <v>12.7</v>
      </c>
      <c r="AR53" s="267">
        <f t="shared" si="91"/>
        <v>12.7</v>
      </c>
      <c r="AS53" s="267">
        <f t="shared" si="91"/>
        <v>12.7</v>
      </c>
      <c r="AT53" s="267">
        <f t="shared" si="91"/>
        <v>12.7</v>
      </c>
      <c r="AU53" s="267">
        <f t="shared" ref="AU53" si="92">+AU54+AU55</f>
        <v>12.7</v>
      </c>
      <c r="AV53" s="267">
        <f t="shared" ref="AV53:BA53" si="93">+AV54+AV55</f>
        <v>0</v>
      </c>
      <c r="AW53" s="267">
        <f t="shared" si="93"/>
        <v>0</v>
      </c>
      <c r="AX53" s="267">
        <f t="shared" si="93"/>
        <v>0</v>
      </c>
      <c r="AY53" s="267">
        <f t="shared" si="93"/>
        <v>0</v>
      </c>
      <c r="AZ53" s="267">
        <f t="shared" si="93"/>
        <v>0</v>
      </c>
      <c r="BA53" s="267">
        <f t="shared" si="93"/>
        <v>0</v>
      </c>
      <c r="BB53" s="267">
        <f t="shared" ref="BB53:BI53" si="94">+BB54+BB55</f>
        <v>0</v>
      </c>
      <c r="BC53" s="267">
        <f t="shared" si="94"/>
        <v>0</v>
      </c>
      <c r="BD53" s="267">
        <f t="shared" si="94"/>
        <v>0</v>
      </c>
      <c r="BE53" s="267">
        <f t="shared" si="94"/>
        <v>0</v>
      </c>
      <c r="BF53" s="267">
        <f t="shared" si="94"/>
        <v>0</v>
      </c>
      <c r="BG53" s="267">
        <f t="shared" si="94"/>
        <v>0</v>
      </c>
      <c r="BH53" s="267">
        <f t="shared" si="94"/>
        <v>0</v>
      </c>
      <c r="BI53" s="267">
        <f t="shared" si="94"/>
        <v>0</v>
      </c>
      <c r="BJ53" s="267">
        <f t="shared" ref="BJ53:BO53" si="95">+BJ54+BJ55</f>
        <v>0</v>
      </c>
      <c r="BK53" s="267">
        <f t="shared" si="95"/>
        <v>0</v>
      </c>
      <c r="BL53" s="267">
        <f t="shared" si="95"/>
        <v>0</v>
      </c>
      <c r="BM53" s="267">
        <f t="shared" si="95"/>
        <v>0</v>
      </c>
      <c r="BN53" s="267">
        <f t="shared" si="95"/>
        <v>0</v>
      </c>
      <c r="BO53" s="267">
        <f t="shared" si="95"/>
        <v>0</v>
      </c>
      <c r="BP53" s="267">
        <f t="shared" ref="BP53:CJ53" si="96">+BP54+BP55</f>
        <v>0</v>
      </c>
      <c r="BQ53" s="267">
        <f t="shared" ref="BQ53:CI53" si="97">+BQ54+BQ55</f>
        <v>0</v>
      </c>
      <c r="BR53" s="267">
        <f t="shared" si="97"/>
        <v>0</v>
      </c>
      <c r="BS53" s="267">
        <f t="shared" si="97"/>
        <v>0</v>
      </c>
      <c r="BT53" s="267">
        <f t="shared" si="97"/>
        <v>0</v>
      </c>
      <c r="BU53" s="267">
        <f t="shared" si="97"/>
        <v>0</v>
      </c>
      <c r="BV53" s="267">
        <f t="shared" si="97"/>
        <v>0</v>
      </c>
      <c r="BW53" s="267">
        <f t="shared" si="97"/>
        <v>0</v>
      </c>
      <c r="BX53" s="267">
        <f t="shared" si="97"/>
        <v>0</v>
      </c>
      <c r="BY53" s="267">
        <f t="shared" si="97"/>
        <v>0</v>
      </c>
      <c r="BZ53" s="267">
        <f t="shared" si="97"/>
        <v>0</v>
      </c>
      <c r="CA53" s="267">
        <f t="shared" si="97"/>
        <v>0</v>
      </c>
      <c r="CB53" s="267">
        <f t="shared" si="97"/>
        <v>0</v>
      </c>
      <c r="CC53" s="267">
        <f t="shared" si="97"/>
        <v>0</v>
      </c>
      <c r="CD53" s="267">
        <f t="shared" si="97"/>
        <v>0</v>
      </c>
      <c r="CE53" s="267">
        <f t="shared" si="97"/>
        <v>0</v>
      </c>
      <c r="CF53" s="267">
        <f t="shared" si="97"/>
        <v>0</v>
      </c>
      <c r="CG53" s="267">
        <f t="shared" si="97"/>
        <v>0</v>
      </c>
      <c r="CH53" s="267">
        <f t="shared" si="97"/>
        <v>0</v>
      </c>
      <c r="CI53" s="267">
        <f t="shared" si="97"/>
        <v>0</v>
      </c>
      <c r="CJ53" s="267">
        <f t="shared" si="96"/>
        <v>0</v>
      </c>
      <c r="CK53" s="325"/>
    </row>
    <row r="54" spans="1:89" x14ac:dyDescent="0.3">
      <c r="A54" s="38"/>
      <c r="B54" s="46" t="s">
        <v>13</v>
      </c>
      <c r="C54" s="269">
        <v>11201.1</v>
      </c>
      <c r="D54" s="269">
        <v>11201.1</v>
      </c>
      <c r="E54" s="269">
        <v>11201.1</v>
      </c>
      <c r="F54" s="269">
        <v>11331</v>
      </c>
      <c r="G54" s="269">
        <v>11331</v>
      </c>
      <c r="H54" s="269">
        <v>11331</v>
      </c>
      <c r="I54" s="269">
        <v>11331</v>
      </c>
      <c r="J54" s="269">
        <v>11331</v>
      </c>
      <c r="K54" s="269">
        <v>11331</v>
      </c>
      <c r="L54" s="269">
        <v>11331</v>
      </c>
      <c r="M54" s="269">
        <v>11331</v>
      </c>
      <c r="N54" s="269">
        <v>11331</v>
      </c>
      <c r="O54" s="269">
        <v>11331</v>
      </c>
      <c r="P54" s="269">
        <v>11331</v>
      </c>
      <c r="Q54" s="269">
        <v>11331</v>
      </c>
      <c r="R54" s="269">
        <v>11331</v>
      </c>
      <c r="S54" s="269">
        <v>11331</v>
      </c>
      <c r="T54" s="269">
        <v>11331</v>
      </c>
      <c r="U54" s="269">
        <v>11331</v>
      </c>
      <c r="V54" s="269">
        <v>11331</v>
      </c>
      <c r="W54" s="269">
        <v>17.100000000000001</v>
      </c>
      <c r="X54" s="269">
        <v>17.100000000000001</v>
      </c>
      <c r="Y54" s="269">
        <v>14.3</v>
      </c>
      <c r="Z54" s="269">
        <v>14.1</v>
      </c>
      <c r="AA54" s="269">
        <v>13.4</v>
      </c>
      <c r="AB54" s="269">
        <v>12.9</v>
      </c>
      <c r="AC54" s="269">
        <v>12.8</v>
      </c>
      <c r="AD54" s="269">
        <v>12.6</v>
      </c>
      <c r="AE54" s="269">
        <v>12.6</v>
      </c>
      <c r="AF54" s="269">
        <v>12.6</v>
      </c>
      <c r="AG54" s="269">
        <v>11.1</v>
      </c>
      <c r="AH54" s="269">
        <v>11.1</v>
      </c>
      <c r="AI54" s="269">
        <v>11.1</v>
      </c>
      <c r="AJ54" s="269">
        <v>10.5</v>
      </c>
      <c r="AK54" s="269">
        <v>10.199999999999999</v>
      </c>
      <c r="AL54" s="269">
        <v>9.8000000000000007</v>
      </c>
      <c r="AM54" s="269">
        <v>9.6999999999999993</v>
      </c>
      <c r="AN54" s="269">
        <v>9.5</v>
      </c>
      <c r="AO54" s="269">
        <v>9.5</v>
      </c>
      <c r="AP54" s="269">
        <v>9</v>
      </c>
      <c r="AQ54" s="269">
        <v>9</v>
      </c>
      <c r="AR54" s="269">
        <v>9</v>
      </c>
      <c r="AS54" s="269">
        <v>9</v>
      </c>
      <c r="AT54" s="269">
        <v>9</v>
      </c>
      <c r="AU54" s="269">
        <v>9</v>
      </c>
      <c r="AV54" s="269">
        <v>0</v>
      </c>
      <c r="AW54" s="269">
        <v>0</v>
      </c>
      <c r="AX54" s="269">
        <v>0</v>
      </c>
      <c r="AY54" s="269">
        <v>0</v>
      </c>
      <c r="AZ54" s="269">
        <v>0</v>
      </c>
      <c r="BA54" s="269">
        <v>0</v>
      </c>
      <c r="BB54" s="269">
        <v>0</v>
      </c>
      <c r="BC54" s="269">
        <v>0</v>
      </c>
      <c r="BD54" s="269">
        <v>0</v>
      </c>
      <c r="BE54" s="269">
        <v>0</v>
      </c>
      <c r="BF54" s="269">
        <v>0</v>
      </c>
      <c r="BG54" s="269">
        <v>0</v>
      </c>
      <c r="BH54" s="269">
        <v>0</v>
      </c>
      <c r="BI54" s="269">
        <v>0</v>
      </c>
      <c r="BJ54" s="269">
        <v>0</v>
      </c>
      <c r="BK54" s="269">
        <v>0</v>
      </c>
      <c r="BL54" s="269">
        <v>0</v>
      </c>
      <c r="BM54" s="269">
        <v>0</v>
      </c>
      <c r="BN54" s="269">
        <v>0</v>
      </c>
      <c r="BO54" s="269">
        <v>0</v>
      </c>
      <c r="BP54" s="269">
        <v>0</v>
      </c>
      <c r="BQ54" s="269">
        <v>0</v>
      </c>
      <c r="BR54" s="269">
        <v>0</v>
      </c>
      <c r="BS54" s="269">
        <v>0</v>
      </c>
      <c r="BT54" s="269">
        <v>0</v>
      </c>
      <c r="BU54" s="269">
        <v>0</v>
      </c>
      <c r="BV54" s="269">
        <v>0</v>
      </c>
      <c r="BW54" s="269">
        <v>0</v>
      </c>
      <c r="BX54" s="269">
        <v>0</v>
      </c>
      <c r="BY54" s="269">
        <v>0</v>
      </c>
      <c r="BZ54" s="269">
        <v>0</v>
      </c>
      <c r="CA54" s="269">
        <v>0</v>
      </c>
      <c r="CB54" s="269">
        <v>0</v>
      </c>
      <c r="CC54" s="269">
        <v>0</v>
      </c>
      <c r="CD54" s="269">
        <v>0</v>
      </c>
      <c r="CE54" s="269">
        <v>0</v>
      </c>
      <c r="CF54" s="269">
        <v>0</v>
      </c>
      <c r="CG54" s="269">
        <v>0</v>
      </c>
      <c r="CH54" s="269">
        <v>0</v>
      </c>
      <c r="CI54" s="269">
        <v>0</v>
      </c>
      <c r="CJ54" s="269">
        <v>0</v>
      </c>
      <c r="CK54" s="326"/>
    </row>
    <row r="55" spans="1:89" x14ac:dyDescent="0.3">
      <c r="A55" s="38"/>
      <c r="B55" s="46" t="s">
        <v>14</v>
      </c>
      <c r="C55" s="269">
        <v>1488.1</v>
      </c>
      <c r="D55" s="269">
        <v>1488.1</v>
      </c>
      <c r="E55" s="269">
        <v>1488.1</v>
      </c>
      <c r="F55" s="269">
        <v>1488.1</v>
      </c>
      <c r="G55" s="269">
        <v>1488.1</v>
      </c>
      <c r="H55" s="269">
        <v>1488.1</v>
      </c>
      <c r="I55" s="269">
        <v>1488.1</v>
      </c>
      <c r="J55" s="269">
        <v>1488.1</v>
      </c>
      <c r="K55" s="269">
        <v>1488.1</v>
      </c>
      <c r="L55" s="269">
        <v>1488.1</v>
      </c>
      <c r="M55" s="269">
        <v>1488.1</v>
      </c>
      <c r="N55" s="269">
        <v>1488.1</v>
      </c>
      <c r="O55" s="269">
        <v>1488.1</v>
      </c>
      <c r="P55" s="269">
        <v>1488.1</v>
      </c>
      <c r="Q55" s="269">
        <v>1488.1</v>
      </c>
      <c r="R55" s="269">
        <v>1488.1</v>
      </c>
      <c r="S55" s="269">
        <v>1488.1</v>
      </c>
      <c r="T55" s="269">
        <v>1488.1</v>
      </c>
      <c r="U55" s="269">
        <v>1488.1</v>
      </c>
      <c r="V55" s="269">
        <v>1488.1</v>
      </c>
      <c r="W55" s="269">
        <v>4.5</v>
      </c>
      <c r="X55" s="269">
        <v>4.5</v>
      </c>
      <c r="Y55" s="269">
        <v>4.4000000000000004</v>
      </c>
      <c r="Z55" s="269">
        <v>4.3</v>
      </c>
      <c r="AA55" s="269">
        <v>4.3</v>
      </c>
      <c r="AB55" s="269">
        <v>4.3</v>
      </c>
      <c r="AC55" s="269">
        <v>4.3</v>
      </c>
      <c r="AD55" s="269">
        <v>4.3</v>
      </c>
      <c r="AE55" s="269">
        <v>4.3</v>
      </c>
      <c r="AF55" s="269">
        <v>4.3</v>
      </c>
      <c r="AG55" s="269">
        <v>4.2</v>
      </c>
      <c r="AH55" s="269">
        <v>4.2</v>
      </c>
      <c r="AI55" s="269">
        <v>4.2</v>
      </c>
      <c r="AJ55" s="269">
        <v>4.0999999999999996</v>
      </c>
      <c r="AK55" s="269">
        <v>4</v>
      </c>
      <c r="AL55" s="269">
        <v>4</v>
      </c>
      <c r="AM55" s="269">
        <v>4</v>
      </c>
      <c r="AN55" s="269">
        <v>4</v>
      </c>
      <c r="AO55" s="269">
        <v>4</v>
      </c>
      <c r="AP55" s="269">
        <v>3.7</v>
      </c>
      <c r="AQ55" s="269">
        <v>3.7</v>
      </c>
      <c r="AR55" s="269">
        <v>3.7</v>
      </c>
      <c r="AS55" s="269">
        <v>3.7</v>
      </c>
      <c r="AT55" s="269">
        <v>3.7</v>
      </c>
      <c r="AU55" s="269">
        <v>3.7</v>
      </c>
      <c r="AV55" s="269">
        <v>0</v>
      </c>
      <c r="AW55" s="269">
        <v>0</v>
      </c>
      <c r="AX55" s="269">
        <v>0</v>
      </c>
      <c r="AY55" s="269">
        <v>0</v>
      </c>
      <c r="AZ55" s="269">
        <v>0</v>
      </c>
      <c r="BA55" s="269">
        <v>0</v>
      </c>
      <c r="BB55" s="269">
        <v>0</v>
      </c>
      <c r="BC55" s="269">
        <v>0</v>
      </c>
      <c r="BD55" s="269">
        <v>0</v>
      </c>
      <c r="BE55" s="269">
        <v>0</v>
      </c>
      <c r="BF55" s="269">
        <v>0</v>
      </c>
      <c r="BG55" s="269">
        <v>0</v>
      </c>
      <c r="BH55" s="269">
        <v>0</v>
      </c>
      <c r="BI55" s="269">
        <v>0</v>
      </c>
      <c r="BJ55" s="269">
        <v>0</v>
      </c>
      <c r="BK55" s="269">
        <v>0</v>
      </c>
      <c r="BL55" s="269">
        <v>0</v>
      </c>
      <c r="BM55" s="269">
        <v>0</v>
      </c>
      <c r="BN55" s="269">
        <v>0</v>
      </c>
      <c r="BO55" s="269">
        <v>0</v>
      </c>
      <c r="BP55" s="269">
        <v>0</v>
      </c>
      <c r="BQ55" s="269">
        <v>0</v>
      </c>
      <c r="BR55" s="269">
        <v>0</v>
      </c>
      <c r="BS55" s="269">
        <v>0</v>
      </c>
      <c r="BT55" s="269">
        <v>0</v>
      </c>
      <c r="BU55" s="269">
        <v>0</v>
      </c>
      <c r="BV55" s="269">
        <v>0</v>
      </c>
      <c r="BW55" s="269">
        <v>0</v>
      </c>
      <c r="BX55" s="269">
        <v>0</v>
      </c>
      <c r="BY55" s="269">
        <v>0</v>
      </c>
      <c r="BZ55" s="269">
        <v>0</v>
      </c>
      <c r="CA55" s="269">
        <v>0</v>
      </c>
      <c r="CB55" s="269">
        <v>0</v>
      </c>
      <c r="CC55" s="269">
        <v>0</v>
      </c>
      <c r="CD55" s="269">
        <v>0</v>
      </c>
      <c r="CE55" s="269">
        <v>0</v>
      </c>
      <c r="CF55" s="269">
        <v>0</v>
      </c>
      <c r="CG55" s="269">
        <v>0</v>
      </c>
      <c r="CH55" s="269">
        <v>0</v>
      </c>
      <c r="CI55" s="269">
        <v>0</v>
      </c>
      <c r="CJ55" s="269">
        <v>0</v>
      </c>
      <c r="CK55" s="326"/>
    </row>
    <row r="56" spans="1:89" x14ac:dyDescent="0.3">
      <c r="A56" s="38"/>
      <c r="B56" s="46" t="s">
        <v>20</v>
      </c>
      <c r="C56" s="267">
        <f>+C57+C58</f>
        <v>6694.7</v>
      </c>
      <c r="D56" s="267">
        <f t="shared" ref="D56:H56" si="98">+D57+D58</f>
        <v>6694.7</v>
      </c>
      <c r="E56" s="267">
        <f t="shared" si="98"/>
        <v>6694.7</v>
      </c>
      <c r="F56" s="267">
        <f t="shared" si="98"/>
        <v>6694.7</v>
      </c>
      <c r="G56" s="267">
        <f t="shared" si="98"/>
        <v>6694.7</v>
      </c>
      <c r="H56" s="267">
        <f t="shared" si="98"/>
        <v>6694.7</v>
      </c>
      <c r="I56" s="267">
        <f t="shared" ref="I56:K56" si="99">+I57+I58</f>
        <v>6694.7</v>
      </c>
      <c r="J56" s="267">
        <f t="shared" si="99"/>
        <v>6694.7</v>
      </c>
      <c r="K56" s="267">
        <f t="shared" si="99"/>
        <v>6694.7</v>
      </c>
      <c r="L56" s="267">
        <v>6694.6</v>
      </c>
      <c r="M56" s="267">
        <v>6694.6</v>
      </c>
      <c r="N56" s="267">
        <v>6694.6</v>
      </c>
      <c r="O56" s="267">
        <f t="shared" ref="O56" si="100">+O57+O58</f>
        <v>6694.7</v>
      </c>
      <c r="P56" s="267">
        <f t="shared" ref="P56" si="101">+P57+P58</f>
        <v>6694.7</v>
      </c>
      <c r="Q56" s="267">
        <f>+Q57+Q58</f>
        <v>6694.7</v>
      </c>
      <c r="R56" s="267">
        <f>+R57+R58</f>
        <v>6694.7</v>
      </c>
      <c r="S56" s="267">
        <f>+S57+S58</f>
        <v>6694.7</v>
      </c>
      <c r="T56" s="267">
        <f>+T57+T58</f>
        <v>6694.7</v>
      </c>
      <c r="U56" s="267">
        <f>+U57+U58</f>
        <v>6694.7</v>
      </c>
      <c r="V56" s="267">
        <f t="shared" ref="V56" si="102">+V57+V58</f>
        <v>6694.7</v>
      </c>
      <c r="W56" s="267">
        <f t="shared" ref="W56:AD56" si="103">+W57+W58</f>
        <v>79.300000000000011</v>
      </c>
      <c r="X56" s="267">
        <f t="shared" si="103"/>
        <v>79.300000000000011</v>
      </c>
      <c r="Y56" s="267">
        <f t="shared" si="103"/>
        <v>78</v>
      </c>
      <c r="Z56" s="267">
        <f t="shared" si="103"/>
        <v>77.8</v>
      </c>
      <c r="AA56" s="267">
        <f t="shared" si="103"/>
        <v>76.599999999999994</v>
      </c>
      <c r="AB56" s="267">
        <f t="shared" si="103"/>
        <v>76.2</v>
      </c>
      <c r="AC56" s="267">
        <f t="shared" si="103"/>
        <v>75.300000000000011</v>
      </c>
      <c r="AD56" s="267">
        <f t="shared" si="103"/>
        <v>74.8</v>
      </c>
      <c r="AE56" s="267">
        <f t="shared" ref="AE56:AJ56" si="104">+AE57+AE58</f>
        <v>74.199999999999989</v>
      </c>
      <c r="AF56" s="267">
        <f t="shared" si="104"/>
        <v>74.199999999999989</v>
      </c>
      <c r="AG56" s="267">
        <f t="shared" si="104"/>
        <v>72.599999999999994</v>
      </c>
      <c r="AH56" s="267">
        <f t="shared" si="104"/>
        <v>72.599999999999994</v>
      </c>
      <c r="AI56" s="267">
        <f t="shared" si="104"/>
        <v>72.599999999999994</v>
      </c>
      <c r="AJ56" s="267">
        <f t="shared" si="104"/>
        <v>72.2</v>
      </c>
      <c r="AK56" s="267">
        <f t="shared" ref="AK56:AT56" si="105">+AK57+AK58</f>
        <v>71.2</v>
      </c>
      <c r="AL56" s="267">
        <f t="shared" si="105"/>
        <v>70.400000000000006</v>
      </c>
      <c r="AM56" s="267">
        <f t="shared" si="105"/>
        <v>70.2</v>
      </c>
      <c r="AN56" s="267">
        <f t="shared" si="105"/>
        <v>69.599999999999994</v>
      </c>
      <c r="AO56" s="267">
        <f t="shared" si="105"/>
        <v>69.599999999999994</v>
      </c>
      <c r="AP56" s="267">
        <f t="shared" si="105"/>
        <v>65.3</v>
      </c>
      <c r="AQ56" s="267">
        <f t="shared" si="105"/>
        <v>65.3</v>
      </c>
      <c r="AR56" s="267">
        <f t="shared" si="105"/>
        <v>65.3</v>
      </c>
      <c r="AS56" s="267">
        <f t="shared" si="105"/>
        <v>65.3</v>
      </c>
      <c r="AT56" s="267">
        <f t="shared" si="105"/>
        <v>65.3</v>
      </c>
      <c r="AU56" s="267">
        <f t="shared" ref="AU56" si="106">+AU57+AU58</f>
        <v>65.3</v>
      </c>
      <c r="AV56" s="267">
        <f t="shared" ref="AV56:BA56" si="107">+AV57+AV58</f>
        <v>35.799999999999997</v>
      </c>
      <c r="AW56" s="267">
        <f t="shared" si="107"/>
        <v>35.799999999999997</v>
      </c>
      <c r="AX56" s="267">
        <f t="shared" si="107"/>
        <v>35.799999999999997</v>
      </c>
      <c r="AY56" s="267">
        <f t="shared" si="107"/>
        <v>35.799999999999997</v>
      </c>
      <c r="AZ56" s="267">
        <f t="shared" si="107"/>
        <v>35.799999999999997</v>
      </c>
      <c r="BA56" s="267">
        <f t="shared" si="107"/>
        <v>35.799999999999997</v>
      </c>
      <c r="BB56" s="267">
        <f t="shared" ref="BB56:BI56" si="108">+BB57+BB58</f>
        <v>35.799999999999997</v>
      </c>
      <c r="BC56" s="267">
        <f t="shared" si="108"/>
        <v>35.799999999999997</v>
      </c>
      <c r="BD56" s="267">
        <f t="shared" si="108"/>
        <v>35.799999999999997</v>
      </c>
      <c r="BE56" s="267">
        <f t="shared" si="108"/>
        <v>35.799999999999997</v>
      </c>
      <c r="BF56" s="267">
        <f t="shared" si="108"/>
        <v>35.799999999999997</v>
      </c>
      <c r="BG56" s="267">
        <f t="shared" si="108"/>
        <v>35.799999999999997</v>
      </c>
      <c r="BH56" s="267">
        <f t="shared" si="108"/>
        <v>35.799999999999997</v>
      </c>
      <c r="BI56" s="267">
        <f t="shared" si="108"/>
        <v>35.799999999999997</v>
      </c>
      <c r="BJ56" s="267">
        <f t="shared" ref="BJ56:BO56" si="109">+BJ57+BJ58</f>
        <v>35.799999999999997</v>
      </c>
      <c r="BK56" s="267">
        <f t="shared" si="109"/>
        <v>35.799999999999997</v>
      </c>
      <c r="BL56" s="267">
        <f t="shared" si="109"/>
        <v>35.799999999999997</v>
      </c>
      <c r="BM56" s="267">
        <f t="shared" si="109"/>
        <v>35.799999999999997</v>
      </c>
      <c r="BN56" s="267">
        <f t="shared" si="109"/>
        <v>35.799999999999997</v>
      </c>
      <c r="BO56" s="267">
        <f t="shared" si="109"/>
        <v>35.799999999999997</v>
      </c>
      <c r="BP56" s="267">
        <f t="shared" ref="BP56:CJ56" si="110">+BP57+BP58</f>
        <v>35.799999999999997</v>
      </c>
      <c r="BQ56" s="267">
        <f t="shared" ref="BQ56:CI56" si="111">+BQ57+BQ58</f>
        <v>35.799999999999997</v>
      </c>
      <c r="BR56" s="267">
        <f t="shared" si="111"/>
        <v>35.799999999999997</v>
      </c>
      <c r="BS56" s="267">
        <f t="shared" si="111"/>
        <v>35.799999999999997</v>
      </c>
      <c r="BT56" s="267">
        <f t="shared" si="111"/>
        <v>35.799999999999997</v>
      </c>
      <c r="BU56" s="267">
        <f t="shared" si="111"/>
        <v>35.799999999999997</v>
      </c>
      <c r="BV56" s="267">
        <f t="shared" si="111"/>
        <v>35.799999999999997</v>
      </c>
      <c r="BW56" s="267">
        <f t="shared" si="111"/>
        <v>35.799999999999997</v>
      </c>
      <c r="BX56" s="267">
        <f t="shared" si="111"/>
        <v>35.799999999999997</v>
      </c>
      <c r="BY56" s="267">
        <f t="shared" si="111"/>
        <v>35.799999999999997</v>
      </c>
      <c r="BZ56" s="267">
        <f t="shared" si="111"/>
        <v>35.799999999999997</v>
      </c>
      <c r="CA56" s="267">
        <f t="shared" si="111"/>
        <v>35.799999999999997</v>
      </c>
      <c r="CB56" s="267">
        <f t="shared" si="111"/>
        <v>35.799999999999997</v>
      </c>
      <c r="CC56" s="267">
        <f t="shared" si="111"/>
        <v>35.799999999999997</v>
      </c>
      <c r="CD56" s="267">
        <f t="shared" si="111"/>
        <v>35.799999999999997</v>
      </c>
      <c r="CE56" s="267">
        <f t="shared" si="111"/>
        <v>35.799999999999997</v>
      </c>
      <c r="CF56" s="267">
        <f t="shared" si="111"/>
        <v>35.799999999999997</v>
      </c>
      <c r="CG56" s="267">
        <f t="shared" si="111"/>
        <v>35.799999999999997</v>
      </c>
      <c r="CH56" s="267">
        <f t="shared" si="111"/>
        <v>35.799999999999997</v>
      </c>
      <c r="CI56" s="267">
        <f t="shared" si="111"/>
        <v>35.799999999999997</v>
      </c>
      <c r="CJ56" s="267">
        <f t="shared" si="110"/>
        <v>35.799999999999997</v>
      </c>
      <c r="CK56" s="325"/>
    </row>
    <row r="57" spans="1:89" x14ac:dyDescent="0.3">
      <c r="A57" s="38"/>
      <c r="B57" s="46" t="s">
        <v>13</v>
      </c>
      <c r="C57" s="269">
        <v>6526.3</v>
      </c>
      <c r="D57" s="269">
        <v>6526.3</v>
      </c>
      <c r="E57" s="269">
        <v>6526.3</v>
      </c>
      <c r="F57" s="269">
        <v>6526.3</v>
      </c>
      <c r="G57" s="269">
        <v>6526.3</v>
      </c>
      <c r="H57" s="269">
        <v>6526.3</v>
      </c>
      <c r="I57" s="269">
        <v>6526.3</v>
      </c>
      <c r="J57" s="269">
        <v>6526.3</v>
      </c>
      <c r="K57" s="269">
        <v>6526.3</v>
      </c>
      <c r="L57" s="269">
        <v>6526.3</v>
      </c>
      <c r="M57" s="269">
        <v>6526.3</v>
      </c>
      <c r="N57" s="269">
        <v>6526.3</v>
      </c>
      <c r="O57" s="269">
        <v>6526.3</v>
      </c>
      <c r="P57" s="269">
        <v>6526.3</v>
      </c>
      <c r="Q57" s="269">
        <v>6526.3</v>
      </c>
      <c r="R57" s="269">
        <v>6526.3</v>
      </c>
      <c r="S57" s="269">
        <v>6526.3</v>
      </c>
      <c r="T57" s="269">
        <v>6526.3</v>
      </c>
      <c r="U57" s="269">
        <v>6526.3</v>
      </c>
      <c r="V57" s="269">
        <v>6526.3</v>
      </c>
      <c r="W57" s="269">
        <v>36.700000000000003</v>
      </c>
      <c r="X57" s="269">
        <v>36.700000000000003</v>
      </c>
      <c r="Y57" s="269">
        <v>35.6</v>
      </c>
      <c r="Z57" s="269">
        <v>35.5</v>
      </c>
      <c r="AA57" s="269">
        <v>34.4</v>
      </c>
      <c r="AB57" s="269">
        <v>34.1</v>
      </c>
      <c r="AC57" s="269">
        <v>33.200000000000003</v>
      </c>
      <c r="AD57" s="269">
        <v>32.799999999999997</v>
      </c>
      <c r="AE57" s="269">
        <v>32.4</v>
      </c>
      <c r="AF57" s="269">
        <v>32.4</v>
      </c>
      <c r="AG57" s="269">
        <v>30.9</v>
      </c>
      <c r="AH57" s="269">
        <v>30.9</v>
      </c>
      <c r="AI57" s="269">
        <v>30.9</v>
      </c>
      <c r="AJ57" s="269">
        <v>30.6</v>
      </c>
      <c r="AK57" s="269">
        <v>29.7</v>
      </c>
      <c r="AL57" s="269">
        <v>29</v>
      </c>
      <c r="AM57" s="269">
        <v>28.8</v>
      </c>
      <c r="AN57" s="269">
        <v>28.3</v>
      </c>
      <c r="AO57" s="269">
        <v>28.3</v>
      </c>
      <c r="AP57" s="269">
        <v>24.3</v>
      </c>
      <c r="AQ57" s="269">
        <v>24.3</v>
      </c>
      <c r="AR57" s="269">
        <v>24.3</v>
      </c>
      <c r="AS57" s="269">
        <v>24.3</v>
      </c>
      <c r="AT57" s="269">
        <v>24.3</v>
      </c>
      <c r="AU57" s="269">
        <v>24.3</v>
      </c>
      <c r="AV57" s="269">
        <v>0</v>
      </c>
      <c r="AW57" s="269">
        <v>0</v>
      </c>
      <c r="AX57" s="269">
        <v>0</v>
      </c>
      <c r="AY57" s="269">
        <v>0</v>
      </c>
      <c r="AZ57" s="269">
        <v>0</v>
      </c>
      <c r="BA57" s="269">
        <v>0</v>
      </c>
      <c r="BB57" s="269">
        <v>0</v>
      </c>
      <c r="BC57" s="269">
        <v>0</v>
      </c>
      <c r="BD57" s="269">
        <v>0</v>
      </c>
      <c r="BE57" s="269">
        <v>0</v>
      </c>
      <c r="BF57" s="269">
        <v>0</v>
      </c>
      <c r="BG57" s="269">
        <v>0</v>
      </c>
      <c r="BH57" s="269">
        <v>0</v>
      </c>
      <c r="BI57" s="269">
        <v>0</v>
      </c>
      <c r="BJ57" s="269">
        <v>0</v>
      </c>
      <c r="BK57" s="269">
        <v>0</v>
      </c>
      <c r="BL57" s="269">
        <v>0</v>
      </c>
      <c r="BM57" s="269">
        <v>0</v>
      </c>
      <c r="BN57" s="269">
        <v>0</v>
      </c>
      <c r="BO57" s="269">
        <v>0</v>
      </c>
      <c r="BP57" s="269">
        <v>0</v>
      </c>
      <c r="BQ57" s="269">
        <v>0</v>
      </c>
      <c r="BR57" s="269">
        <v>0</v>
      </c>
      <c r="BS57" s="269">
        <v>0</v>
      </c>
      <c r="BT57" s="269">
        <v>0</v>
      </c>
      <c r="BU57" s="269">
        <v>0</v>
      </c>
      <c r="BV57" s="269">
        <v>0</v>
      </c>
      <c r="BW57" s="269">
        <v>0</v>
      </c>
      <c r="BX57" s="269">
        <v>0</v>
      </c>
      <c r="BY57" s="269">
        <v>0</v>
      </c>
      <c r="BZ57" s="269">
        <v>0</v>
      </c>
      <c r="CA57" s="269">
        <v>0</v>
      </c>
      <c r="CB57" s="269">
        <v>0</v>
      </c>
      <c r="CC57" s="269">
        <v>0</v>
      </c>
      <c r="CD57" s="269">
        <v>0</v>
      </c>
      <c r="CE57" s="269">
        <v>0</v>
      </c>
      <c r="CF57" s="269">
        <v>0</v>
      </c>
      <c r="CG57" s="269">
        <v>0</v>
      </c>
      <c r="CH57" s="269">
        <v>0</v>
      </c>
      <c r="CI57" s="269">
        <v>0</v>
      </c>
      <c r="CJ57" s="269">
        <v>0</v>
      </c>
      <c r="CK57" s="326"/>
    </row>
    <row r="58" spans="1:89" x14ac:dyDescent="0.3">
      <c r="A58" s="38"/>
      <c r="B58" s="46" t="s">
        <v>14</v>
      </c>
      <c r="C58" s="269">
        <v>168.4</v>
      </c>
      <c r="D58" s="269">
        <v>168.4</v>
      </c>
      <c r="E58" s="269">
        <v>168.4</v>
      </c>
      <c r="F58" s="269">
        <v>168.4</v>
      </c>
      <c r="G58" s="269">
        <v>168.4</v>
      </c>
      <c r="H58" s="269">
        <v>168.4</v>
      </c>
      <c r="I58" s="269">
        <v>168.4</v>
      </c>
      <c r="J58" s="269">
        <v>168.4</v>
      </c>
      <c r="K58" s="269">
        <v>168.4</v>
      </c>
      <c r="L58" s="269">
        <v>168.4</v>
      </c>
      <c r="M58" s="269">
        <v>168.4</v>
      </c>
      <c r="N58" s="269">
        <v>168.4</v>
      </c>
      <c r="O58" s="269">
        <v>168.4</v>
      </c>
      <c r="P58" s="269">
        <v>168.4</v>
      </c>
      <c r="Q58" s="269">
        <v>168.4</v>
      </c>
      <c r="R58" s="269">
        <v>168.4</v>
      </c>
      <c r="S58" s="269">
        <v>168.4</v>
      </c>
      <c r="T58" s="269">
        <v>168.4</v>
      </c>
      <c r="U58" s="269">
        <v>168.4</v>
      </c>
      <c r="V58" s="269">
        <v>168.4</v>
      </c>
      <c r="W58" s="269">
        <v>42.6</v>
      </c>
      <c r="X58" s="269">
        <v>42.6</v>
      </c>
      <c r="Y58" s="269">
        <v>42.4</v>
      </c>
      <c r="Z58" s="269">
        <v>42.3</v>
      </c>
      <c r="AA58" s="269">
        <v>42.2</v>
      </c>
      <c r="AB58" s="269">
        <v>42.1</v>
      </c>
      <c r="AC58" s="269">
        <v>42.1</v>
      </c>
      <c r="AD58" s="269">
        <v>42</v>
      </c>
      <c r="AE58" s="269">
        <v>41.8</v>
      </c>
      <c r="AF58" s="269">
        <v>41.8</v>
      </c>
      <c r="AG58" s="269">
        <v>41.7</v>
      </c>
      <c r="AH58" s="269">
        <v>41.7</v>
      </c>
      <c r="AI58" s="269">
        <v>41.7</v>
      </c>
      <c r="AJ58" s="269">
        <v>41.6</v>
      </c>
      <c r="AK58" s="269">
        <v>41.5</v>
      </c>
      <c r="AL58" s="269">
        <v>41.4</v>
      </c>
      <c r="AM58" s="269">
        <v>41.4</v>
      </c>
      <c r="AN58" s="269">
        <v>41.3</v>
      </c>
      <c r="AO58" s="269">
        <v>41.3</v>
      </c>
      <c r="AP58" s="269">
        <v>41</v>
      </c>
      <c r="AQ58" s="269">
        <v>41</v>
      </c>
      <c r="AR58" s="269">
        <v>41</v>
      </c>
      <c r="AS58" s="269">
        <v>41</v>
      </c>
      <c r="AT58" s="269">
        <v>41</v>
      </c>
      <c r="AU58" s="269">
        <v>41</v>
      </c>
      <c r="AV58" s="269">
        <v>35.799999999999997</v>
      </c>
      <c r="AW58" s="269">
        <v>35.799999999999997</v>
      </c>
      <c r="AX58" s="269">
        <v>35.799999999999997</v>
      </c>
      <c r="AY58" s="269">
        <v>35.799999999999997</v>
      </c>
      <c r="AZ58" s="269">
        <v>35.799999999999997</v>
      </c>
      <c r="BA58" s="269">
        <v>35.799999999999997</v>
      </c>
      <c r="BB58" s="269">
        <v>35.799999999999997</v>
      </c>
      <c r="BC58" s="269">
        <v>35.799999999999997</v>
      </c>
      <c r="BD58" s="269">
        <v>35.799999999999997</v>
      </c>
      <c r="BE58" s="269">
        <v>35.799999999999997</v>
      </c>
      <c r="BF58" s="269">
        <v>35.799999999999997</v>
      </c>
      <c r="BG58" s="269">
        <v>35.799999999999997</v>
      </c>
      <c r="BH58" s="269">
        <v>35.799999999999997</v>
      </c>
      <c r="BI58" s="269">
        <v>35.799999999999997</v>
      </c>
      <c r="BJ58" s="269">
        <v>35.799999999999997</v>
      </c>
      <c r="BK58" s="269">
        <v>35.799999999999997</v>
      </c>
      <c r="BL58" s="269">
        <v>35.799999999999997</v>
      </c>
      <c r="BM58" s="269">
        <v>35.799999999999997</v>
      </c>
      <c r="BN58" s="269">
        <v>35.799999999999997</v>
      </c>
      <c r="BO58" s="269">
        <v>35.799999999999997</v>
      </c>
      <c r="BP58" s="269">
        <v>35.799999999999997</v>
      </c>
      <c r="BQ58" s="269">
        <v>35.799999999999997</v>
      </c>
      <c r="BR58" s="269">
        <v>35.799999999999997</v>
      </c>
      <c r="BS58" s="269">
        <v>35.799999999999997</v>
      </c>
      <c r="BT58" s="269">
        <v>35.799999999999997</v>
      </c>
      <c r="BU58" s="269">
        <v>35.799999999999997</v>
      </c>
      <c r="BV58" s="269">
        <v>35.799999999999997</v>
      </c>
      <c r="BW58" s="269">
        <v>35.799999999999997</v>
      </c>
      <c r="BX58" s="269">
        <v>35.799999999999997</v>
      </c>
      <c r="BY58" s="269">
        <v>35.799999999999997</v>
      </c>
      <c r="BZ58" s="269">
        <v>35.799999999999997</v>
      </c>
      <c r="CA58" s="269">
        <v>35.799999999999997</v>
      </c>
      <c r="CB58" s="269">
        <v>35.799999999999997</v>
      </c>
      <c r="CC58" s="269">
        <v>35.799999999999997</v>
      </c>
      <c r="CD58" s="269">
        <v>35.799999999999997</v>
      </c>
      <c r="CE58" s="269">
        <v>35.799999999999997</v>
      </c>
      <c r="CF58" s="269">
        <v>35.799999999999997</v>
      </c>
      <c r="CG58" s="269">
        <v>35.799999999999997</v>
      </c>
      <c r="CH58" s="269">
        <v>35.799999999999997</v>
      </c>
      <c r="CI58" s="269">
        <v>35.799999999999997</v>
      </c>
      <c r="CJ58" s="269">
        <v>35.799999999999997</v>
      </c>
      <c r="CK58" s="326"/>
    </row>
    <row r="59" spans="1:89" x14ac:dyDescent="0.3">
      <c r="A59" s="38"/>
      <c r="B59" s="44"/>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324"/>
    </row>
    <row r="60" spans="1:89" x14ac:dyDescent="0.3">
      <c r="A60" s="38"/>
      <c r="B60" s="44" t="s">
        <v>21</v>
      </c>
      <c r="C60" s="40">
        <f>+SUM(C61:C63)+C66</f>
        <v>20026.900000000001</v>
      </c>
      <c r="D60" s="40">
        <f t="shared" ref="D60:H60" si="112">+SUM(D61:D63)+D66</f>
        <v>19897.099999999999</v>
      </c>
      <c r="E60" s="40">
        <f t="shared" si="112"/>
        <v>19629.400000000001</v>
      </c>
      <c r="F60" s="40">
        <f t="shared" si="112"/>
        <v>19624.8</v>
      </c>
      <c r="G60" s="40">
        <f t="shared" si="112"/>
        <v>19541.7</v>
      </c>
      <c r="H60" s="40">
        <f t="shared" si="112"/>
        <v>19892.5</v>
      </c>
      <c r="I60" s="40">
        <f t="shared" ref="I60:K60" si="113">+SUM(I61:I63)+I66</f>
        <v>19390.099999999999</v>
      </c>
      <c r="J60" s="40">
        <f t="shared" si="113"/>
        <v>19230.3</v>
      </c>
      <c r="K60" s="40">
        <f t="shared" si="113"/>
        <v>19070.900000000001</v>
      </c>
      <c r="L60" s="40">
        <v>19511.099999999999</v>
      </c>
      <c r="M60" s="40">
        <v>19274.7</v>
      </c>
      <c r="N60" s="40">
        <v>19616.099999999999</v>
      </c>
      <c r="O60" s="40">
        <f t="shared" ref="O60" si="114">+SUM(O61:O63)+O66</f>
        <v>19411.5</v>
      </c>
      <c r="P60" s="40">
        <f t="shared" ref="P60:U60" si="115">+SUM(P61:P63)+P66</f>
        <v>19293.900000000001</v>
      </c>
      <c r="Q60" s="40">
        <f t="shared" si="115"/>
        <v>19300.099999999999</v>
      </c>
      <c r="R60" s="40">
        <f t="shared" si="115"/>
        <v>19171.2</v>
      </c>
      <c r="S60" s="40">
        <f t="shared" si="115"/>
        <v>19420.2</v>
      </c>
      <c r="T60" s="40">
        <f t="shared" si="115"/>
        <v>19653.599999999999</v>
      </c>
      <c r="U60" s="40">
        <f t="shared" si="115"/>
        <v>20604.599999999999</v>
      </c>
      <c r="V60" s="40">
        <f t="shared" ref="V60:Z60" si="116">+SUM(V61:V63)+V66</f>
        <v>20887.400000000001</v>
      </c>
      <c r="W60" s="40">
        <f t="shared" si="116"/>
        <v>5569.5</v>
      </c>
      <c r="X60" s="40">
        <f t="shared" si="116"/>
        <v>5535.8</v>
      </c>
      <c r="Y60" s="40">
        <f t="shared" si="116"/>
        <v>5669.2</v>
      </c>
      <c r="Z60" s="40">
        <f t="shared" si="116"/>
        <v>5804.7999999999993</v>
      </c>
      <c r="AA60" s="40">
        <f t="shared" ref="AA60:AT60" si="117">+SUM(AA61:AA63)+AA66</f>
        <v>5768.2</v>
      </c>
      <c r="AB60" s="40">
        <f t="shared" si="117"/>
        <v>5738.9</v>
      </c>
      <c r="AC60" s="40">
        <f t="shared" si="117"/>
        <v>5574.1</v>
      </c>
      <c r="AD60" s="40">
        <f t="shared" si="117"/>
        <v>5712.1</v>
      </c>
      <c r="AE60" s="40">
        <f t="shared" si="117"/>
        <v>5810.5</v>
      </c>
      <c r="AF60" s="40">
        <f t="shared" si="117"/>
        <v>5634.9000000000005</v>
      </c>
      <c r="AG60" s="40">
        <f t="shared" si="117"/>
        <v>5641.5999999999995</v>
      </c>
      <c r="AH60" s="40">
        <f t="shared" si="117"/>
        <v>5611.6</v>
      </c>
      <c r="AI60" s="40">
        <f t="shared" si="117"/>
        <v>5504.4</v>
      </c>
      <c r="AJ60" s="40">
        <f t="shared" si="117"/>
        <v>5494.9</v>
      </c>
      <c r="AK60" s="40">
        <f t="shared" si="117"/>
        <v>5388.3</v>
      </c>
      <c r="AL60" s="40">
        <f t="shared" si="117"/>
        <v>5403</v>
      </c>
      <c r="AM60" s="40">
        <f t="shared" si="117"/>
        <v>5339.3</v>
      </c>
      <c r="AN60" s="40">
        <f t="shared" si="117"/>
        <v>5332.7</v>
      </c>
      <c r="AO60" s="40">
        <f t="shared" si="117"/>
        <v>5259</v>
      </c>
      <c r="AP60" s="40">
        <f t="shared" si="117"/>
        <v>5010</v>
      </c>
      <c r="AQ60" s="40">
        <f t="shared" si="117"/>
        <v>5101.4000000000005</v>
      </c>
      <c r="AR60" s="40">
        <f t="shared" si="117"/>
        <v>4982.2000000000007</v>
      </c>
      <c r="AS60" s="40">
        <f t="shared" si="117"/>
        <v>4856.3999999999996</v>
      </c>
      <c r="AT60" s="40">
        <f t="shared" si="117"/>
        <v>4780.2</v>
      </c>
      <c r="AU60" s="40">
        <f t="shared" ref="AU60" si="118">+SUM(AU61:AU63)+AU66</f>
        <v>4657.6000000000004</v>
      </c>
      <c r="AV60" s="40">
        <f t="shared" ref="AV60:BA60" si="119">+SUM(AV61:AV63)+AV66</f>
        <v>4697.6000000000004</v>
      </c>
      <c r="AW60" s="40">
        <f t="shared" si="119"/>
        <v>4945.3999999999996</v>
      </c>
      <c r="AX60" s="40">
        <f t="shared" si="119"/>
        <v>5086.7000000000007</v>
      </c>
      <c r="AY60" s="40">
        <f t="shared" si="119"/>
        <v>5163</v>
      </c>
      <c r="AZ60" s="40">
        <f t="shared" si="119"/>
        <v>5027</v>
      </c>
      <c r="BA60" s="40">
        <f t="shared" si="119"/>
        <v>5151.7999999999993</v>
      </c>
      <c r="BB60" s="40">
        <f t="shared" ref="BB60:BI60" si="120">+SUM(BB61:BB63)+BB66</f>
        <v>5238.0999999999995</v>
      </c>
      <c r="BC60" s="40">
        <f t="shared" si="120"/>
        <v>5080.2</v>
      </c>
      <c r="BD60" s="40">
        <f t="shared" si="120"/>
        <v>5185.5</v>
      </c>
      <c r="BE60" s="40">
        <f t="shared" si="120"/>
        <v>5224.8</v>
      </c>
      <c r="BF60" s="40">
        <f t="shared" si="120"/>
        <v>5152.8999999999996</v>
      </c>
      <c r="BG60" s="40">
        <f t="shared" si="120"/>
        <v>5023.9000000000005</v>
      </c>
      <c r="BH60" s="40">
        <f t="shared" si="120"/>
        <v>5027.5</v>
      </c>
      <c r="BI60" s="40">
        <f t="shared" si="120"/>
        <v>5175.8999999999996</v>
      </c>
      <c r="BJ60" s="40">
        <f t="shared" ref="BJ60:BO60" si="121">+SUM(BJ61:BJ63)+BJ66</f>
        <v>5249.1</v>
      </c>
      <c r="BK60" s="40">
        <f t="shared" si="121"/>
        <v>5142.3</v>
      </c>
      <c r="BL60" s="40">
        <f t="shared" si="121"/>
        <v>5136.2</v>
      </c>
      <c r="BM60" s="40">
        <f t="shared" si="121"/>
        <v>5132.3</v>
      </c>
      <c r="BN60" s="40">
        <f t="shared" si="121"/>
        <v>5069.9000000000005</v>
      </c>
      <c r="BO60" s="40">
        <f t="shared" si="121"/>
        <v>5158.5</v>
      </c>
      <c r="BP60" s="40">
        <f t="shared" ref="BP60:CJ60" si="122">+SUM(BP61:BP63)+BP66</f>
        <v>5093.7999999999993</v>
      </c>
      <c r="BQ60" s="40">
        <f t="shared" ref="BQ60:CI60" si="123">+SUM(BQ61:BQ63)+BQ66</f>
        <v>5095.7</v>
      </c>
      <c r="BR60" s="40">
        <f t="shared" si="123"/>
        <v>5201</v>
      </c>
      <c r="BS60" s="40">
        <f t="shared" si="123"/>
        <v>5241</v>
      </c>
      <c r="BT60" s="40">
        <f t="shared" si="123"/>
        <v>5122.8999999999996</v>
      </c>
      <c r="BU60" s="40">
        <f t="shared" si="123"/>
        <v>4979.8</v>
      </c>
      <c r="BV60" s="40">
        <f t="shared" si="123"/>
        <v>4873.5999999999995</v>
      </c>
      <c r="BW60" s="40">
        <f t="shared" si="123"/>
        <v>4768.3</v>
      </c>
      <c r="BX60" s="40">
        <f t="shared" si="123"/>
        <v>4773.2</v>
      </c>
      <c r="BY60" s="40">
        <f t="shared" si="123"/>
        <v>4975.0999999999995</v>
      </c>
      <c r="BZ60" s="40">
        <f t="shared" si="123"/>
        <v>5210.2</v>
      </c>
      <c r="CA60" s="40">
        <f t="shared" si="123"/>
        <v>5220.8</v>
      </c>
      <c r="CB60" s="40">
        <f t="shared" si="123"/>
        <v>5420.8</v>
      </c>
      <c r="CC60" s="40">
        <f t="shared" si="123"/>
        <v>5126.8</v>
      </c>
      <c r="CD60" s="40">
        <f t="shared" si="123"/>
        <v>5249.5999999999995</v>
      </c>
      <c r="CE60" s="40">
        <f t="shared" si="123"/>
        <v>5269.3</v>
      </c>
      <c r="CF60" s="40">
        <f t="shared" si="123"/>
        <v>5182.3999999999996</v>
      </c>
      <c r="CG60" s="40">
        <f t="shared" si="123"/>
        <v>5211.2999999999993</v>
      </c>
      <c r="CH60" s="40">
        <f t="shared" si="123"/>
        <v>5275.5</v>
      </c>
      <c r="CI60" s="40">
        <f t="shared" si="123"/>
        <v>5195.8</v>
      </c>
      <c r="CJ60" s="40">
        <f t="shared" si="122"/>
        <v>5181.7</v>
      </c>
      <c r="CK60" s="324">
        <f>+CJ60/$CJ$10</f>
        <v>1.0975045892623438E-2</v>
      </c>
    </row>
    <row r="61" spans="1:89" x14ac:dyDescent="0.3">
      <c r="A61" s="38"/>
      <c r="B61" s="46" t="s">
        <v>22</v>
      </c>
      <c r="C61" s="267">
        <v>6008.2</v>
      </c>
      <c r="D61" s="267">
        <v>5969.3</v>
      </c>
      <c r="E61" s="267">
        <v>5889</v>
      </c>
      <c r="F61" s="267">
        <v>5887.6</v>
      </c>
      <c r="G61" s="267">
        <v>5862.6</v>
      </c>
      <c r="H61" s="267">
        <v>5967.9</v>
      </c>
      <c r="I61" s="267">
        <v>5817.2</v>
      </c>
      <c r="J61" s="267">
        <v>5769.2</v>
      </c>
      <c r="K61" s="267">
        <v>5721.4</v>
      </c>
      <c r="L61" s="267">
        <v>5853.5</v>
      </c>
      <c r="M61" s="267">
        <v>5782.6</v>
      </c>
      <c r="N61" s="267">
        <v>5885</v>
      </c>
      <c r="O61" s="267">
        <v>5823.6</v>
      </c>
      <c r="P61" s="267">
        <v>5788.3</v>
      </c>
      <c r="Q61" s="267">
        <v>5790.2</v>
      </c>
      <c r="R61" s="267">
        <v>5751.5</v>
      </c>
      <c r="S61" s="267">
        <v>5826.2</v>
      </c>
      <c r="T61" s="267">
        <v>5896.2</v>
      </c>
      <c r="U61" s="267">
        <v>6181.6</v>
      </c>
      <c r="V61" s="267">
        <v>6266.4</v>
      </c>
      <c r="W61" s="267">
        <v>0</v>
      </c>
      <c r="X61" s="267">
        <v>0</v>
      </c>
      <c r="Y61" s="267">
        <v>0</v>
      </c>
      <c r="Z61" s="267">
        <v>0</v>
      </c>
      <c r="AA61" s="267">
        <v>0</v>
      </c>
      <c r="AB61" s="267">
        <v>0</v>
      </c>
      <c r="AC61" s="267">
        <v>0</v>
      </c>
      <c r="AD61" s="267">
        <v>0</v>
      </c>
      <c r="AE61" s="267">
        <v>0</v>
      </c>
      <c r="AF61" s="267">
        <v>0</v>
      </c>
      <c r="AG61" s="267">
        <v>0</v>
      </c>
      <c r="AH61" s="267">
        <v>0</v>
      </c>
      <c r="AI61" s="267">
        <v>0</v>
      </c>
      <c r="AJ61" s="267">
        <v>0</v>
      </c>
      <c r="AK61" s="267">
        <v>0</v>
      </c>
      <c r="AL61" s="267">
        <v>0</v>
      </c>
      <c r="AM61" s="267">
        <v>0</v>
      </c>
      <c r="AN61" s="267">
        <v>0</v>
      </c>
      <c r="AO61" s="267">
        <v>0</v>
      </c>
      <c r="AP61" s="267">
        <v>0</v>
      </c>
      <c r="AQ61" s="267">
        <v>0</v>
      </c>
      <c r="AR61" s="267">
        <v>0</v>
      </c>
      <c r="AS61" s="267">
        <v>0</v>
      </c>
      <c r="AT61" s="267">
        <v>0</v>
      </c>
      <c r="AU61" s="267">
        <v>0</v>
      </c>
      <c r="AV61" s="267">
        <v>0</v>
      </c>
      <c r="AW61" s="267">
        <v>0</v>
      </c>
      <c r="AX61" s="267">
        <v>0</v>
      </c>
      <c r="AY61" s="267">
        <v>0</v>
      </c>
      <c r="AZ61" s="267">
        <v>0</v>
      </c>
      <c r="BA61" s="267">
        <v>0</v>
      </c>
      <c r="BB61" s="267">
        <v>0</v>
      </c>
      <c r="BC61" s="267">
        <v>0</v>
      </c>
      <c r="BD61" s="267">
        <v>0</v>
      </c>
      <c r="BE61" s="267">
        <v>0</v>
      </c>
      <c r="BF61" s="267">
        <v>0</v>
      </c>
      <c r="BG61" s="267">
        <v>0</v>
      </c>
      <c r="BH61" s="267">
        <v>0</v>
      </c>
      <c r="BI61" s="267">
        <v>0</v>
      </c>
      <c r="BJ61" s="267">
        <v>0</v>
      </c>
      <c r="BK61" s="267">
        <v>0</v>
      </c>
      <c r="BL61" s="267">
        <v>0</v>
      </c>
      <c r="BM61" s="267">
        <v>0</v>
      </c>
      <c r="BN61" s="267">
        <v>0</v>
      </c>
      <c r="BO61" s="267">
        <v>0</v>
      </c>
      <c r="BP61" s="267">
        <v>0</v>
      </c>
      <c r="BQ61" s="267">
        <v>0</v>
      </c>
      <c r="BR61" s="267">
        <v>0</v>
      </c>
      <c r="BS61" s="267">
        <v>0</v>
      </c>
      <c r="BT61" s="267">
        <v>0</v>
      </c>
      <c r="BU61" s="267">
        <v>0</v>
      </c>
      <c r="BV61" s="267">
        <v>0</v>
      </c>
      <c r="BW61" s="267">
        <v>0</v>
      </c>
      <c r="BX61" s="267">
        <v>0</v>
      </c>
      <c r="BY61" s="267">
        <v>0</v>
      </c>
      <c r="BZ61" s="267">
        <v>0</v>
      </c>
      <c r="CA61" s="267">
        <v>0</v>
      </c>
      <c r="CB61" s="267">
        <v>0</v>
      </c>
      <c r="CC61" s="267">
        <v>0</v>
      </c>
      <c r="CD61" s="267">
        <v>0</v>
      </c>
      <c r="CE61" s="267">
        <v>0</v>
      </c>
      <c r="CF61" s="267">
        <v>0</v>
      </c>
      <c r="CG61" s="267">
        <v>0</v>
      </c>
      <c r="CH61" s="267">
        <v>0</v>
      </c>
      <c r="CI61" s="267">
        <v>0</v>
      </c>
      <c r="CJ61" s="267">
        <v>0</v>
      </c>
      <c r="CK61" s="325"/>
    </row>
    <row r="62" spans="1:89" x14ac:dyDescent="0.3">
      <c r="A62" s="38"/>
      <c r="B62" s="46" t="s">
        <v>230</v>
      </c>
      <c r="C62" s="267">
        <v>0</v>
      </c>
      <c r="D62" s="267">
        <v>0</v>
      </c>
      <c r="E62" s="267">
        <v>0</v>
      </c>
      <c r="F62" s="267">
        <v>0</v>
      </c>
      <c r="G62" s="267">
        <v>0</v>
      </c>
      <c r="H62" s="267">
        <v>0</v>
      </c>
      <c r="I62" s="267">
        <v>0</v>
      </c>
      <c r="J62" s="267">
        <v>0</v>
      </c>
      <c r="K62" s="267">
        <v>0</v>
      </c>
      <c r="L62" s="267">
        <v>0</v>
      </c>
      <c r="M62" s="267">
        <v>0</v>
      </c>
      <c r="N62" s="267">
        <v>0</v>
      </c>
      <c r="O62" s="267">
        <v>0</v>
      </c>
      <c r="P62" s="267">
        <v>0</v>
      </c>
      <c r="Q62" s="267">
        <v>0</v>
      </c>
      <c r="R62" s="267">
        <v>0</v>
      </c>
      <c r="S62" s="267">
        <v>0</v>
      </c>
      <c r="T62" s="267">
        <v>0</v>
      </c>
      <c r="U62" s="267">
        <v>0</v>
      </c>
      <c r="V62" s="267">
        <v>0</v>
      </c>
      <c r="W62" s="267">
        <v>4903.7</v>
      </c>
      <c r="X62" s="267">
        <v>4874</v>
      </c>
      <c r="Y62" s="267">
        <v>4991.5</v>
      </c>
      <c r="Z62" s="267">
        <v>5110.8999999999996</v>
      </c>
      <c r="AA62" s="267">
        <v>5078.7</v>
      </c>
      <c r="AB62" s="267">
        <v>5052.8999999999996</v>
      </c>
      <c r="AC62" s="267">
        <v>4907.8</v>
      </c>
      <c r="AD62" s="267">
        <v>5029.3</v>
      </c>
      <c r="AE62" s="267">
        <v>5115.8999999999996</v>
      </c>
      <c r="AF62" s="267">
        <v>4961.3</v>
      </c>
      <c r="AG62" s="267">
        <v>4967.2</v>
      </c>
      <c r="AH62" s="267">
        <v>4940.8</v>
      </c>
      <c r="AI62" s="267">
        <v>4846.3999999999996</v>
      </c>
      <c r="AJ62" s="267">
        <v>4838</v>
      </c>
      <c r="AK62" s="267">
        <v>4744.2</v>
      </c>
      <c r="AL62" s="267">
        <v>4757.1000000000004</v>
      </c>
      <c r="AM62" s="267">
        <v>4701</v>
      </c>
      <c r="AN62" s="267">
        <v>4695.2</v>
      </c>
      <c r="AO62" s="267">
        <v>4630.3</v>
      </c>
      <c r="AP62" s="267">
        <v>4411.1000000000004</v>
      </c>
      <c r="AQ62" s="267">
        <v>4491.6000000000004</v>
      </c>
      <c r="AR62" s="267">
        <v>4386.6000000000004</v>
      </c>
      <c r="AS62" s="267">
        <v>4275.8999999999996</v>
      </c>
      <c r="AT62" s="267">
        <v>4208.8</v>
      </c>
      <c r="AU62" s="267">
        <v>4100.8</v>
      </c>
      <c r="AV62" s="267">
        <v>4136</v>
      </c>
      <c r="AW62" s="267">
        <v>4354.2</v>
      </c>
      <c r="AX62" s="267">
        <v>4478.6000000000004</v>
      </c>
      <c r="AY62" s="267">
        <v>4545.8</v>
      </c>
      <c r="AZ62" s="267">
        <v>4426.1000000000004</v>
      </c>
      <c r="BA62" s="267">
        <v>4535.8999999999996</v>
      </c>
      <c r="BB62" s="267">
        <v>4611.8999999999996</v>
      </c>
      <c r="BC62" s="267">
        <v>4472.8999999999996</v>
      </c>
      <c r="BD62" s="267">
        <v>4565.6000000000004</v>
      </c>
      <c r="BE62" s="267">
        <v>4600.2</v>
      </c>
      <c r="BF62" s="267">
        <v>4536.8999999999996</v>
      </c>
      <c r="BG62" s="267">
        <v>4423.3</v>
      </c>
      <c r="BH62" s="267">
        <v>4426.5</v>
      </c>
      <c r="BI62" s="267">
        <v>4557.2</v>
      </c>
      <c r="BJ62" s="267">
        <v>4621.6000000000004</v>
      </c>
      <c r="BK62" s="267">
        <v>4527.6000000000004</v>
      </c>
      <c r="BL62" s="267">
        <v>4522.2</v>
      </c>
      <c r="BM62" s="267">
        <v>4518.8</v>
      </c>
      <c r="BN62" s="267">
        <v>4463.8</v>
      </c>
      <c r="BO62" s="267">
        <v>4541.8</v>
      </c>
      <c r="BP62" s="267">
        <v>4484.8999999999996</v>
      </c>
      <c r="BQ62" s="267">
        <v>4480.5</v>
      </c>
      <c r="BR62" s="267">
        <v>4573.1000000000004</v>
      </c>
      <c r="BS62" s="267">
        <v>4608.3</v>
      </c>
      <c r="BT62" s="267">
        <v>4504.3999999999996</v>
      </c>
      <c r="BU62" s="267">
        <v>4378.6000000000004</v>
      </c>
      <c r="BV62" s="267">
        <v>4285.2</v>
      </c>
      <c r="BW62" s="267">
        <v>4179.1000000000004</v>
      </c>
      <c r="BX62" s="267">
        <v>4183.3999999999996</v>
      </c>
      <c r="BY62" s="267">
        <v>4360.3999999999996</v>
      </c>
      <c r="BZ62" s="267">
        <v>4566.3999999999996</v>
      </c>
      <c r="CA62" s="267">
        <v>4575.7</v>
      </c>
      <c r="CB62" s="267">
        <v>4751</v>
      </c>
      <c r="CC62" s="267">
        <v>4478.1000000000004</v>
      </c>
      <c r="CD62" s="267">
        <v>4585.3999999999996</v>
      </c>
      <c r="CE62" s="267">
        <v>4602.6000000000004</v>
      </c>
      <c r="CF62" s="267">
        <v>4526.7</v>
      </c>
      <c r="CG62" s="267">
        <v>4551.8999999999996</v>
      </c>
      <c r="CH62" s="267">
        <v>4608</v>
      </c>
      <c r="CI62" s="267">
        <v>4522.2</v>
      </c>
      <c r="CJ62" s="267">
        <v>4509.8999999999996</v>
      </c>
      <c r="CK62" s="325"/>
    </row>
    <row r="63" spans="1:89" x14ac:dyDescent="0.3">
      <c r="A63" s="38"/>
      <c r="B63" s="46" t="s">
        <v>23</v>
      </c>
      <c r="C63" s="267">
        <f>+SUM(C64:C65)</f>
        <v>6610.6</v>
      </c>
      <c r="D63" s="267">
        <f t="shared" ref="D63:H63" si="124">+SUM(D64:D65)</f>
        <v>6567.7</v>
      </c>
      <c r="E63" s="267">
        <f t="shared" si="124"/>
        <v>6479.3</v>
      </c>
      <c r="F63" s="267">
        <f t="shared" si="124"/>
        <v>6477.7999999999993</v>
      </c>
      <c r="G63" s="267">
        <f t="shared" si="124"/>
        <v>6450.4</v>
      </c>
      <c r="H63" s="267">
        <f t="shared" si="124"/>
        <v>6566.2000000000007</v>
      </c>
      <c r="I63" s="267">
        <f t="shared" ref="I63:K63" si="125">+SUM(I64:I65)</f>
        <v>6400.3</v>
      </c>
      <c r="J63" s="267">
        <f t="shared" si="125"/>
        <v>6347.6</v>
      </c>
      <c r="K63" s="267">
        <f t="shared" si="125"/>
        <v>6295</v>
      </c>
      <c r="L63" s="267">
        <v>6440.3</v>
      </c>
      <c r="M63" s="267">
        <v>6362.2</v>
      </c>
      <c r="N63" s="267">
        <v>6474.9</v>
      </c>
      <c r="O63" s="267">
        <f t="shared" ref="O63" si="126">+SUM(O64:O65)</f>
        <v>6407.4</v>
      </c>
      <c r="P63" s="267">
        <f t="shared" ref="P63:U63" si="127">+SUM(P64:P65)</f>
        <v>6368.6</v>
      </c>
      <c r="Q63" s="267">
        <f t="shared" si="127"/>
        <v>6370.6</v>
      </c>
      <c r="R63" s="267">
        <f t="shared" si="127"/>
        <v>6328.1</v>
      </c>
      <c r="S63" s="267">
        <f t="shared" si="127"/>
        <v>6410.2999999999993</v>
      </c>
      <c r="T63" s="267">
        <f t="shared" si="127"/>
        <v>6487.2999999999993</v>
      </c>
      <c r="U63" s="267">
        <f t="shared" si="127"/>
        <v>6801.2</v>
      </c>
      <c r="V63" s="267">
        <f t="shared" ref="V63:Z63" si="128">+SUM(V64:V65)</f>
        <v>6894.5</v>
      </c>
      <c r="W63" s="267">
        <f t="shared" si="128"/>
        <v>0</v>
      </c>
      <c r="X63" s="267">
        <f t="shared" si="128"/>
        <v>0</v>
      </c>
      <c r="Y63" s="267">
        <f t="shared" si="128"/>
        <v>0</v>
      </c>
      <c r="Z63" s="267">
        <f t="shared" si="128"/>
        <v>0</v>
      </c>
      <c r="AA63" s="267">
        <f t="shared" ref="AA63:AT63" si="129">+SUM(AA64:AA65)</f>
        <v>0</v>
      </c>
      <c r="AB63" s="267">
        <f t="shared" si="129"/>
        <v>0</v>
      </c>
      <c r="AC63" s="267">
        <f t="shared" si="129"/>
        <v>0</v>
      </c>
      <c r="AD63" s="267">
        <f t="shared" si="129"/>
        <v>0</v>
      </c>
      <c r="AE63" s="267">
        <f t="shared" si="129"/>
        <v>0</v>
      </c>
      <c r="AF63" s="267">
        <f t="shared" si="129"/>
        <v>0</v>
      </c>
      <c r="AG63" s="267">
        <f t="shared" si="129"/>
        <v>0</v>
      </c>
      <c r="AH63" s="267">
        <f t="shared" si="129"/>
        <v>0</v>
      </c>
      <c r="AI63" s="267">
        <f t="shared" si="129"/>
        <v>0</v>
      </c>
      <c r="AJ63" s="267">
        <f t="shared" si="129"/>
        <v>0</v>
      </c>
      <c r="AK63" s="267">
        <f t="shared" si="129"/>
        <v>0</v>
      </c>
      <c r="AL63" s="267">
        <f t="shared" si="129"/>
        <v>0</v>
      </c>
      <c r="AM63" s="267">
        <f t="shared" si="129"/>
        <v>0</v>
      </c>
      <c r="AN63" s="267">
        <f t="shared" si="129"/>
        <v>0</v>
      </c>
      <c r="AO63" s="267">
        <f t="shared" si="129"/>
        <v>0</v>
      </c>
      <c r="AP63" s="267">
        <f t="shared" si="129"/>
        <v>0</v>
      </c>
      <c r="AQ63" s="267">
        <f t="shared" si="129"/>
        <v>0</v>
      </c>
      <c r="AR63" s="267">
        <f t="shared" si="129"/>
        <v>0</v>
      </c>
      <c r="AS63" s="267">
        <f t="shared" si="129"/>
        <v>0</v>
      </c>
      <c r="AT63" s="267">
        <f t="shared" si="129"/>
        <v>0</v>
      </c>
      <c r="AU63" s="267">
        <f t="shared" ref="AU63" si="130">+SUM(AU64:AU65)</f>
        <v>0</v>
      </c>
      <c r="AV63" s="267">
        <f t="shared" ref="AV63:BA63" si="131">+SUM(AV64:AV65)</f>
        <v>0</v>
      </c>
      <c r="AW63" s="267">
        <f t="shared" si="131"/>
        <v>0</v>
      </c>
      <c r="AX63" s="267">
        <f t="shared" si="131"/>
        <v>0</v>
      </c>
      <c r="AY63" s="267">
        <f t="shared" si="131"/>
        <v>0</v>
      </c>
      <c r="AZ63" s="267">
        <f t="shared" si="131"/>
        <v>0</v>
      </c>
      <c r="BA63" s="267">
        <f t="shared" si="131"/>
        <v>0</v>
      </c>
      <c r="BB63" s="267">
        <f t="shared" ref="BB63:BI63" si="132">+SUM(BB64:BB65)</f>
        <v>0</v>
      </c>
      <c r="BC63" s="267">
        <f t="shared" si="132"/>
        <v>0</v>
      </c>
      <c r="BD63" s="267">
        <f t="shared" si="132"/>
        <v>0</v>
      </c>
      <c r="BE63" s="267">
        <f t="shared" si="132"/>
        <v>0</v>
      </c>
      <c r="BF63" s="267">
        <f t="shared" si="132"/>
        <v>0</v>
      </c>
      <c r="BG63" s="267">
        <f t="shared" si="132"/>
        <v>0</v>
      </c>
      <c r="BH63" s="267">
        <f t="shared" si="132"/>
        <v>0</v>
      </c>
      <c r="BI63" s="267">
        <f t="shared" si="132"/>
        <v>0</v>
      </c>
      <c r="BJ63" s="267">
        <f t="shared" ref="BJ63:BO63" si="133">+SUM(BJ64:BJ65)</f>
        <v>0</v>
      </c>
      <c r="BK63" s="267">
        <f t="shared" si="133"/>
        <v>0</v>
      </c>
      <c r="BL63" s="267">
        <f t="shared" si="133"/>
        <v>0</v>
      </c>
      <c r="BM63" s="267">
        <f t="shared" si="133"/>
        <v>0</v>
      </c>
      <c r="BN63" s="267">
        <f t="shared" si="133"/>
        <v>0</v>
      </c>
      <c r="BO63" s="267">
        <f t="shared" si="133"/>
        <v>0</v>
      </c>
      <c r="BP63" s="267">
        <f t="shared" ref="BP63:CJ63" si="134">+SUM(BP64:BP65)</f>
        <v>0</v>
      </c>
      <c r="BQ63" s="267">
        <f t="shared" ref="BQ63:CI63" si="135">+SUM(BQ64:BQ65)</f>
        <v>0</v>
      </c>
      <c r="BR63" s="267">
        <f t="shared" si="135"/>
        <v>0</v>
      </c>
      <c r="BS63" s="267">
        <f t="shared" si="135"/>
        <v>0</v>
      </c>
      <c r="BT63" s="267">
        <f t="shared" si="135"/>
        <v>0</v>
      </c>
      <c r="BU63" s="267">
        <f t="shared" si="135"/>
        <v>0</v>
      </c>
      <c r="BV63" s="267">
        <f t="shared" si="135"/>
        <v>0</v>
      </c>
      <c r="BW63" s="267">
        <f t="shared" si="135"/>
        <v>0</v>
      </c>
      <c r="BX63" s="267">
        <f t="shared" si="135"/>
        <v>0</v>
      </c>
      <c r="BY63" s="267">
        <f t="shared" si="135"/>
        <v>0</v>
      </c>
      <c r="BZ63" s="267">
        <f t="shared" si="135"/>
        <v>0</v>
      </c>
      <c r="CA63" s="267">
        <f t="shared" si="135"/>
        <v>0</v>
      </c>
      <c r="CB63" s="267">
        <f t="shared" si="135"/>
        <v>0</v>
      </c>
      <c r="CC63" s="267">
        <f t="shared" si="135"/>
        <v>0</v>
      </c>
      <c r="CD63" s="267">
        <f t="shared" si="135"/>
        <v>0</v>
      </c>
      <c r="CE63" s="267">
        <f t="shared" si="135"/>
        <v>0</v>
      </c>
      <c r="CF63" s="267">
        <f t="shared" si="135"/>
        <v>0</v>
      </c>
      <c r="CG63" s="267">
        <f t="shared" si="135"/>
        <v>0</v>
      </c>
      <c r="CH63" s="267">
        <f t="shared" si="135"/>
        <v>0</v>
      </c>
      <c r="CI63" s="267">
        <f t="shared" si="135"/>
        <v>0</v>
      </c>
      <c r="CJ63" s="267">
        <f t="shared" si="134"/>
        <v>0</v>
      </c>
      <c r="CK63" s="325"/>
    </row>
    <row r="64" spans="1:89" x14ac:dyDescent="0.3">
      <c r="A64" s="38"/>
      <c r="B64" s="47" t="s">
        <v>13</v>
      </c>
      <c r="C64" s="269">
        <v>3564.7</v>
      </c>
      <c r="D64" s="269">
        <v>3541.6</v>
      </c>
      <c r="E64" s="269">
        <v>3493.9</v>
      </c>
      <c r="F64" s="269">
        <v>3493.1</v>
      </c>
      <c r="G64" s="269">
        <v>3478.3</v>
      </c>
      <c r="H64" s="269">
        <v>3540.8</v>
      </c>
      <c r="I64" s="269">
        <v>3451.3</v>
      </c>
      <c r="J64" s="269">
        <v>3422.9</v>
      </c>
      <c r="K64" s="269">
        <v>3394.5</v>
      </c>
      <c r="L64" s="269">
        <v>3472.9</v>
      </c>
      <c r="M64" s="269">
        <v>3430.8</v>
      </c>
      <c r="N64" s="269">
        <v>3491.5</v>
      </c>
      <c r="O64" s="269">
        <v>3455.1</v>
      </c>
      <c r="P64" s="269">
        <v>3434.2</v>
      </c>
      <c r="Q64" s="269">
        <v>3435.3</v>
      </c>
      <c r="R64" s="269">
        <v>3412.4</v>
      </c>
      <c r="S64" s="269">
        <v>3456.7</v>
      </c>
      <c r="T64" s="269">
        <v>3498.2</v>
      </c>
      <c r="U64" s="269">
        <v>3667.5</v>
      </c>
      <c r="V64" s="269">
        <v>3717.8</v>
      </c>
      <c r="W64" s="269">
        <v>0</v>
      </c>
      <c r="X64" s="269">
        <v>0</v>
      </c>
      <c r="Y64" s="269">
        <v>0</v>
      </c>
      <c r="Z64" s="269">
        <v>0</v>
      </c>
      <c r="AA64" s="269">
        <v>0</v>
      </c>
      <c r="AB64" s="269">
        <v>0</v>
      </c>
      <c r="AC64" s="269">
        <v>0</v>
      </c>
      <c r="AD64" s="269">
        <v>0</v>
      </c>
      <c r="AE64" s="269">
        <v>0</v>
      </c>
      <c r="AF64" s="269">
        <v>0</v>
      </c>
      <c r="AG64" s="269">
        <v>0</v>
      </c>
      <c r="AH64" s="269">
        <v>0</v>
      </c>
      <c r="AI64" s="269">
        <v>0</v>
      </c>
      <c r="AJ64" s="269">
        <v>0</v>
      </c>
      <c r="AK64" s="269">
        <v>0</v>
      </c>
      <c r="AL64" s="269">
        <v>0</v>
      </c>
      <c r="AM64" s="269">
        <v>0</v>
      </c>
      <c r="AN64" s="269">
        <v>0</v>
      </c>
      <c r="AO64" s="269">
        <v>0</v>
      </c>
      <c r="AP64" s="269">
        <v>0</v>
      </c>
      <c r="AQ64" s="269">
        <v>0</v>
      </c>
      <c r="AR64" s="269">
        <v>0</v>
      </c>
      <c r="AS64" s="269">
        <v>0</v>
      </c>
      <c r="AT64" s="269">
        <v>0</v>
      </c>
      <c r="AU64" s="269">
        <v>0</v>
      </c>
      <c r="AV64" s="269">
        <v>0</v>
      </c>
      <c r="AW64" s="269">
        <v>0</v>
      </c>
      <c r="AX64" s="269">
        <v>0</v>
      </c>
      <c r="AY64" s="269">
        <v>0</v>
      </c>
      <c r="AZ64" s="269">
        <v>0</v>
      </c>
      <c r="BA64" s="269">
        <v>0</v>
      </c>
      <c r="BB64" s="269">
        <v>0</v>
      </c>
      <c r="BC64" s="269">
        <v>0</v>
      </c>
      <c r="BD64" s="269">
        <v>0</v>
      </c>
      <c r="BE64" s="269">
        <v>0</v>
      </c>
      <c r="BF64" s="269">
        <v>0</v>
      </c>
      <c r="BG64" s="269">
        <v>0</v>
      </c>
      <c r="BH64" s="269">
        <v>0</v>
      </c>
      <c r="BI64" s="269">
        <v>0</v>
      </c>
      <c r="BJ64" s="269">
        <v>0</v>
      </c>
      <c r="BK64" s="269">
        <v>0</v>
      </c>
      <c r="BL64" s="269">
        <v>0</v>
      </c>
      <c r="BM64" s="269">
        <v>0</v>
      </c>
      <c r="BN64" s="269">
        <v>0</v>
      </c>
      <c r="BO64" s="269">
        <v>0</v>
      </c>
      <c r="BP64" s="269">
        <v>0</v>
      </c>
      <c r="BQ64" s="269">
        <v>0</v>
      </c>
      <c r="BR64" s="269">
        <v>0</v>
      </c>
      <c r="BS64" s="269">
        <v>0</v>
      </c>
      <c r="BT64" s="269">
        <v>0</v>
      </c>
      <c r="BU64" s="269">
        <v>0</v>
      </c>
      <c r="BV64" s="269">
        <v>0</v>
      </c>
      <c r="BW64" s="269">
        <v>0</v>
      </c>
      <c r="BX64" s="269">
        <v>0</v>
      </c>
      <c r="BY64" s="269">
        <v>0</v>
      </c>
      <c r="BZ64" s="269">
        <v>0</v>
      </c>
      <c r="CA64" s="269">
        <v>0</v>
      </c>
      <c r="CB64" s="269">
        <v>0</v>
      </c>
      <c r="CC64" s="269">
        <v>0</v>
      </c>
      <c r="CD64" s="269">
        <v>0</v>
      </c>
      <c r="CE64" s="269">
        <v>0</v>
      </c>
      <c r="CF64" s="269">
        <v>0</v>
      </c>
      <c r="CG64" s="269">
        <v>0</v>
      </c>
      <c r="CH64" s="269">
        <v>0</v>
      </c>
      <c r="CI64" s="269">
        <v>0</v>
      </c>
      <c r="CJ64" s="269">
        <v>0</v>
      </c>
      <c r="CK64" s="326"/>
    </row>
    <row r="65" spans="1:89" x14ac:dyDescent="0.3">
      <c r="A65" s="38"/>
      <c r="B65" s="47" t="s">
        <v>14</v>
      </c>
      <c r="C65" s="267">
        <v>3045.9</v>
      </c>
      <c r="D65" s="267">
        <v>3026.1</v>
      </c>
      <c r="E65" s="267">
        <v>2985.4</v>
      </c>
      <c r="F65" s="267">
        <v>2984.7</v>
      </c>
      <c r="G65" s="267">
        <v>2972.1</v>
      </c>
      <c r="H65" s="267">
        <v>3025.4</v>
      </c>
      <c r="I65" s="267">
        <v>2949</v>
      </c>
      <c r="J65" s="267">
        <v>2924.7</v>
      </c>
      <c r="K65" s="267">
        <v>2900.5</v>
      </c>
      <c r="L65" s="267">
        <v>2967.4</v>
      </c>
      <c r="M65" s="267">
        <v>2931.5</v>
      </c>
      <c r="N65" s="267">
        <v>2983.4</v>
      </c>
      <c r="O65" s="267">
        <v>2952.3</v>
      </c>
      <c r="P65" s="267">
        <v>2934.4</v>
      </c>
      <c r="Q65" s="267">
        <v>2935.3</v>
      </c>
      <c r="R65" s="267">
        <v>2915.7</v>
      </c>
      <c r="S65" s="267">
        <v>2953.6</v>
      </c>
      <c r="T65" s="267">
        <v>2989.1</v>
      </c>
      <c r="U65" s="267">
        <v>3133.7</v>
      </c>
      <c r="V65" s="267">
        <v>3176.7</v>
      </c>
      <c r="W65" s="267">
        <v>0</v>
      </c>
      <c r="X65" s="267">
        <v>0</v>
      </c>
      <c r="Y65" s="267">
        <v>0</v>
      </c>
      <c r="Z65" s="267">
        <v>0</v>
      </c>
      <c r="AA65" s="267">
        <v>0</v>
      </c>
      <c r="AB65" s="267">
        <v>0</v>
      </c>
      <c r="AC65" s="267">
        <v>0</v>
      </c>
      <c r="AD65" s="267">
        <v>0</v>
      </c>
      <c r="AE65" s="267">
        <v>0</v>
      </c>
      <c r="AF65" s="267">
        <v>0</v>
      </c>
      <c r="AG65" s="267">
        <v>0</v>
      </c>
      <c r="AH65" s="267">
        <v>0</v>
      </c>
      <c r="AI65" s="267">
        <v>0</v>
      </c>
      <c r="AJ65" s="267">
        <v>0</v>
      </c>
      <c r="AK65" s="267">
        <v>0</v>
      </c>
      <c r="AL65" s="267">
        <v>0</v>
      </c>
      <c r="AM65" s="267">
        <v>0</v>
      </c>
      <c r="AN65" s="267">
        <v>0</v>
      </c>
      <c r="AO65" s="267">
        <v>0</v>
      </c>
      <c r="AP65" s="267">
        <v>0</v>
      </c>
      <c r="AQ65" s="267">
        <v>0</v>
      </c>
      <c r="AR65" s="267">
        <v>0</v>
      </c>
      <c r="AS65" s="267">
        <v>0</v>
      </c>
      <c r="AT65" s="267">
        <v>0</v>
      </c>
      <c r="AU65" s="267">
        <v>0</v>
      </c>
      <c r="AV65" s="267">
        <v>0</v>
      </c>
      <c r="AW65" s="267">
        <v>0</v>
      </c>
      <c r="AX65" s="267">
        <v>0</v>
      </c>
      <c r="AY65" s="267">
        <v>0</v>
      </c>
      <c r="AZ65" s="267">
        <v>0</v>
      </c>
      <c r="BA65" s="267">
        <v>0</v>
      </c>
      <c r="BB65" s="267">
        <v>0</v>
      </c>
      <c r="BC65" s="267">
        <v>0</v>
      </c>
      <c r="BD65" s="267">
        <v>0</v>
      </c>
      <c r="BE65" s="267">
        <v>0</v>
      </c>
      <c r="BF65" s="267">
        <v>0</v>
      </c>
      <c r="BG65" s="267">
        <v>0</v>
      </c>
      <c r="BH65" s="267">
        <v>0</v>
      </c>
      <c r="BI65" s="267">
        <v>0</v>
      </c>
      <c r="BJ65" s="267">
        <v>0</v>
      </c>
      <c r="BK65" s="267">
        <v>0</v>
      </c>
      <c r="BL65" s="267">
        <v>0</v>
      </c>
      <c r="BM65" s="267">
        <v>0</v>
      </c>
      <c r="BN65" s="267">
        <v>0</v>
      </c>
      <c r="BO65" s="267">
        <v>0</v>
      </c>
      <c r="BP65" s="267">
        <v>0</v>
      </c>
      <c r="BQ65" s="267">
        <v>0</v>
      </c>
      <c r="BR65" s="267">
        <v>0</v>
      </c>
      <c r="BS65" s="267">
        <v>0</v>
      </c>
      <c r="BT65" s="267">
        <v>0</v>
      </c>
      <c r="BU65" s="267">
        <v>0</v>
      </c>
      <c r="BV65" s="267">
        <v>0</v>
      </c>
      <c r="BW65" s="267">
        <v>0</v>
      </c>
      <c r="BX65" s="267">
        <v>0</v>
      </c>
      <c r="BY65" s="267">
        <v>0</v>
      </c>
      <c r="BZ65" s="267">
        <v>0</v>
      </c>
      <c r="CA65" s="267">
        <v>0</v>
      </c>
      <c r="CB65" s="267">
        <v>0</v>
      </c>
      <c r="CC65" s="267">
        <v>0</v>
      </c>
      <c r="CD65" s="267">
        <v>0</v>
      </c>
      <c r="CE65" s="267">
        <v>0</v>
      </c>
      <c r="CF65" s="267">
        <v>0</v>
      </c>
      <c r="CG65" s="267">
        <v>0</v>
      </c>
      <c r="CH65" s="267">
        <v>0</v>
      </c>
      <c r="CI65" s="267">
        <v>0</v>
      </c>
      <c r="CJ65" s="267">
        <v>0</v>
      </c>
      <c r="CK65" s="325"/>
    </row>
    <row r="66" spans="1:89" x14ac:dyDescent="0.3">
      <c r="A66" s="38"/>
      <c r="B66" s="46" t="s">
        <v>24</v>
      </c>
      <c r="C66" s="267">
        <f>+SUM(C67:C68)</f>
        <v>7408.1</v>
      </c>
      <c r="D66" s="267">
        <f t="shared" ref="D66:H66" si="136">+SUM(D67:D68)</f>
        <v>7360.1</v>
      </c>
      <c r="E66" s="267">
        <f t="shared" si="136"/>
        <v>7261.1</v>
      </c>
      <c r="F66" s="267">
        <f t="shared" si="136"/>
        <v>7259.4</v>
      </c>
      <c r="G66" s="267">
        <f t="shared" si="136"/>
        <v>7228.7</v>
      </c>
      <c r="H66" s="267">
        <f t="shared" si="136"/>
        <v>7358.4</v>
      </c>
      <c r="I66" s="267">
        <f t="shared" ref="I66:K66" si="137">+SUM(I67:I68)</f>
        <v>7172.5999999999995</v>
      </c>
      <c r="J66" s="267">
        <f t="shared" si="137"/>
        <v>7113.5</v>
      </c>
      <c r="K66" s="267">
        <f t="shared" si="137"/>
        <v>7054.5</v>
      </c>
      <c r="L66" s="267">
        <v>7217.3</v>
      </c>
      <c r="M66" s="267">
        <v>7129.9</v>
      </c>
      <c r="N66" s="267">
        <v>7256.2</v>
      </c>
      <c r="O66" s="267">
        <f t="shared" ref="O66" si="138">+SUM(O67:O68)</f>
        <v>7180.5</v>
      </c>
      <c r="P66" s="267">
        <f t="shared" ref="P66:U66" si="139">+SUM(P67:P68)</f>
        <v>7137</v>
      </c>
      <c r="Q66" s="267">
        <f t="shared" si="139"/>
        <v>7139.3</v>
      </c>
      <c r="R66" s="267">
        <f t="shared" si="139"/>
        <v>7091.5999999999995</v>
      </c>
      <c r="S66" s="267">
        <f t="shared" si="139"/>
        <v>7183.7</v>
      </c>
      <c r="T66" s="267">
        <f t="shared" si="139"/>
        <v>7270.1</v>
      </c>
      <c r="U66" s="267">
        <f t="shared" si="139"/>
        <v>7621.8</v>
      </c>
      <c r="V66" s="267">
        <f t="shared" ref="V66:Z66" si="140">+SUM(V67:V68)</f>
        <v>7726.5</v>
      </c>
      <c r="W66" s="267">
        <f t="shared" si="140"/>
        <v>665.8</v>
      </c>
      <c r="X66" s="267">
        <f t="shared" si="140"/>
        <v>661.8</v>
      </c>
      <c r="Y66" s="267">
        <f t="shared" si="140"/>
        <v>677.7</v>
      </c>
      <c r="Z66" s="267">
        <f t="shared" si="140"/>
        <v>693.9</v>
      </c>
      <c r="AA66" s="267">
        <f t="shared" ref="AA66:AT66" si="141">+SUM(AA67:AA68)</f>
        <v>689.5</v>
      </c>
      <c r="AB66" s="267">
        <f t="shared" si="141"/>
        <v>686</v>
      </c>
      <c r="AC66" s="267">
        <f t="shared" si="141"/>
        <v>666.3</v>
      </c>
      <c r="AD66" s="267">
        <f t="shared" si="141"/>
        <v>682.8</v>
      </c>
      <c r="AE66" s="267">
        <f t="shared" si="141"/>
        <v>694.6</v>
      </c>
      <c r="AF66" s="267">
        <f t="shared" si="141"/>
        <v>673.6</v>
      </c>
      <c r="AG66" s="267">
        <f t="shared" si="141"/>
        <v>674.4</v>
      </c>
      <c r="AH66" s="267">
        <f t="shared" si="141"/>
        <v>670.8</v>
      </c>
      <c r="AI66" s="267">
        <f t="shared" si="141"/>
        <v>658</v>
      </c>
      <c r="AJ66" s="267">
        <f t="shared" si="141"/>
        <v>656.9</v>
      </c>
      <c r="AK66" s="267">
        <f t="shared" si="141"/>
        <v>644.1</v>
      </c>
      <c r="AL66" s="267">
        <f t="shared" si="141"/>
        <v>645.9</v>
      </c>
      <c r="AM66" s="267">
        <f t="shared" si="141"/>
        <v>638.29999999999995</v>
      </c>
      <c r="AN66" s="267">
        <f t="shared" si="141"/>
        <v>637.5</v>
      </c>
      <c r="AO66" s="267">
        <f t="shared" si="141"/>
        <v>628.70000000000005</v>
      </c>
      <c r="AP66" s="267">
        <f t="shared" si="141"/>
        <v>598.9</v>
      </c>
      <c r="AQ66" s="267">
        <f t="shared" si="141"/>
        <v>609.79999999999995</v>
      </c>
      <c r="AR66" s="267">
        <f t="shared" si="141"/>
        <v>595.6</v>
      </c>
      <c r="AS66" s="267">
        <f t="shared" si="141"/>
        <v>580.5</v>
      </c>
      <c r="AT66" s="267">
        <f t="shared" si="141"/>
        <v>571.4</v>
      </c>
      <c r="AU66" s="267">
        <f t="shared" ref="AU66" si="142">+SUM(AU67:AU68)</f>
        <v>556.79999999999995</v>
      </c>
      <c r="AV66" s="267">
        <f t="shared" ref="AV66:AX66" si="143">+SUM(AV67:AV68)</f>
        <v>561.6</v>
      </c>
      <c r="AW66" s="267">
        <f t="shared" si="143"/>
        <v>591.20000000000005</v>
      </c>
      <c r="AX66" s="267">
        <f t="shared" si="143"/>
        <v>608.1</v>
      </c>
      <c r="AY66" s="267">
        <f t="shared" ref="AY66:BC66" si="144">+SUM(AY67:AY68)</f>
        <v>617.20000000000005</v>
      </c>
      <c r="AZ66" s="267">
        <f t="shared" si="144"/>
        <v>600.9</v>
      </c>
      <c r="BA66" s="267">
        <f t="shared" si="144"/>
        <v>615.9</v>
      </c>
      <c r="BB66" s="267">
        <f t="shared" si="144"/>
        <v>626.20000000000005</v>
      </c>
      <c r="BC66" s="267">
        <f t="shared" si="144"/>
        <v>607.29999999999995</v>
      </c>
      <c r="BD66" s="267">
        <f t="shared" ref="BD66:BI66" si="145">+SUM(BD67:BD68)</f>
        <v>619.9</v>
      </c>
      <c r="BE66" s="267">
        <f t="shared" si="145"/>
        <v>624.6</v>
      </c>
      <c r="BF66" s="267">
        <f t="shared" si="145"/>
        <v>616</v>
      </c>
      <c r="BG66" s="267">
        <f t="shared" si="145"/>
        <v>600.6</v>
      </c>
      <c r="BH66" s="267">
        <f t="shared" si="145"/>
        <v>601</v>
      </c>
      <c r="BI66" s="267">
        <f t="shared" si="145"/>
        <v>618.70000000000005</v>
      </c>
      <c r="BJ66" s="267">
        <f t="shared" ref="BJ66:BO66" si="146">+SUM(BJ67:BJ68)</f>
        <v>627.5</v>
      </c>
      <c r="BK66" s="267">
        <f t="shared" si="146"/>
        <v>614.70000000000005</v>
      </c>
      <c r="BL66" s="267">
        <f t="shared" si="146"/>
        <v>614</v>
      </c>
      <c r="BM66" s="267">
        <f t="shared" si="146"/>
        <v>613.5</v>
      </c>
      <c r="BN66" s="267">
        <f t="shared" si="146"/>
        <v>606.1</v>
      </c>
      <c r="BO66" s="267">
        <f t="shared" si="146"/>
        <v>616.70000000000005</v>
      </c>
      <c r="BP66" s="267">
        <f t="shared" ref="BP66:CJ66" si="147">+SUM(BP67:BP68)</f>
        <v>608.9</v>
      </c>
      <c r="BQ66" s="267">
        <f t="shared" ref="BQ66:CI66" si="148">+SUM(BQ67:BQ68)</f>
        <v>615.20000000000005</v>
      </c>
      <c r="BR66" s="267">
        <f t="shared" si="148"/>
        <v>627.9</v>
      </c>
      <c r="BS66" s="267">
        <f t="shared" si="148"/>
        <v>632.70000000000005</v>
      </c>
      <c r="BT66" s="267">
        <f t="shared" si="148"/>
        <v>618.5</v>
      </c>
      <c r="BU66" s="267">
        <f t="shared" si="148"/>
        <v>601.20000000000005</v>
      </c>
      <c r="BV66" s="267">
        <f t="shared" si="148"/>
        <v>588.4</v>
      </c>
      <c r="BW66" s="267">
        <f t="shared" si="148"/>
        <v>589.20000000000005</v>
      </c>
      <c r="BX66" s="267">
        <f t="shared" si="148"/>
        <v>589.79999999999995</v>
      </c>
      <c r="BY66" s="267">
        <f t="shared" si="148"/>
        <v>614.70000000000005</v>
      </c>
      <c r="BZ66" s="267">
        <f t="shared" si="148"/>
        <v>643.79999999999995</v>
      </c>
      <c r="CA66" s="267">
        <f t="shared" si="148"/>
        <v>645.1</v>
      </c>
      <c r="CB66" s="267">
        <f t="shared" si="148"/>
        <v>669.8</v>
      </c>
      <c r="CC66" s="267">
        <f t="shared" si="148"/>
        <v>648.70000000000005</v>
      </c>
      <c r="CD66" s="267">
        <f t="shared" si="148"/>
        <v>664.2</v>
      </c>
      <c r="CE66" s="267">
        <f t="shared" si="148"/>
        <v>666.7</v>
      </c>
      <c r="CF66" s="267">
        <f t="shared" si="148"/>
        <v>655.7</v>
      </c>
      <c r="CG66" s="267">
        <f t="shared" si="148"/>
        <v>659.4</v>
      </c>
      <c r="CH66" s="267">
        <f t="shared" si="148"/>
        <v>667.5</v>
      </c>
      <c r="CI66" s="267">
        <f t="shared" si="148"/>
        <v>673.6</v>
      </c>
      <c r="CJ66" s="267">
        <f t="shared" si="147"/>
        <v>671.8</v>
      </c>
      <c r="CK66" s="325"/>
    </row>
    <row r="67" spans="1:89" x14ac:dyDescent="0.3">
      <c r="A67" s="38"/>
      <c r="B67" s="47" t="s">
        <v>13</v>
      </c>
      <c r="C67" s="269">
        <v>5762.1</v>
      </c>
      <c r="D67" s="269">
        <v>5724.7</v>
      </c>
      <c r="E67" s="269">
        <v>5647.7</v>
      </c>
      <c r="F67" s="269">
        <v>5646.4</v>
      </c>
      <c r="G67" s="269">
        <v>5622.5</v>
      </c>
      <c r="H67" s="269">
        <v>5723.4</v>
      </c>
      <c r="I67" s="269">
        <v>5578.9</v>
      </c>
      <c r="J67" s="269">
        <v>5532.9</v>
      </c>
      <c r="K67" s="269">
        <v>5487</v>
      </c>
      <c r="L67" s="269">
        <v>5613.7</v>
      </c>
      <c r="M67" s="269">
        <v>5545.7</v>
      </c>
      <c r="N67" s="269">
        <v>5643.9</v>
      </c>
      <c r="O67" s="269">
        <v>5585</v>
      </c>
      <c r="P67" s="269">
        <v>5551.2</v>
      </c>
      <c r="Q67" s="269">
        <v>5553</v>
      </c>
      <c r="R67" s="269">
        <v>5515.9</v>
      </c>
      <c r="S67" s="269">
        <v>5587.5</v>
      </c>
      <c r="T67" s="269">
        <v>5654.7</v>
      </c>
      <c r="U67" s="269">
        <v>5928.3</v>
      </c>
      <c r="V67" s="269">
        <v>6009.7</v>
      </c>
      <c r="W67" s="269">
        <v>0</v>
      </c>
      <c r="X67" s="269">
        <v>0</v>
      </c>
      <c r="Y67" s="269">
        <v>0</v>
      </c>
      <c r="Z67" s="269">
        <v>0</v>
      </c>
      <c r="AA67" s="269">
        <v>0</v>
      </c>
      <c r="AB67" s="269">
        <v>0</v>
      </c>
      <c r="AC67" s="269">
        <v>0</v>
      </c>
      <c r="AD67" s="269">
        <v>0</v>
      </c>
      <c r="AE67" s="269">
        <v>0</v>
      </c>
      <c r="AF67" s="269">
        <v>0</v>
      </c>
      <c r="AG67" s="269">
        <v>0</v>
      </c>
      <c r="AH67" s="269">
        <v>0</v>
      </c>
      <c r="AI67" s="269">
        <v>0</v>
      </c>
      <c r="AJ67" s="269">
        <v>0</v>
      </c>
      <c r="AK67" s="269">
        <v>0</v>
      </c>
      <c r="AL67" s="269">
        <v>0</v>
      </c>
      <c r="AM67" s="269">
        <v>0</v>
      </c>
      <c r="AN67" s="269">
        <v>0</v>
      </c>
      <c r="AO67" s="269">
        <v>0</v>
      </c>
      <c r="AP67" s="269">
        <v>0</v>
      </c>
      <c r="AQ67" s="269">
        <v>0</v>
      </c>
      <c r="AR67" s="269">
        <v>0</v>
      </c>
      <c r="AS67" s="269">
        <v>0</v>
      </c>
      <c r="AT67" s="269">
        <v>0</v>
      </c>
      <c r="AU67" s="269">
        <v>0</v>
      </c>
      <c r="AV67" s="269">
        <v>0</v>
      </c>
      <c r="AW67" s="269">
        <v>0</v>
      </c>
      <c r="AX67" s="269">
        <v>0</v>
      </c>
      <c r="AY67" s="269">
        <v>0</v>
      </c>
      <c r="AZ67" s="269">
        <v>0</v>
      </c>
      <c r="BA67" s="269">
        <v>0</v>
      </c>
      <c r="BB67" s="269">
        <v>0</v>
      </c>
      <c r="BC67" s="269">
        <v>0</v>
      </c>
      <c r="BD67" s="269">
        <v>0</v>
      </c>
      <c r="BE67" s="269">
        <v>0</v>
      </c>
      <c r="BF67" s="269">
        <v>0</v>
      </c>
      <c r="BG67" s="269">
        <v>0</v>
      </c>
      <c r="BH67" s="269">
        <v>0</v>
      </c>
      <c r="BI67" s="269">
        <v>0</v>
      </c>
      <c r="BJ67" s="269">
        <v>0</v>
      </c>
      <c r="BK67" s="269">
        <v>0</v>
      </c>
      <c r="BL67" s="269">
        <v>0</v>
      </c>
      <c r="BM67" s="269">
        <v>0</v>
      </c>
      <c r="BN67" s="269">
        <v>0</v>
      </c>
      <c r="BO67" s="269">
        <v>0</v>
      </c>
      <c r="BP67" s="269">
        <v>0</v>
      </c>
      <c r="BQ67" s="269">
        <v>0</v>
      </c>
      <c r="BR67" s="269">
        <v>0</v>
      </c>
      <c r="BS67" s="269">
        <v>0</v>
      </c>
      <c r="BT67" s="269">
        <v>0</v>
      </c>
      <c r="BU67" s="269">
        <v>0</v>
      </c>
      <c r="BV67" s="269">
        <v>0</v>
      </c>
      <c r="BW67" s="269">
        <v>0</v>
      </c>
      <c r="BX67" s="269">
        <v>0</v>
      </c>
      <c r="BY67" s="269">
        <v>0</v>
      </c>
      <c r="BZ67" s="269">
        <v>0</v>
      </c>
      <c r="CA67" s="269">
        <v>0</v>
      </c>
      <c r="CB67" s="269">
        <v>0</v>
      </c>
      <c r="CC67" s="269">
        <v>0</v>
      </c>
      <c r="CD67" s="269">
        <v>0</v>
      </c>
      <c r="CE67" s="269">
        <v>0</v>
      </c>
      <c r="CF67" s="269">
        <v>0</v>
      </c>
      <c r="CG67" s="269">
        <v>0</v>
      </c>
      <c r="CH67" s="269">
        <v>0</v>
      </c>
      <c r="CI67" s="269">
        <v>0</v>
      </c>
      <c r="CJ67" s="269">
        <v>0</v>
      </c>
      <c r="CK67" s="326"/>
    </row>
    <row r="68" spans="1:89" x14ac:dyDescent="0.3">
      <c r="A68" s="38"/>
      <c r="B68" s="47" t="s">
        <v>14</v>
      </c>
      <c r="C68" s="269">
        <v>1646</v>
      </c>
      <c r="D68" s="269">
        <v>1635.4</v>
      </c>
      <c r="E68" s="269">
        <v>1613.4</v>
      </c>
      <c r="F68" s="269">
        <v>1613</v>
      </c>
      <c r="G68" s="269">
        <v>1606.2</v>
      </c>
      <c r="H68" s="269">
        <v>1635</v>
      </c>
      <c r="I68" s="269">
        <v>1593.7</v>
      </c>
      <c r="J68" s="269">
        <v>1580.6</v>
      </c>
      <c r="K68" s="269">
        <v>1567.5</v>
      </c>
      <c r="L68" s="269">
        <v>1603.6</v>
      </c>
      <c r="M68" s="269">
        <v>1584.2</v>
      </c>
      <c r="N68" s="269">
        <v>1612.3</v>
      </c>
      <c r="O68" s="269">
        <v>1595.5</v>
      </c>
      <c r="P68" s="269">
        <v>1585.8</v>
      </c>
      <c r="Q68" s="269">
        <v>1586.3</v>
      </c>
      <c r="R68" s="269">
        <v>1575.7</v>
      </c>
      <c r="S68" s="269">
        <v>1596.2</v>
      </c>
      <c r="T68" s="269">
        <v>1615.4</v>
      </c>
      <c r="U68" s="269">
        <v>1693.5</v>
      </c>
      <c r="V68" s="269">
        <v>1716.8</v>
      </c>
      <c r="W68" s="269">
        <v>665.8</v>
      </c>
      <c r="X68" s="269">
        <v>661.8</v>
      </c>
      <c r="Y68" s="269">
        <v>677.7</v>
      </c>
      <c r="Z68" s="269">
        <v>693.9</v>
      </c>
      <c r="AA68" s="269">
        <v>689.5</v>
      </c>
      <c r="AB68" s="269">
        <v>686</v>
      </c>
      <c r="AC68" s="269">
        <v>666.3</v>
      </c>
      <c r="AD68" s="269">
        <v>682.8</v>
      </c>
      <c r="AE68" s="269">
        <v>694.6</v>
      </c>
      <c r="AF68" s="269">
        <v>673.6</v>
      </c>
      <c r="AG68" s="269">
        <v>674.4</v>
      </c>
      <c r="AH68" s="269">
        <v>670.8</v>
      </c>
      <c r="AI68" s="269">
        <v>658</v>
      </c>
      <c r="AJ68" s="269">
        <v>656.9</v>
      </c>
      <c r="AK68" s="269">
        <v>644.1</v>
      </c>
      <c r="AL68" s="269">
        <v>645.9</v>
      </c>
      <c r="AM68" s="269">
        <v>638.29999999999995</v>
      </c>
      <c r="AN68" s="269">
        <v>637.5</v>
      </c>
      <c r="AO68" s="269">
        <v>628.70000000000005</v>
      </c>
      <c r="AP68" s="269">
        <v>598.9</v>
      </c>
      <c r="AQ68" s="269">
        <v>609.79999999999995</v>
      </c>
      <c r="AR68" s="269">
        <v>595.6</v>
      </c>
      <c r="AS68" s="269">
        <v>580.5</v>
      </c>
      <c r="AT68" s="269">
        <v>571.4</v>
      </c>
      <c r="AU68" s="269">
        <v>556.79999999999995</v>
      </c>
      <c r="AV68" s="269">
        <v>561.6</v>
      </c>
      <c r="AW68" s="269">
        <v>591.20000000000005</v>
      </c>
      <c r="AX68" s="269">
        <v>608.1</v>
      </c>
      <c r="AY68" s="269">
        <v>617.20000000000005</v>
      </c>
      <c r="AZ68" s="269">
        <v>600.9</v>
      </c>
      <c r="BA68" s="269">
        <v>615.9</v>
      </c>
      <c r="BB68" s="269">
        <v>626.20000000000005</v>
      </c>
      <c r="BC68" s="269">
        <v>607.29999999999995</v>
      </c>
      <c r="BD68" s="269">
        <v>619.9</v>
      </c>
      <c r="BE68" s="269">
        <v>624.6</v>
      </c>
      <c r="BF68" s="269">
        <v>616</v>
      </c>
      <c r="BG68" s="269">
        <v>600.6</v>
      </c>
      <c r="BH68" s="269">
        <v>601</v>
      </c>
      <c r="BI68" s="269">
        <v>618.70000000000005</v>
      </c>
      <c r="BJ68" s="269">
        <v>627.5</v>
      </c>
      <c r="BK68" s="269">
        <v>614.70000000000005</v>
      </c>
      <c r="BL68" s="269">
        <v>614</v>
      </c>
      <c r="BM68" s="269">
        <v>613.5</v>
      </c>
      <c r="BN68" s="269">
        <v>606.1</v>
      </c>
      <c r="BO68" s="269">
        <v>616.70000000000005</v>
      </c>
      <c r="BP68" s="269">
        <v>608.9</v>
      </c>
      <c r="BQ68" s="269">
        <v>615.20000000000005</v>
      </c>
      <c r="BR68" s="269">
        <v>627.9</v>
      </c>
      <c r="BS68" s="269">
        <v>632.70000000000005</v>
      </c>
      <c r="BT68" s="269">
        <v>618.5</v>
      </c>
      <c r="BU68" s="269">
        <v>601.20000000000005</v>
      </c>
      <c r="BV68" s="269">
        <v>588.4</v>
      </c>
      <c r="BW68" s="269">
        <v>589.20000000000005</v>
      </c>
      <c r="BX68" s="269">
        <v>589.79999999999995</v>
      </c>
      <c r="BY68" s="269">
        <v>614.70000000000005</v>
      </c>
      <c r="BZ68" s="269">
        <v>643.79999999999995</v>
      </c>
      <c r="CA68" s="269">
        <v>645.1</v>
      </c>
      <c r="CB68" s="269">
        <v>669.8</v>
      </c>
      <c r="CC68" s="269">
        <v>648.70000000000005</v>
      </c>
      <c r="CD68" s="269">
        <v>664.2</v>
      </c>
      <c r="CE68" s="269">
        <v>666.7</v>
      </c>
      <c r="CF68" s="269">
        <v>655.7</v>
      </c>
      <c r="CG68" s="269">
        <v>659.4</v>
      </c>
      <c r="CH68" s="269">
        <v>667.5</v>
      </c>
      <c r="CI68" s="269">
        <v>673.6</v>
      </c>
      <c r="CJ68" s="269">
        <v>671.8</v>
      </c>
      <c r="CK68" s="326"/>
    </row>
    <row r="69" spans="1:89" x14ac:dyDescent="0.3">
      <c r="A69" s="38"/>
      <c r="B69" s="44"/>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324"/>
    </row>
    <row r="70" spans="1:89" x14ac:dyDescent="0.3">
      <c r="A70" s="38"/>
      <c r="B70" s="44" t="s">
        <v>25</v>
      </c>
      <c r="C70" s="40">
        <f>+C71+C74</f>
        <v>256.7</v>
      </c>
      <c r="D70" s="40">
        <f t="shared" ref="D70:H70" si="149">+D71+D74</f>
        <v>251</v>
      </c>
      <c r="E70" s="40">
        <f t="shared" si="149"/>
        <v>252.2</v>
      </c>
      <c r="F70" s="40">
        <f t="shared" si="149"/>
        <v>250.79999999999998</v>
      </c>
      <c r="G70" s="40">
        <f t="shared" si="149"/>
        <v>258.10000000000002</v>
      </c>
      <c r="H70" s="40">
        <f t="shared" si="149"/>
        <v>258.89999999999998</v>
      </c>
      <c r="I70" s="40">
        <f t="shared" ref="I70:K70" si="150">+I71+I74</f>
        <v>256.8</v>
      </c>
      <c r="J70" s="40">
        <f t="shared" si="150"/>
        <v>262.89999999999998</v>
      </c>
      <c r="K70" s="40">
        <f t="shared" si="150"/>
        <v>258.60000000000002</v>
      </c>
      <c r="L70" s="40">
        <v>258.7</v>
      </c>
      <c r="M70" s="40">
        <v>255.2</v>
      </c>
      <c r="N70" s="40">
        <v>257.3</v>
      </c>
      <c r="O70" s="40">
        <f t="shared" ref="O70" si="151">+O71+O74</f>
        <v>257.8</v>
      </c>
      <c r="P70" s="40">
        <f t="shared" ref="P70:U70" si="152">+P71+P74</f>
        <v>258.60000000000002</v>
      </c>
      <c r="Q70" s="40">
        <f t="shared" si="152"/>
        <v>259.8</v>
      </c>
      <c r="R70" s="40">
        <f t="shared" si="152"/>
        <v>260.79999999999995</v>
      </c>
      <c r="S70" s="40">
        <f t="shared" si="152"/>
        <v>259.3</v>
      </c>
      <c r="T70" s="40">
        <f t="shared" si="152"/>
        <v>258.89999999999998</v>
      </c>
      <c r="U70" s="40">
        <f t="shared" si="152"/>
        <v>264</v>
      </c>
      <c r="V70" s="40">
        <f t="shared" ref="V70:Z70" si="153">+V71+V74</f>
        <v>263.89999999999998</v>
      </c>
      <c r="W70" s="40">
        <f t="shared" si="153"/>
        <v>265</v>
      </c>
      <c r="X70" s="40">
        <f t="shared" si="153"/>
        <v>267.10000000000002</v>
      </c>
      <c r="Y70" s="40">
        <f t="shared" si="153"/>
        <v>268</v>
      </c>
      <c r="Z70" s="40">
        <f t="shared" si="153"/>
        <v>270.7</v>
      </c>
      <c r="AA70" s="40">
        <f t="shared" ref="AA70:AT70" si="154">+AA71+AA74</f>
        <v>267</v>
      </c>
      <c r="AB70" s="40">
        <f t="shared" si="154"/>
        <v>262.2</v>
      </c>
      <c r="AC70" s="40">
        <f t="shared" si="154"/>
        <v>252.39999999999998</v>
      </c>
      <c r="AD70" s="40">
        <f t="shared" si="154"/>
        <v>255.70000000000002</v>
      </c>
      <c r="AE70" s="40">
        <f t="shared" si="154"/>
        <v>255.10000000000002</v>
      </c>
      <c r="AF70" s="40">
        <f t="shared" si="154"/>
        <v>251.5</v>
      </c>
      <c r="AG70" s="40">
        <f t="shared" si="154"/>
        <v>254.8</v>
      </c>
      <c r="AH70" s="40">
        <f t="shared" si="154"/>
        <v>254</v>
      </c>
      <c r="AI70" s="40">
        <f t="shared" si="154"/>
        <v>251.2</v>
      </c>
      <c r="AJ70" s="40">
        <f t="shared" si="154"/>
        <v>245.10000000000002</v>
      </c>
      <c r="AK70" s="40">
        <f t="shared" si="154"/>
        <v>246.89999999999998</v>
      </c>
      <c r="AL70" s="40">
        <f t="shared" si="154"/>
        <v>242.8</v>
      </c>
      <c r="AM70" s="40">
        <f t="shared" si="154"/>
        <v>242.8</v>
      </c>
      <c r="AN70" s="40">
        <f t="shared" si="154"/>
        <v>243</v>
      </c>
      <c r="AO70" s="40">
        <f t="shared" si="154"/>
        <v>229.60000000000002</v>
      </c>
      <c r="AP70" s="40">
        <f t="shared" si="154"/>
        <v>215.3</v>
      </c>
      <c r="AQ70" s="40">
        <f t="shared" si="154"/>
        <v>217.2</v>
      </c>
      <c r="AR70" s="40">
        <f t="shared" si="154"/>
        <v>205.8</v>
      </c>
      <c r="AS70" s="40">
        <f t="shared" si="154"/>
        <v>209.8</v>
      </c>
      <c r="AT70" s="40">
        <f t="shared" si="154"/>
        <v>201</v>
      </c>
      <c r="AU70" s="40">
        <f t="shared" ref="AU70" si="155">+AU71+AU74</f>
        <v>193</v>
      </c>
      <c r="AV70" s="40">
        <f t="shared" ref="AV70:BA70" si="156">+AV71+AV74</f>
        <v>187.89999999999998</v>
      </c>
      <c r="AW70" s="40">
        <f t="shared" si="156"/>
        <v>202.5</v>
      </c>
      <c r="AX70" s="40">
        <f t="shared" si="156"/>
        <v>213.1</v>
      </c>
      <c r="AY70" s="40">
        <f t="shared" si="156"/>
        <v>214.79999999999998</v>
      </c>
      <c r="AZ70" s="40">
        <f t="shared" si="156"/>
        <v>205.29999999999998</v>
      </c>
      <c r="BA70" s="40">
        <f t="shared" si="156"/>
        <v>210.3</v>
      </c>
      <c r="BB70" s="40">
        <f t="shared" ref="BB70:BI70" si="157">+BB71+BB74</f>
        <v>205.1</v>
      </c>
      <c r="BC70" s="40">
        <f t="shared" si="157"/>
        <v>200.5</v>
      </c>
      <c r="BD70" s="40">
        <f t="shared" si="157"/>
        <v>193.6</v>
      </c>
      <c r="BE70" s="40">
        <f t="shared" si="157"/>
        <v>196.3</v>
      </c>
      <c r="BF70" s="40">
        <f t="shared" si="157"/>
        <v>192</v>
      </c>
      <c r="BG70" s="40">
        <f t="shared" si="157"/>
        <v>187.1</v>
      </c>
      <c r="BH70" s="40">
        <f t="shared" si="157"/>
        <v>184.3</v>
      </c>
      <c r="BI70" s="40">
        <f t="shared" si="157"/>
        <v>188.60000000000002</v>
      </c>
      <c r="BJ70" s="40">
        <f t="shared" ref="BJ70:BO70" si="158">+BJ71+BJ74</f>
        <v>198.3</v>
      </c>
      <c r="BK70" s="40">
        <f t="shared" si="158"/>
        <v>190.3</v>
      </c>
      <c r="BL70" s="40">
        <f t="shared" si="158"/>
        <v>186.3</v>
      </c>
      <c r="BM70" s="40">
        <f t="shared" si="158"/>
        <v>184.6</v>
      </c>
      <c r="BN70" s="40">
        <f t="shared" si="158"/>
        <v>177.10000000000002</v>
      </c>
      <c r="BO70" s="40">
        <f t="shared" si="158"/>
        <v>177.7</v>
      </c>
      <c r="BP70" s="40">
        <f t="shared" ref="BP70:CJ70" si="159">+BP71+BP74</f>
        <v>170.7</v>
      </c>
      <c r="BQ70" s="40">
        <f t="shared" ref="BQ70:CI70" si="160">+BQ71+BQ74</f>
        <v>183</v>
      </c>
      <c r="BR70" s="40">
        <f t="shared" si="160"/>
        <v>187.9</v>
      </c>
      <c r="BS70" s="40">
        <f t="shared" si="160"/>
        <v>191</v>
      </c>
      <c r="BT70" s="40">
        <f t="shared" si="160"/>
        <v>180.6</v>
      </c>
      <c r="BU70" s="40">
        <f t="shared" si="160"/>
        <v>183.3</v>
      </c>
      <c r="BV70" s="40">
        <f t="shared" si="160"/>
        <v>171.5</v>
      </c>
      <c r="BW70" s="40">
        <f t="shared" si="160"/>
        <v>173.8</v>
      </c>
      <c r="BX70" s="40">
        <f t="shared" si="160"/>
        <v>179.10000000000002</v>
      </c>
      <c r="BY70" s="40">
        <f t="shared" si="160"/>
        <v>179.8</v>
      </c>
      <c r="BZ70" s="40">
        <f t="shared" si="160"/>
        <v>188.60000000000002</v>
      </c>
      <c r="CA70" s="40">
        <f t="shared" si="160"/>
        <v>187.4</v>
      </c>
      <c r="CB70" s="40">
        <f t="shared" si="160"/>
        <v>183.8</v>
      </c>
      <c r="CC70" s="40">
        <f t="shared" si="160"/>
        <v>175.60000000000002</v>
      </c>
      <c r="CD70" s="40">
        <f t="shared" si="160"/>
        <v>180.1</v>
      </c>
      <c r="CE70" s="40">
        <f t="shared" si="160"/>
        <v>179.1</v>
      </c>
      <c r="CF70" s="40">
        <f t="shared" si="160"/>
        <v>171.9</v>
      </c>
      <c r="CG70" s="40">
        <f t="shared" si="160"/>
        <v>169.6</v>
      </c>
      <c r="CH70" s="40">
        <f t="shared" si="160"/>
        <v>166</v>
      </c>
      <c r="CI70" s="40">
        <f t="shared" si="160"/>
        <v>167.8</v>
      </c>
      <c r="CJ70" s="40">
        <f t="shared" si="159"/>
        <v>166.6</v>
      </c>
      <c r="CK70" s="324">
        <f>+CJ70/$CJ$10</f>
        <v>3.5286540048846222E-4</v>
      </c>
    </row>
    <row r="71" spans="1:89" x14ac:dyDescent="0.3">
      <c r="A71" s="38"/>
      <c r="B71" s="46" t="s">
        <v>26</v>
      </c>
      <c r="C71" s="267">
        <f>+SUM(C72:C73)</f>
        <v>90.3</v>
      </c>
      <c r="D71" s="267">
        <f t="shared" ref="D71:H71" si="161">+SUM(D72:D73)</f>
        <v>88.3</v>
      </c>
      <c r="E71" s="267">
        <f t="shared" si="161"/>
        <v>88.7</v>
      </c>
      <c r="F71" s="267">
        <f t="shared" si="161"/>
        <v>88.1</v>
      </c>
      <c r="G71" s="267">
        <f t="shared" si="161"/>
        <v>90.7</v>
      </c>
      <c r="H71" s="267">
        <f t="shared" si="161"/>
        <v>91</v>
      </c>
      <c r="I71" s="267">
        <f t="shared" ref="I71:K71" si="162">+SUM(I72:I73)</f>
        <v>90.3</v>
      </c>
      <c r="J71" s="267">
        <f t="shared" si="162"/>
        <v>92.5</v>
      </c>
      <c r="K71" s="267">
        <f t="shared" si="162"/>
        <v>90.9</v>
      </c>
      <c r="L71" s="267">
        <v>91</v>
      </c>
      <c r="M71" s="267">
        <v>89.7</v>
      </c>
      <c r="N71" s="267">
        <v>90.5</v>
      </c>
      <c r="O71" s="267">
        <f t="shared" ref="O71" si="163">+SUM(O72:O73)</f>
        <v>90.6</v>
      </c>
      <c r="P71" s="267">
        <f t="shared" ref="P71:U71" si="164">+SUM(P72:P73)</f>
        <v>90.9</v>
      </c>
      <c r="Q71" s="267">
        <f t="shared" si="164"/>
        <v>91.3</v>
      </c>
      <c r="R71" s="267">
        <f t="shared" si="164"/>
        <v>91.699999999999989</v>
      </c>
      <c r="S71" s="267">
        <f t="shared" si="164"/>
        <v>91.2</v>
      </c>
      <c r="T71" s="267">
        <f t="shared" si="164"/>
        <v>91</v>
      </c>
      <c r="U71" s="267">
        <f t="shared" si="164"/>
        <v>92.8</v>
      </c>
      <c r="V71" s="267">
        <f t="shared" ref="V71:Z71" si="165">+SUM(V72:V73)</f>
        <v>92.8</v>
      </c>
      <c r="W71" s="267">
        <f t="shared" si="165"/>
        <v>93.199999999999989</v>
      </c>
      <c r="X71" s="267">
        <f t="shared" si="165"/>
        <v>93.9</v>
      </c>
      <c r="Y71" s="267">
        <f t="shared" si="165"/>
        <v>94.2</v>
      </c>
      <c r="Z71" s="267">
        <f t="shared" si="165"/>
        <v>95.2</v>
      </c>
      <c r="AA71" s="267">
        <f t="shared" ref="AA71:AD71" si="166">+SUM(AA72:AA73)</f>
        <v>93.9</v>
      </c>
      <c r="AB71" s="267">
        <f t="shared" si="166"/>
        <v>92.2</v>
      </c>
      <c r="AC71" s="267">
        <f t="shared" si="166"/>
        <v>88.7</v>
      </c>
      <c r="AD71" s="267">
        <f t="shared" si="166"/>
        <v>89.9</v>
      </c>
      <c r="AE71" s="267">
        <f t="shared" ref="AE71:AJ71" si="167">+AE72+AE73</f>
        <v>89.7</v>
      </c>
      <c r="AF71" s="267">
        <f t="shared" si="167"/>
        <v>88.4</v>
      </c>
      <c r="AG71" s="267">
        <f t="shared" si="167"/>
        <v>89.6</v>
      </c>
      <c r="AH71" s="267">
        <f t="shared" si="167"/>
        <v>89.3</v>
      </c>
      <c r="AI71" s="267">
        <f t="shared" si="167"/>
        <v>88.3</v>
      </c>
      <c r="AJ71" s="267">
        <f t="shared" si="167"/>
        <v>86.2</v>
      </c>
      <c r="AK71" s="267">
        <f t="shared" ref="AK71:AT71" si="168">+AK72+AK73</f>
        <v>86.8</v>
      </c>
      <c r="AL71" s="267">
        <f t="shared" si="168"/>
        <v>85.4</v>
      </c>
      <c r="AM71" s="267">
        <f t="shared" si="168"/>
        <v>85.4</v>
      </c>
      <c r="AN71" s="267">
        <f t="shared" si="168"/>
        <v>85.5</v>
      </c>
      <c r="AO71" s="267">
        <f t="shared" si="168"/>
        <v>80.7</v>
      </c>
      <c r="AP71" s="267">
        <f t="shared" si="168"/>
        <v>75.7</v>
      </c>
      <c r="AQ71" s="267">
        <f t="shared" si="168"/>
        <v>76.400000000000006</v>
      </c>
      <c r="AR71" s="267">
        <f t="shared" si="168"/>
        <v>72.3</v>
      </c>
      <c r="AS71" s="267">
        <f t="shared" si="168"/>
        <v>73.8</v>
      </c>
      <c r="AT71" s="267">
        <f t="shared" si="168"/>
        <v>70.699999999999989</v>
      </c>
      <c r="AU71" s="267">
        <f t="shared" ref="AU71" si="169">+AU72+AU73</f>
        <v>67.8</v>
      </c>
      <c r="AV71" s="267">
        <f t="shared" ref="AV71:BA71" si="170">+AV72+AV73</f>
        <v>66.099999999999994</v>
      </c>
      <c r="AW71" s="267">
        <f t="shared" si="170"/>
        <v>71.2</v>
      </c>
      <c r="AX71" s="267">
        <f t="shared" si="170"/>
        <v>74.900000000000006</v>
      </c>
      <c r="AY71" s="267">
        <f t="shared" si="170"/>
        <v>75.5</v>
      </c>
      <c r="AZ71" s="267">
        <f t="shared" si="170"/>
        <v>72.199999999999989</v>
      </c>
      <c r="BA71" s="267">
        <f t="shared" si="170"/>
        <v>73.900000000000006</v>
      </c>
      <c r="BB71" s="267">
        <f t="shared" ref="BB71:BI71" si="171">+BB72+BB73</f>
        <v>72.099999999999994</v>
      </c>
      <c r="BC71" s="267">
        <f t="shared" si="171"/>
        <v>70.5</v>
      </c>
      <c r="BD71" s="267">
        <f t="shared" si="171"/>
        <v>68.099999999999994</v>
      </c>
      <c r="BE71" s="267">
        <f t="shared" si="171"/>
        <v>69</v>
      </c>
      <c r="BF71" s="267">
        <f t="shared" si="171"/>
        <v>67.5</v>
      </c>
      <c r="BG71" s="267">
        <f t="shared" si="171"/>
        <v>65.8</v>
      </c>
      <c r="BH71" s="267">
        <f t="shared" si="171"/>
        <v>64.800000000000011</v>
      </c>
      <c r="BI71" s="267">
        <f t="shared" si="171"/>
        <v>66.300000000000011</v>
      </c>
      <c r="BJ71" s="267">
        <f t="shared" ref="BJ71:BO71" si="172">+BJ72+BJ73</f>
        <v>69.7</v>
      </c>
      <c r="BK71" s="267">
        <f t="shared" si="172"/>
        <v>66.900000000000006</v>
      </c>
      <c r="BL71" s="267">
        <f t="shared" si="172"/>
        <v>65.5</v>
      </c>
      <c r="BM71" s="267">
        <f t="shared" si="172"/>
        <v>64.900000000000006</v>
      </c>
      <c r="BN71" s="267">
        <f t="shared" si="172"/>
        <v>62.3</v>
      </c>
      <c r="BO71" s="267">
        <f t="shared" si="172"/>
        <v>62.5</v>
      </c>
      <c r="BP71" s="267">
        <f t="shared" ref="BP71:CJ71" si="173">+BP72+BP73</f>
        <v>58</v>
      </c>
      <c r="BQ71" s="267">
        <f t="shared" ref="BQ71:CI71" si="174">+BQ72+BQ73</f>
        <v>62.2</v>
      </c>
      <c r="BR71" s="267">
        <f t="shared" si="174"/>
        <v>63.900000000000006</v>
      </c>
      <c r="BS71" s="267">
        <f t="shared" si="174"/>
        <v>64.900000000000006</v>
      </c>
      <c r="BT71" s="267">
        <f t="shared" si="174"/>
        <v>61.4</v>
      </c>
      <c r="BU71" s="267">
        <f t="shared" si="174"/>
        <v>62.3</v>
      </c>
      <c r="BV71" s="267">
        <f t="shared" si="174"/>
        <v>56.199999999999996</v>
      </c>
      <c r="BW71" s="267">
        <f t="shared" si="174"/>
        <v>57</v>
      </c>
      <c r="BX71" s="267">
        <f t="shared" si="174"/>
        <v>58.7</v>
      </c>
      <c r="BY71" s="267">
        <f t="shared" si="174"/>
        <v>59</v>
      </c>
      <c r="BZ71" s="267">
        <f t="shared" si="174"/>
        <v>61.900000000000006</v>
      </c>
      <c r="CA71" s="267">
        <f t="shared" si="174"/>
        <v>61.5</v>
      </c>
      <c r="CB71" s="267">
        <f t="shared" si="174"/>
        <v>58</v>
      </c>
      <c r="CC71" s="267">
        <f t="shared" si="174"/>
        <v>55.400000000000006</v>
      </c>
      <c r="CD71" s="267">
        <f t="shared" si="174"/>
        <v>56.800000000000004</v>
      </c>
      <c r="CE71" s="267">
        <f t="shared" si="174"/>
        <v>56.5</v>
      </c>
      <c r="CF71" s="267">
        <f t="shared" si="174"/>
        <v>54.2</v>
      </c>
      <c r="CG71" s="267">
        <f t="shared" si="174"/>
        <v>53.5</v>
      </c>
      <c r="CH71" s="267">
        <f t="shared" si="174"/>
        <v>50.2</v>
      </c>
      <c r="CI71" s="267">
        <f t="shared" si="174"/>
        <v>50.7</v>
      </c>
      <c r="CJ71" s="267">
        <f t="shared" si="173"/>
        <v>50.4</v>
      </c>
      <c r="CK71" s="325"/>
    </row>
    <row r="72" spans="1:89" x14ac:dyDescent="0.3">
      <c r="A72" s="38"/>
      <c r="B72" s="47" t="s">
        <v>13</v>
      </c>
      <c r="C72" s="269">
        <v>62.3</v>
      </c>
      <c r="D72" s="269">
        <v>60.9</v>
      </c>
      <c r="E72" s="269">
        <v>61.2</v>
      </c>
      <c r="F72" s="269">
        <v>60.8</v>
      </c>
      <c r="G72" s="269">
        <v>62.6</v>
      </c>
      <c r="H72" s="269">
        <v>62.8</v>
      </c>
      <c r="I72" s="269">
        <v>62.3</v>
      </c>
      <c r="J72" s="269">
        <v>63.8</v>
      </c>
      <c r="K72" s="269">
        <v>62.7</v>
      </c>
      <c r="L72" s="269">
        <v>62.8</v>
      </c>
      <c r="M72" s="269">
        <v>61.9</v>
      </c>
      <c r="N72" s="269">
        <v>62.4</v>
      </c>
      <c r="O72" s="269">
        <v>62.5</v>
      </c>
      <c r="P72" s="269">
        <v>62.7</v>
      </c>
      <c r="Q72" s="269">
        <v>63</v>
      </c>
      <c r="R72" s="269">
        <v>63.3</v>
      </c>
      <c r="S72" s="269">
        <v>62.9</v>
      </c>
      <c r="T72" s="269">
        <v>62.8</v>
      </c>
      <c r="U72" s="269">
        <v>64</v>
      </c>
      <c r="V72" s="269">
        <v>64</v>
      </c>
      <c r="W72" s="269">
        <v>64.3</v>
      </c>
      <c r="X72" s="269">
        <v>64.8</v>
      </c>
      <c r="Y72" s="269">
        <v>65</v>
      </c>
      <c r="Z72" s="269">
        <v>65.7</v>
      </c>
      <c r="AA72" s="269">
        <v>64.8</v>
      </c>
      <c r="AB72" s="269">
        <v>63.6</v>
      </c>
      <c r="AC72" s="269">
        <v>61.2</v>
      </c>
      <c r="AD72" s="269">
        <v>62</v>
      </c>
      <c r="AE72" s="269">
        <v>61.9</v>
      </c>
      <c r="AF72" s="269">
        <v>61</v>
      </c>
      <c r="AG72" s="269">
        <v>61.8</v>
      </c>
      <c r="AH72" s="269">
        <v>61.6</v>
      </c>
      <c r="AI72" s="269">
        <v>60.9</v>
      </c>
      <c r="AJ72" s="269">
        <v>59.5</v>
      </c>
      <c r="AK72" s="269">
        <v>59.9</v>
      </c>
      <c r="AL72" s="269">
        <v>58.9</v>
      </c>
      <c r="AM72" s="269">
        <v>58.9</v>
      </c>
      <c r="AN72" s="269">
        <v>59</v>
      </c>
      <c r="AO72" s="269">
        <v>55.7</v>
      </c>
      <c r="AP72" s="269">
        <v>52.2</v>
      </c>
      <c r="AQ72" s="269">
        <v>52.7</v>
      </c>
      <c r="AR72" s="269">
        <v>49.9</v>
      </c>
      <c r="AS72" s="269">
        <v>50.9</v>
      </c>
      <c r="AT72" s="269">
        <v>48.8</v>
      </c>
      <c r="AU72" s="269">
        <v>46.8</v>
      </c>
      <c r="AV72" s="269">
        <v>45.6</v>
      </c>
      <c r="AW72" s="269">
        <v>49.1</v>
      </c>
      <c r="AX72" s="269">
        <v>51.7</v>
      </c>
      <c r="AY72" s="269">
        <v>52.1</v>
      </c>
      <c r="AZ72" s="269">
        <v>49.8</v>
      </c>
      <c r="BA72" s="269">
        <v>51</v>
      </c>
      <c r="BB72" s="269">
        <v>49.7</v>
      </c>
      <c r="BC72" s="269">
        <v>48.6</v>
      </c>
      <c r="BD72" s="269">
        <v>47</v>
      </c>
      <c r="BE72" s="269">
        <v>47.6</v>
      </c>
      <c r="BF72" s="269">
        <v>46.6</v>
      </c>
      <c r="BG72" s="269">
        <v>45.4</v>
      </c>
      <c r="BH72" s="269">
        <v>44.7</v>
      </c>
      <c r="BI72" s="269">
        <v>45.7</v>
      </c>
      <c r="BJ72" s="269">
        <v>48.1</v>
      </c>
      <c r="BK72" s="269">
        <v>46.2</v>
      </c>
      <c r="BL72" s="269">
        <v>45.2</v>
      </c>
      <c r="BM72" s="269">
        <v>44.8</v>
      </c>
      <c r="BN72" s="269">
        <v>43</v>
      </c>
      <c r="BO72" s="269">
        <v>43.1</v>
      </c>
      <c r="BP72" s="269">
        <v>40</v>
      </c>
      <c r="BQ72" s="269">
        <v>42.9</v>
      </c>
      <c r="BR72" s="269">
        <v>44.1</v>
      </c>
      <c r="BS72" s="269">
        <v>44.8</v>
      </c>
      <c r="BT72" s="269">
        <v>42.4</v>
      </c>
      <c r="BU72" s="269">
        <v>43</v>
      </c>
      <c r="BV72" s="269">
        <v>38.799999999999997</v>
      </c>
      <c r="BW72" s="269">
        <v>39.299999999999997</v>
      </c>
      <c r="BX72" s="269">
        <v>40.5</v>
      </c>
      <c r="BY72" s="269">
        <v>40.700000000000003</v>
      </c>
      <c r="BZ72" s="269">
        <v>42.7</v>
      </c>
      <c r="CA72" s="269">
        <v>42.4</v>
      </c>
      <c r="CB72" s="269">
        <v>40</v>
      </c>
      <c r="CC72" s="269">
        <v>38.200000000000003</v>
      </c>
      <c r="CD72" s="269">
        <v>39.200000000000003</v>
      </c>
      <c r="CE72" s="269">
        <v>39</v>
      </c>
      <c r="CF72" s="269">
        <v>37.4</v>
      </c>
      <c r="CG72" s="269">
        <v>36.9</v>
      </c>
      <c r="CH72" s="269">
        <v>34.6</v>
      </c>
      <c r="CI72" s="269">
        <v>35</v>
      </c>
      <c r="CJ72" s="269">
        <v>34.799999999999997</v>
      </c>
      <c r="CK72" s="326"/>
    </row>
    <row r="73" spans="1:89" x14ac:dyDescent="0.3">
      <c r="A73" s="38"/>
      <c r="B73" s="47" t="s">
        <v>14</v>
      </c>
      <c r="C73" s="269">
        <v>28</v>
      </c>
      <c r="D73" s="269">
        <v>27.4</v>
      </c>
      <c r="E73" s="269">
        <v>27.5</v>
      </c>
      <c r="F73" s="269">
        <v>27.3</v>
      </c>
      <c r="G73" s="269">
        <v>28.1</v>
      </c>
      <c r="H73" s="269">
        <v>28.2</v>
      </c>
      <c r="I73" s="269">
        <v>28</v>
      </c>
      <c r="J73" s="269">
        <v>28.7</v>
      </c>
      <c r="K73" s="269">
        <v>28.2</v>
      </c>
      <c r="L73" s="269">
        <v>28.2</v>
      </c>
      <c r="M73" s="269">
        <v>27.8</v>
      </c>
      <c r="N73" s="269">
        <v>28</v>
      </c>
      <c r="O73" s="269">
        <v>28.1</v>
      </c>
      <c r="P73" s="269">
        <v>28.2</v>
      </c>
      <c r="Q73" s="269">
        <v>28.3</v>
      </c>
      <c r="R73" s="269">
        <v>28.4</v>
      </c>
      <c r="S73" s="269">
        <v>28.3</v>
      </c>
      <c r="T73" s="269">
        <v>28.2</v>
      </c>
      <c r="U73" s="269">
        <v>28.8</v>
      </c>
      <c r="V73" s="269">
        <v>28.8</v>
      </c>
      <c r="W73" s="269">
        <v>28.9</v>
      </c>
      <c r="X73" s="269">
        <v>29.1</v>
      </c>
      <c r="Y73" s="269">
        <v>29.2</v>
      </c>
      <c r="Z73" s="269">
        <v>29.5</v>
      </c>
      <c r="AA73" s="269">
        <v>29.1</v>
      </c>
      <c r="AB73" s="269">
        <v>28.6</v>
      </c>
      <c r="AC73" s="269">
        <v>27.5</v>
      </c>
      <c r="AD73" s="269">
        <v>27.9</v>
      </c>
      <c r="AE73" s="269">
        <v>27.8</v>
      </c>
      <c r="AF73" s="269">
        <v>27.4</v>
      </c>
      <c r="AG73" s="269">
        <v>27.8</v>
      </c>
      <c r="AH73" s="269">
        <v>27.7</v>
      </c>
      <c r="AI73" s="269">
        <v>27.4</v>
      </c>
      <c r="AJ73" s="269">
        <v>26.7</v>
      </c>
      <c r="AK73" s="269">
        <v>26.9</v>
      </c>
      <c r="AL73" s="269">
        <v>26.5</v>
      </c>
      <c r="AM73" s="269">
        <v>26.5</v>
      </c>
      <c r="AN73" s="269">
        <v>26.5</v>
      </c>
      <c r="AO73" s="269">
        <v>25</v>
      </c>
      <c r="AP73" s="269">
        <v>23.5</v>
      </c>
      <c r="AQ73" s="269">
        <v>23.7</v>
      </c>
      <c r="AR73" s="269">
        <v>22.4</v>
      </c>
      <c r="AS73" s="269">
        <v>22.9</v>
      </c>
      <c r="AT73" s="269">
        <v>21.9</v>
      </c>
      <c r="AU73" s="269">
        <v>21</v>
      </c>
      <c r="AV73" s="269">
        <v>20.5</v>
      </c>
      <c r="AW73" s="269">
        <v>22.1</v>
      </c>
      <c r="AX73" s="269">
        <v>23.2</v>
      </c>
      <c r="AY73" s="269">
        <v>23.4</v>
      </c>
      <c r="AZ73" s="269">
        <v>22.4</v>
      </c>
      <c r="BA73" s="269">
        <v>22.9</v>
      </c>
      <c r="BB73" s="269">
        <v>22.4</v>
      </c>
      <c r="BC73" s="269">
        <v>21.9</v>
      </c>
      <c r="BD73" s="269">
        <v>21.1</v>
      </c>
      <c r="BE73" s="269">
        <v>21.4</v>
      </c>
      <c r="BF73" s="269">
        <v>20.9</v>
      </c>
      <c r="BG73" s="269">
        <v>20.399999999999999</v>
      </c>
      <c r="BH73" s="269">
        <v>20.100000000000001</v>
      </c>
      <c r="BI73" s="269">
        <v>20.6</v>
      </c>
      <c r="BJ73" s="269">
        <v>21.6</v>
      </c>
      <c r="BK73" s="269">
        <v>20.7</v>
      </c>
      <c r="BL73" s="269">
        <v>20.3</v>
      </c>
      <c r="BM73" s="269">
        <v>20.100000000000001</v>
      </c>
      <c r="BN73" s="269">
        <v>19.3</v>
      </c>
      <c r="BO73" s="269">
        <v>19.399999999999999</v>
      </c>
      <c r="BP73" s="269">
        <v>18</v>
      </c>
      <c r="BQ73" s="269">
        <v>19.3</v>
      </c>
      <c r="BR73" s="269">
        <v>19.8</v>
      </c>
      <c r="BS73" s="269">
        <v>20.100000000000001</v>
      </c>
      <c r="BT73" s="269">
        <v>19</v>
      </c>
      <c r="BU73" s="269">
        <v>19.3</v>
      </c>
      <c r="BV73" s="269">
        <v>17.399999999999999</v>
      </c>
      <c r="BW73" s="269">
        <v>17.7</v>
      </c>
      <c r="BX73" s="269">
        <v>18.2</v>
      </c>
      <c r="BY73" s="269">
        <v>18.3</v>
      </c>
      <c r="BZ73" s="269">
        <v>19.2</v>
      </c>
      <c r="CA73" s="269">
        <v>19.100000000000001</v>
      </c>
      <c r="CB73" s="269">
        <v>18</v>
      </c>
      <c r="CC73" s="269">
        <v>17.2</v>
      </c>
      <c r="CD73" s="269">
        <v>17.600000000000001</v>
      </c>
      <c r="CE73" s="269">
        <v>17.5</v>
      </c>
      <c r="CF73" s="269">
        <v>16.8</v>
      </c>
      <c r="CG73" s="269">
        <v>16.600000000000001</v>
      </c>
      <c r="CH73" s="269">
        <v>15.6</v>
      </c>
      <c r="CI73" s="269">
        <v>15.7</v>
      </c>
      <c r="CJ73" s="269">
        <v>15.6</v>
      </c>
      <c r="CK73" s="326"/>
    </row>
    <row r="74" spans="1:89" x14ac:dyDescent="0.3">
      <c r="A74" s="38"/>
      <c r="B74" s="48" t="s">
        <v>27</v>
      </c>
      <c r="C74" s="267">
        <f>+SUM(C75:C76)</f>
        <v>166.4</v>
      </c>
      <c r="D74" s="267">
        <f t="shared" ref="D74:H74" si="175">+SUM(D75:D76)</f>
        <v>162.69999999999999</v>
      </c>
      <c r="E74" s="267">
        <f t="shared" si="175"/>
        <v>163.5</v>
      </c>
      <c r="F74" s="267">
        <f t="shared" si="175"/>
        <v>162.69999999999999</v>
      </c>
      <c r="G74" s="267">
        <f t="shared" si="175"/>
        <v>167.4</v>
      </c>
      <c r="H74" s="267">
        <f t="shared" si="175"/>
        <v>167.9</v>
      </c>
      <c r="I74" s="267">
        <f t="shared" ref="I74:K74" si="176">+SUM(I75:I76)</f>
        <v>166.5</v>
      </c>
      <c r="J74" s="267">
        <f t="shared" si="176"/>
        <v>170.4</v>
      </c>
      <c r="K74" s="267">
        <f t="shared" si="176"/>
        <v>167.70000000000002</v>
      </c>
      <c r="L74" s="267">
        <v>167.7</v>
      </c>
      <c r="M74" s="267">
        <v>165.5</v>
      </c>
      <c r="N74" s="267">
        <v>166.8</v>
      </c>
      <c r="O74" s="267">
        <f t="shared" ref="O74" si="177">+SUM(O75:O76)</f>
        <v>167.20000000000002</v>
      </c>
      <c r="P74" s="267">
        <f t="shared" ref="P74:U74" si="178">+SUM(P75:P76)</f>
        <v>167.70000000000002</v>
      </c>
      <c r="Q74" s="267">
        <f t="shared" si="178"/>
        <v>168.5</v>
      </c>
      <c r="R74" s="267">
        <f t="shared" si="178"/>
        <v>169.1</v>
      </c>
      <c r="S74" s="267">
        <f t="shared" si="178"/>
        <v>168.1</v>
      </c>
      <c r="T74" s="267">
        <f t="shared" si="178"/>
        <v>167.9</v>
      </c>
      <c r="U74" s="267">
        <f t="shared" si="178"/>
        <v>171.2</v>
      </c>
      <c r="V74" s="267">
        <f t="shared" ref="V74:Z74" si="179">+SUM(V75:V76)</f>
        <v>171.1</v>
      </c>
      <c r="W74" s="267">
        <f t="shared" si="179"/>
        <v>171.79999999999998</v>
      </c>
      <c r="X74" s="267">
        <f t="shared" si="179"/>
        <v>173.2</v>
      </c>
      <c r="Y74" s="267">
        <f t="shared" si="179"/>
        <v>173.79999999999998</v>
      </c>
      <c r="Z74" s="267">
        <f t="shared" si="179"/>
        <v>175.5</v>
      </c>
      <c r="AA74" s="267">
        <f t="shared" ref="AA74:AD74" si="180">+SUM(AA75:AA76)</f>
        <v>173.1</v>
      </c>
      <c r="AB74" s="267">
        <f t="shared" si="180"/>
        <v>170</v>
      </c>
      <c r="AC74" s="267">
        <f t="shared" si="180"/>
        <v>163.69999999999999</v>
      </c>
      <c r="AD74" s="267">
        <f t="shared" si="180"/>
        <v>165.8</v>
      </c>
      <c r="AE74" s="267">
        <f t="shared" ref="AE74:AJ74" si="181">+AE75+AE76</f>
        <v>165.4</v>
      </c>
      <c r="AF74" s="267">
        <f t="shared" si="181"/>
        <v>163.1</v>
      </c>
      <c r="AG74" s="267">
        <f t="shared" si="181"/>
        <v>165.20000000000002</v>
      </c>
      <c r="AH74" s="267">
        <f t="shared" si="181"/>
        <v>164.70000000000002</v>
      </c>
      <c r="AI74" s="267">
        <f t="shared" si="181"/>
        <v>162.89999999999998</v>
      </c>
      <c r="AJ74" s="267">
        <f t="shared" si="181"/>
        <v>158.9</v>
      </c>
      <c r="AK74" s="267">
        <f t="shared" ref="AK74:AT74" si="182">+AK75+AK76</f>
        <v>160.1</v>
      </c>
      <c r="AL74" s="267">
        <f t="shared" si="182"/>
        <v>157.4</v>
      </c>
      <c r="AM74" s="267">
        <f t="shared" si="182"/>
        <v>157.4</v>
      </c>
      <c r="AN74" s="267">
        <f t="shared" si="182"/>
        <v>157.5</v>
      </c>
      <c r="AO74" s="267">
        <f t="shared" si="182"/>
        <v>148.9</v>
      </c>
      <c r="AP74" s="267">
        <f t="shared" si="182"/>
        <v>139.6</v>
      </c>
      <c r="AQ74" s="267">
        <f t="shared" si="182"/>
        <v>140.79999999999998</v>
      </c>
      <c r="AR74" s="267">
        <f t="shared" si="182"/>
        <v>133.5</v>
      </c>
      <c r="AS74" s="267">
        <f t="shared" si="182"/>
        <v>136</v>
      </c>
      <c r="AT74" s="267">
        <f t="shared" si="182"/>
        <v>130.30000000000001</v>
      </c>
      <c r="AU74" s="267">
        <f t="shared" ref="AU74" si="183">+AU75+AU76</f>
        <v>125.2</v>
      </c>
      <c r="AV74" s="267">
        <f t="shared" ref="AV74:BA74" si="184">+AV75+AV76</f>
        <v>121.8</v>
      </c>
      <c r="AW74" s="267">
        <f t="shared" si="184"/>
        <v>131.29999999999998</v>
      </c>
      <c r="AX74" s="267">
        <f t="shared" si="184"/>
        <v>138.19999999999999</v>
      </c>
      <c r="AY74" s="267">
        <f t="shared" si="184"/>
        <v>139.29999999999998</v>
      </c>
      <c r="AZ74" s="267">
        <f t="shared" si="184"/>
        <v>133.1</v>
      </c>
      <c r="BA74" s="267">
        <f t="shared" si="184"/>
        <v>136.4</v>
      </c>
      <c r="BB74" s="267">
        <f t="shared" ref="BB74:BI74" si="185">+BB75+BB76</f>
        <v>133</v>
      </c>
      <c r="BC74" s="267">
        <f t="shared" si="185"/>
        <v>130</v>
      </c>
      <c r="BD74" s="267">
        <f t="shared" si="185"/>
        <v>125.5</v>
      </c>
      <c r="BE74" s="267">
        <f t="shared" si="185"/>
        <v>127.3</v>
      </c>
      <c r="BF74" s="267">
        <f t="shared" si="185"/>
        <v>124.5</v>
      </c>
      <c r="BG74" s="267">
        <f t="shared" si="185"/>
        <v>121.3</v>
      </c>
      <c r="BH74" s="267">
        <f t="shared" si="185"/>
        <v>119.5</v>
      </c>
      <c r="BI74" s="267">
        <f t="shared" si="185"/>
        <v>122.3</v>
      </c>
      <c r="BJ74" s="267">
        <f t="shared" ref="BJ74:BO74" si="186">+BJ75+BJ76</f>
        <v>128.6</v>
      </c>
      <c r="BK74" s="267">
        <f t="shared" si="186"/>
        <v>123.39999999999999</v>
      </c>
      <c r="BL74" s="267">
        <f t="shared" si="186"/>
        <v>120.8</v>
      </c>
      <c r="BM74" s="267">
        <f t="shared" si="186"/>
        <v>119.69999999999999</v>
      </c>
      <c r="BN74" s="267">
        <f t="shared" si="186"/>
        <v>114.80000000000001</v>
      </c>
      <c r="BO74" s="267">
        <f t="shared" si="186"/>
        <v>115.2</v>
      </c>
      <c r="BP74" s="267">
        <f t="shared" ref="BP74:CJ74" si="187">+BP75+BP76</f>
        <v>112.7</v>
      </c>
      <c r="BQ74" s="267">
        <f t="shared" ref="BQ74:CI74" si="188">+BQ75+BQ76</f>
        <v>120.8</v>
      </c>
      <c r="BR74" s="267">
        <f t="shared" si="188"/>
        <v>124</v>
      </c>
      <c r="BS74" s="267">
        <f t="shared" si="188"/>
        <v>126.10000000000001</v>
      </c>
      <c r="BT74" s="267">
        <f t="shared" si="188"/>
        <v>119.19999999999999</v>
      </c>
      <c r="BU74" s="267">
        <f t="shared" si="188"/>
        <v>121</v>
      </c>
      <c r="BV74" s="267">
        <f t="shared" si="188"/>
        <v>115.30000000000001</v>
      </c>
      <c r="BW74" s="267">
        <f t="shared" si="188"/>
        <v>116.8</v>
      </c>
      <c r="BX74" s="267">
        <f t="shared" si="188"/>
        <v>120.4</v>
      </c>
      <c r="BY74" s="267">
        <f t="shared" si="188"/>
        <v>120.8</v>
      </c>
      <c r="BZ74" s="267">
        <f t="shared" si="188"/>
        <v>126.7</v>
      </c>
      <c r="CA74" s="267">
        <f t="shared" si="188"/>
        <v>125.9</v>
      </c>
      <c r="CB74" s="267">
        <f t="shared" si="188"/>
        <v>125.80000000000001</v>
      </c>
      <c r="CC74" s="267">
        <f t="shared" si="188"/>
        <v>120.2</v>
      </c>
      <c r="CD74" s="267">
        <f t="shared" si="188"/>
        <v>123.3</v>
      </c>
      <c r="CE74" s="267">
        <f t="shared" si="188"/>
        <v>122.6</v>
      </c>
      <c r="CF74" s="267">
        <f t="shared" si="188"/>
        <v>117.7</v>
      </c>
      <c r="CG74" s="267">
        <f t="shared" si="188"/>
        <v>116.1</v>
      </c>
      <c r="CH74" s="267">
        <f t="shared" si="188"/>
        <v>115.8</v>
      </c>
      <c r="CI74" s="267">
        <f t="shared" si="188"/>
        <v>117.1</v>
      </c>
      <c r="CJ74" s="267">
        <f t="shared" si="187"/>
        <v>116.2</v>
      </c>
      <c r="CK74" s="325"/>
    </row>
    <row r="75" spans="1:89" x14ac:dyDescent="0.3">
      <c r="A75" s="38"/>
      <c r="B75" s="47" t="s">
        <v>13</v>
      </c>
      <c r="C75" s="269">
        <v>158.6</v>
      </c>
      <c r="D75" s="269">
        <v>155</v>
      </c>
      <c r="E75" s="269">
        <v>155.80000000000001</v>
      </c>
      <c r="F75" s="269">
        <v>155</v>
      </c>
      <c r="G75" s="269">
        <v>159.5</v>
      </c>
      <c r="H75" s="269">
        <v>160</v>
      </c>
      <c r="I75" s="269">
        <v>158.69999999999999</v>
      </c>
      <c r="J75" s="269">
        <v>162.4</v>
      </c>
      <c r="K75" s="269">
        <v>159.80000000000001</v>
      </c>
      <c r="L75" s="269">
        <v>159.80000000000001</v>
      </c>
      <c r="M75" s="269">
        <v>157.69999999999999</v>
      </c>
      <c r="N75" s="269">
        <v>159</v>
      </c>
      <c r="O75" s="269">
        <v>159.30000000000001</v>
      </c>
      <c r="P75" s="269">
        <v>159.80000000000001</v>
      </c>
      <c r="Q75" s="269">
        <v>160.6</v>
      </c>
      <c r="R75" s="269">
        <v>161.1</v>
      </c>
      <c r="S75" s="269">
        <v>160.19999999999999</v>
      </c>
      <c r="T75" s="269">
        <v>160</v>
      </c>
      <c r="U75" s="269">
        <v>163.1</v>
      </c>
      <c r="V75" s="269">
        <v>163</v>
      </c>
      <c r="W75" s="269">
        <v>163.69999999999999</v>
      </c>
      <c r="X75" s="269">
        <v>165</v>
      </c>
      <c r="Y75" s="269">
        <v>165.6</v>
      </c>
      <c r="Z75" s="269">
        <v>167.2</v>
      </c>
      <c r="AA75" s="269">
        <v>164.9</v>
      </c>
      <c r="AB75" s="269">
        <v>162</v>
      </c>
      <c r="AC75" s="269">
        <v>156</v>
      </c>
      <c r="AD75" s="269">
        <v>158</v>
      </c>
      <c r="AE75" s="269">
        <v>157.6</v>
      </c>
      <c r="AF75" s="269">
        <v>155.4</v>
      </c>
      <c r="AG75" s="269">
        <v>157.4</v>
      </c>
      <c r="AH75" s="269">
        <v>156.9</v>
      </c>
      <c r="AI75" s="269">
        <v>155.19999999999999</v>
      </c>
      <c r="AJ75" s="269">
        <v>151.4</v>
      </c>
      <c r="AK75" s="269">
        <v>152.6</v>
      </c>
      <c r="AL75" s="269">
        <v>150</v>
      </c>
      <c r="AM75" s="269">
        <v>150</v>
      </c>
      <c r="AN75" s="269">
        <v>150.1</v>
      </c>
      <c r="AO75" s="269">
        <v>141.9</v>
      </c>
      <c r="AP75" s="269">
        <v>133</v>
      </c>
      <c r="AQ75" s="269">
        <v>134.19999999999999</v>
      </c>
      <c r="AR75" s="269">
        <v>127.2</v>
      </c>
      <c r="AS75" s="269">
        <v>129.6</v>
      </c>
      <c r="AT75" s="269">
        <v>124.2</v>
      </c>
      <c r="AU75" s="269">
        <v>119.3</v>
      </c>
      <c r="AV75" s="269">
        <v>116.1</v>
      </c>
      <c r="AW75" s="269">
        <v>125.1</v>
      </c>
      <c r="AX75" s="269">
        <v>131.69999999999999</v>
      </c>
      <c r="AY75" s="269">
        <v>132.69999999999999</v>
      </c>
      <c r="AZ75" s="269">
        <v>126.8</v>
      </c>
      <c r="BA75" s="269">
        <v>130</v>
      </c>
      <c r="BB75" s="269">
        <v>126.7</v>
      </c>
      <c r="BC75" s="269">
        <v>123.9</v>
      </c>
      <c r="BD75" s="269">
        <v>119.6</v>
      </c>
      <c r="BE75" s="269">
        <v>121.3</v>
      </c>
      <c r="BF75" s="269">
        <v>118.6</v>
      </c>
      <c r="BG75" s="269">
        <v>115.6</v>
      </c>
      <c r="BH75" s="269">
        <v>113.9</v>
      </c>
      <c r="BI75" s="269">
        <v>116.5</v>
      </c>
      <c r="BJ75" s="269">
        <v>122.5</v>
      </c>
      <c r="BK75" s="269">
        <v>117.6</v>
      </c>
      <c r="BL75" s="269">
        <v>115.1</v>
      </c>
      <c r="BM75" s="269">
        <v>114.1</v>
      </c>
      <c r="BN75" s="269">
        <v>109.4</v>
      </c>
      <c r="BO75" s="269">
        <v>109.8</v>
      </c>
      <c r="BP75" s="269">
        <v>107.4</v>
      </c>
      <c r="BQ75" s="269">
        <v>115.1</v>
      </c>
      <c r="BR75" s="269">
        <v>118.2</v>
      </c>
      <c r="BS75" s="269">
        <v>120.2</v>
      </c>
      <c r="BT75" s="269">
        <v>113.6</v>
      </c>
      <c r="BU75" s="269">
        <v>115.3</v>
      </c>
      <c r="BV75" s="269">
        <v>109.9</v>
      </c>
      <c r="BW75" s="269">
        <v>111.3</v>
      </c>
      <c r="BX75" s="269">
        <v>114.7</v>
      </c>
      <c r="BY75" s="269">
        <v>115.1</v>
      </c>
      <c r="BZ75" s="269">
        <v>120.7</v>
      </c>
      <c r="CA75" s="269">
        <v>120</v>
      </c>
      <c r="CB75" s="269">
        <v>119.9</v>
      </c>
      <c r="CC75" s="269">
        <v>114.5</v>
      </c>
      <c r="CD75" s="269">
        <v>117.5</v>
      </c>
      <c r="CE75" s="269">
        <v>116.8</v>
      </c>
      <c r="CF75" s="269">
        <v>112.2</v>
      </c>
      <c r="CG75" s="269">
        <v>110.6</v>
      </c>
      <c r="CH75" s="269">
        <v>110.3</v>
      </c>
      <c r="CI75" s="269">
        <v>111.6</v>
      </c>
      <c r="CJ75" s="269">
        <v>110.7</v>
      </c>
      <c r="CK75" s="326"/>
    </row>
    <row r="76" spans="1:89" x14ac:dyDescent="0.3">
      <c r="A76" s="38"/>
      <c r="B76" s="47" t="s">
        <v>14</v>
      </c>
      <c r="C76" s="269">
        <v>7.8</v>
      </c>
      <c r="D76" s="269">
        <v>7.7</v>
      </c>
      <c r="E76" s="269">
        <v>7.7</v>
      </c>
      <c r="F76" s="269">
        <v>7.7</v>
      </c>
      <c r="G76" s="269">
        <v>7.9</v>
      </c>
      <c r="H76" s="269">
        <v>7.9</v>
      </c>
      <c r="I76" s="269">
        <v>7.8</v>
      </c>
      <c r="J76" s="269">
        <v>8</v>
      </c>
      <c r="K76" s="269">
        <v>7.9</v>
      </c>
      <c r="L76" s="269">
        <v>7.9</v>
      </c>
      <c r="M76" s="269">
        <v>7.8</v>
      </c>
      <c r="N76" s="269">
        <v>7.9</v>
      </c>
      <c r="O76" s="269">
        <v>7.9</v>
      </c>
      <c r="P76" s="269">
        <v>7.9</v>
      </c>
      <c r="Q76" s="269">
        <v>7.9</v>
      </c>
      <c r="R76" s="269">
        <v>8</v>
      </c>
      <c r="S76" s="269">
        <v>7.9</v>
      </c>
      <c r="T76" s="269">
        <v>7.9</v>
      </c>
      <c r="U76" s="269">
        <v>8.1</v>
      </c>
      <c r="V76" s="269">
        <v>8.1</v>
      </c>
      <c r="W76" s="269">
        <v>8.1</v>
      </c>
      <c r="X76" s="269">
        <v>8.1999999999999993</v>
      </c>
      <c r="Y76" s="269">
        <v>8.1999999999999993</v>
      </c>
      <c r="Z76" s="269">
        <v>8.3000000000000007</v>
      </c>
      <c r="AA76" s="269">
        <v>8.1999999999999993</v>
      </c>
      <c r="AB76" s="269">
        <v>8</v>
      </c>
      <c r="AC76" s="269">
        <v>7.7</v>
      </c>
      <c r="AD76" s="269">
        <v>7.8</v>
      </c>
      <c r="AE76" s="269">
        <v>7.8</v>
      </c>
      <c r="AF76" s="269">
        <v>7.7</v>
      </c>
      <c r="AG76" s="269">
        <v>7.8</v>
      </c>
      <c r="AH76" s="269">
        <v>7.8</v>
      </c>
      <c r="AI76" s="269">
        <v>7.7</v>
      </c>
      <c r="AJ76" s="269">
        <v>7.5</v>
      </c>
      <c r="AK76" s="269">
        <v>7.5</v>
      </c>
      <c r="AL76" s="269">
        <v>7.4</v>
      </c>
      <c r="AM76" s="269">
        <v>7.4</v>
      </c>
      <c r="AN76" s="269">
        <v>7.4</v>
      </c>
      <c r="AO76" s="269">
        <v>7</v>
      </c>
      <c r="AP76" s="269">
        <v>6.6</v>
      </c>
      <c r="AQ76" s="269">
        <v>6.6</v>
      </c>
      <c r="AR76" s="269">
        <v>6.3</v>
      </c>
      <c r="AS76" s="269">
        <v>6.4</v>
      </c>
      <c r="AT76" s="269">
        <v>6.1</v>
      </c>
      <c r="AU76" s="269">
        <v>5.9</v>
      </c>
      <c r="AV76" s="269">
        <v>5.7</v>
      </c>
      <c r="AW76" s="269">
        <v>6.2</v>
      </c>
      <c r="AX76" s="269">
        <v>6.5</v>
      </c>
      <c r="AY76" s="269">
        <v>6.6</v>
      </c>
      <c r="AZ76" s="269">
        <v>6.3</v>
      </c>
      <c r="BA76" s="269">
        <v>6.4</v>
      </c>
      <c r="BB76" s="269">
        <v>6.3</v>
      </c>
      <c r="BC76" s="269">
        <v>6.1</v>
      </c>
      <c r="BD76" s="269">
        <v>5.9</v>
      </c>
      <c r="BE76" s="269">
        <v>6</v>
      </c>
      <c r="BF76" s="269">
        <v>5.9</v>
      </c>
      <c r="BG76" s="269">
        <v>5.7</v>
      </c>
      <c r="BH76" s="269">
        <v>5.6</v>
      </c>
      <c r="BI76" s="269">
        <v>5.8</v>
      </c>
      <c r="BJ76" s="269">
        <v>6.1</v>
      </c>
      <c r="BK76" s="269">
        <v>5.8</v>
      </c>
      <c r="BL76" s="269">
        <v>5.7</v>
      </c>
      <c r="BM76" s="269">
        <v>5.6</v>
      </c>
      <c r="BN76" s="269">
        <v>5.4</v>
      </c>
      <c r="BO76" s="269">
        <v>5.4</v>
      </c>
      <c r="BP76" s="269">
        <v>5.3</v>
      </c>
      <c r="BQ76" s="269">
        <v>5.7</v>
      </c>
      <c r="BR76" s="269">
        <v>5.8</v>
      </c>
      <c r="BS76" s="269">
        <v>5.9</v>
      </c>
      <c r="BT76" s="269">
        <v>5.6</v>
      </c>
      <c r="BU76" s="269">
        <v>5.7</v>
      </c>
      <c r="BV76" s="269">
        <v>5.4</v>
      </c>
      <c r="BW76" s="269">
        <v>5.5</v>
      </c>
      <c r="BX76" s="269">
        <v>5.7</v>
      </c>
      <c r="BY76" s="269">
        <v>5.7</v>
      </c>
      <c r="BZ76" s="269">
        <v>6</v>
      </c>
      <c r="CA76" s="269">
        <v>5.9</v>
      </c>
      <c r="CB76" s="269">
        <v>5.9</v>
      </c>
      <c r="CC76" s="269">
        <v>5.7</v>
      </c>
      <c r="CD76" s="269">
        <v>5.8</v>
      </c>
      <c r="CE76" s="269">
        <v>5.8</v>
      </c>
      <c r="CF76" s="269">
        <v>5.5</v>
      </c>
      <c r="CG76" s="269">
        <v>5.5</v>
      </c>
      <c r="CH76" s="269">
        <v>5.5</v>
      </c>
      <c r="CI76" s="269">
        <v>5.5</v>
      </c>
      <c r="CJ76" s="269">
        <v>5.5</v>
      </c>
      <c r="CK76" s="326"/>
    </row>
    <row r="77" spans="1:89" x14ac:dyDescent="0.3">
      <c r="A77" s="38"/>
      <c r="B77" s="47"/>
      <c r="C77" s="269"/>
      <c r="D77" s="269"/>
      <c r="E77" s="269"/>
      <c r="F77" s="269"/>
      <c r="G77" s="269"/>
      <c r="H77" s="269"/>
      <c r="I77" s="269"/>
      <c r="J77" s="269"/>
      <c r="K77" s="269"/>
      <c r="L77" s="269"/>
      <c r="M77" s="269"/>
      <c r="N77" s="269"/>
      <c r="O77" s="269"/>
      <c r="P77" s="269"/>
      <c r="Q77" s="269"/>
      <c r="R77" s="269"/>
      <c r="S77" s="269"/>
      <c r="T77" s="269"/>
      <c r="U77" s="269"/>
      <c r="V77" s="269"/>
      <c r="W77" s="269"/>
      <c r="X77" s="269"/>
      <c r="Y77" s="269"/>
      <c r="Z77" s="269"/>
      <c r="AA77" s="269"/>
      <c r="AB77" s="269"/>
      <c r="AC77" s="269"/>
      <c r="AD77" s="269"/>
      <c r="AE77" s="269"/>
      <c r="AF77" s="269"/>
      <c r="AG77" s="269"/>
      <c r="AH77" s="269"/>
      <c r="AI77" s="269"/>
      <c r="AJ77" s="269"/>
      <c r="AK77" s="269"/>
      <c r="AL77" s="269"/>
      <c r="AM77" s="269"/>
      <c r="AN77" s="269"/>
      <c r="AO77" s="269"/>
      <c r="AP77" s="269"/>
      <c r="AQ77" s="269"/>
      <c r="AR77" s="269"/>
      <c r="AS77" s="269"/>
      <c r="AT77" s="269"/>
      <c r="AU77" s="269"/>
      <c r="AV77" s="269"/>
      <c r="AW77" s="269"/>
      <c r="AX77" s="269"/>
      <c r="AY77" s="269"/>
      <c r="AZ77" s="269"/>
      <c r="BA77" s="269"/>
      <c r="BB77" s="269"/>
      <c r="BC77" s="269"/>
      <c r="BD77" s="269"/>
      <c r="BE77" s="269"/>
      <c r="BF77" s="269"/>
      <c r="BG77" s="269"/>
      <c r="BH77" s="269"/>
      <c r="BI77" s="269"/>
      <c r="BJ77" s="269"/>
      <c r="BK77" s="269"/>
      <c r="BL77" s="269"/>
      <c r="BM77" s="269"/>
      <c r="BN77" s="269"/>
      <c r="BO77" s="269"/>
      <c r="BP77" s="269"/>
      <c r="BQ77" s="269"/>
      <c r="BR77" s="269"/>
      <c r="BS77" s="269"/>
      <c r="BT77" s="269"/>
      <c r="BU77" s="269"/>
      <c r="BV77" s="269"/>
      <c r="BW77" s="269"/>
      <c r="BX77" s="269"/>
      <c r="BY77" s="269"/>
      <c r="BZ77" s="269"/>
      <c r="CA77" s="269"/>
      <c r="CB77" s="269"/>
      <c r="CC77" s="269"/>
      <c r="CD77" s="269"/>
      <c r="CE77" s="269"/>
      <c r="CF77" s="269"/>
      <c r="CG77" s="269"/>
      <c r="CH77" s="269"/>
      <c r="CI77" s="269"/>
      <c r="CJ77" s="269"/>
      <c r="CK77" s="326"/>
    </row>
    <row r="78" spans="1:89" x14ac:dyDescent="0.3">
      <c r="A78" s="38"/>
      <c r="B78" s="44" t="s">
        <v>28</v>
      </c>
      <c r="C78" s="40">
        <f>+C79</f>
        <v>402.4</v>
      </c>
      <c r="D78" s="40">
        <f t="shared" ref="D78:CJ78" si="189">+D79</f>
        <v>400.8</v>
      </c>
      <c r="E78" s="40">
        <f t="shared" si="189"/>
        <v>401.9</v>
      </c>
      <c r="F78" s="40">
        <f t="shared" si="189"/>
        <v>392.5</v>
      </c>
      <c r="G78" s="40">
        <f t="shared" si="189"/>
        <v>399.7</v>
      </c>
      <c r="H78" s="40">
        <f t="shared" si="189"/>
        <v>409.8</v>
      </c>
      <c r="I78" s="40">
        <f t="shared" si="189"/>
        <v>402.5</v>
      </c>
      <c r="J78" s="40">
        <f t="shared" si="189"/>
        <v>404.1</v>
      </c>
      <c r="K78" s="40">
        <f t="shared" si="189"/>
        <v>400.9</v>
      </c>
      <c r="L78" s="40">
        <v>405.6</v>
      </c>
      <c r="M78" s="40">
        <v>400.1</v>
      </c>
      <c r="N78" s="40">
        <v>413.3</v>
      </c>
      <c r="O78" s="40">
        <f t="shared" si="189"/>
        <v>415.4</v>
      </c>
      <c r="P78" s="40">
        <f t="shared" si="189"/>
        <v>414.4</v>
      </c>
      <c r="Q78" s="40">
        <f t="shared" si="189"/>
        <v>416.3</v>
      </c>
      <c r="R78" s="40">
        <f t="shared" si="189"/>
        <v>414.4</v>
      </c>
      <c r="S78" s="40">
        <f t="shared" si="189"/>
        <v>416.1</v>
      </c>
      <c r="T78" s="40">
        <f t="shared" si="189"/>
        <v>422.3</v>
      </c>
      <c r="U78" s="40">
        <f t="shared" si="189"/>
        <v>438.3</v>
      </c>
      <c r="V78" s="40">
        <f t="shared" si="189"/>
        <v>442.7</v>
      </c>
      <c r="W78" s="40">
        <f t="shared" si="189"/>
        <v>0</v>
      </c>
      <c r="X78" s="40">
        <f t="shared" si="189"/>
        <v>0</v>
      </c>
      <c r="Y78" s="40">
        <f t="shared" si="189"/>
        <v>0</v>
      </c>
      <c r="Z78" s="40">
        <f t="shared" si="189"/>
        <v>0</v>
      </c>
      <c r="AA78" s="40">
        <f t="shared" si="189"/>
        <v>0</v>
      </c>
      <c r="AB78" s="40">
        <f t="shared" si="189"/>
        <v>0</v>
      </c>
      <c r="AC78" s="40">
        <f t="shared" si="189"/>
        <v>0</v>
      </c>
      <c r="AD78" s="40">
        <f t="shared" si="189"/>
        <v>0</v>
      </c>
      <c r="AE78" s="40">
        <f t="shared" si="189"/>
        <v>0</v>
      </c>
      <c r="AF78" s="40">
        <f t="shared" si="189"/>
        <v>0</v>
      </c>
      <c r="AG78" s="40">
        <f t="shared" si="189"/>
        <v>0</v>
      </c>
      <c r="AH78" s="40">
        <f t="shared" si="189"/>
        <v>0</v>
      </c>
      <c r="AI78" s="40">
        <f t="shared" si="189"/>
        <v>0</v>
      </c>
      <c r="AJ78" s="40">
        <f t="shared" si="189"/>
        <v>0</v>
      </c>
      <c r="AK78" s="40">
        <f t="shared" si="189"/>
        <v>0</v>
      </c>
      <c r="AL78" s="40">
        <f t="shared" si="189"/>
        <v>0</v>
      </c>
      <c r="AM78" s="40">
        <f t="shared" si="189"/>
        <v>0</v>
      </c>
      <c r="AN78" s="40">
        <f t="shared" si="189"/>
        <v>0</v>
      </c>
      <c r="AO78" s="40">
        <f t="shared" si="189"/>
        <v>0</v>
      </c>
      <c r="AP78" s="40">
        <f t="shared" si="189"/>
        <v>0</v>
      </c>
      <c r="AQ78" s="40">
        <f t="shared" si="189"/>
        <v>0</v>
      </c>
      <c r="AR78" s="40">
        <f t="shared" si="189"/>
        <v>0</v>
      </c>
      <c r="AS78" s="40">
        <f t="shared" si="189"/>
        <v>0</v>
      </c>
      <c r="AT78" s="40">
        <f t="shared" si="189"/>
        <v>0</v>
      </c>
      <c r="AU78" s="40">
        <f t="shared" si="189"/>
        <v>0</v>
      </c>
      <c r="AV78" s="40">
        <f t="shared" si="189"/>
        <v>0</v>
      </c>
      <c r="AW78" s="40">
        <f t="shared" si="189"/>
        <v>0</v>
      </c>
      <c r="AX78" s="40">
        <f t="shared" si="189"/>
        <v>0</v>
      </c>
      <c r="AY78" s="40">
        <f t="shared" si="189"/>
        <v>0</v>
      </c>
      <c r="AZ78" s="40">
        <f t="shared" si="189"/>
        <v>0</v>
      </c>
      <c r="BA78" s="40">
        <f t="shared" si="189"/>
        <v>0</v>
      </c>
      <c r="BB78" s="40">
        <f t="shared" si="189"/>
        <v>0</v>
      </c>
      <c r="BC78" s="40">
        <f t="shared" si="189"/>
        <v>0</v>
      </c>
      <c r="BD78" s="40">
        <f t="shared" si="189"/>
        <v>0</v>
      </c>
      <c r="BE78" s="40">
        <f t="shared" si="189"/>
        <v>0</v>
      </c>
      <c r="BF78" s="40">
        <f t="shared" si="189"/>
        <v>0</v>
      </c>
      <c r="BG78" s="40">
        <f t="shared" si="189"/>
        <v>0</v>
      </c>
      <c r="BH78" s="40">
        <f t="shared" si="189"/>
        <v>0</v>
      </c>
      <c r="BI78" s="40">
        <f t="shared" si="189"/>
        <v>0</v>
      </c>
      <c r="BJ78" s="40">
        <f t="shared" si="189"/>
        <v>0</v>
      </c>
      <c r="BK78" s="40">
        <f t="shared" si="189"/>
        <v>0</v>
      </c>
      <c r="BL78" s="40">
        <f t="shared" si="189"/>
        <v>0</v>
      </c>
      <c r="BM78" s="40">
        <f t="shared" si="189"/>
        <v>0</v>
      </c>
      <c r="BN78" s="40">
        <f t="shared" si="189"/>
        <v>0</v>
      </c>
      <c r="BO78" s="40">
        <f t="shared" si="189"/>
        <v>0</v>
      </c>
      <c r="BP78" s="40">
        <f t="shared" si="189"/>
        <v>0</v>
      </c>
      <c r="BQ78" s="40">
        <f t="shared" si="189"/>
        <v>0</v>
      </c>
      <c r="BR78" s="40">
        <f t="shared" si="189"/>
        <v>0</v>
      </c>
      <c r="BS78" s="40">
        <f t="shared" si="189"/>
        <v>0</v>
      </c>
      <c r="BT78" s="40">
        <f t="shared" si="189"/>
        <v>0</v>
      </c>
      <c r="BU78" s="40">
        <f t="shared" si="189"/>
        <v>0</v>
      </c>
      <c r="BV78" s="40">
        <f t="shared" si="189"/>
        <v>0</v>
      </c>
      <c r="BW78" s="40">
        <f t="shared" si="189"/>
        <v>0</v>
      </c>
      <c r="BX78" s="40">
        <f t="shared" si="189"/>
        <v>0</v>
      </c>
      <c r="BY78" s="40">
        <f t="shared" si="189"/>
        <v>0</v>
      </c>
      <c r="BZ78" s="40">
        <f t="shared" si="189"/>
        <v>0</v>
      </c>
      <c r="CA78" s="40">
        <f t="shared" si="189"/>
        <v>0</v>
      </c>
      <c r="CB78" s="40">
        <f t="shared" si="189"/>
        <v>0</v>
      </c>
      <c r="CC78" s="40">
        <f t="shared" si="189"/>
        <v>0</v>
      </c>
      <c r="CD78" s="40">
        <f t="shared" si="189"/>
        <v>0</v>
      </c>
      <c r="CE78" s="40">
        <f t="shared" si="189"/>
        <v>0</v>
      </c>
      <c r="CF78" s="40">
        <f t="shared" si="189"/>
        <v>0</v>
      </c>
      <c r="CG78" s="40">
        <f t="shared" si="189"/>
        <v>0</v>
      </c>
      <c r="CH78" s="40">
        <f t="shared" si="189"/>
        <v>0</v>
      </c>
      <c r="CI78" s="40">
        <f t="shared" si="189"/>
        <v>0</v>
      </c>
      <c r="CJ78" s="40">
        <f t="shared" si="189"/>
        <v>0</v>
      </c>
      <c r="CK78" s="324">
        <f>+CJ78/$CJ$10</f>
        <v>0</v>
      </c>
    </row>
    <row r="79" spans="1:89" x14ac:dyDescent="0.3">
      <c r="A79" s="38"/>
      <c r="B79" s="46" t="s">
        <v>29</v>
      </c>
      <c r="C79" s="267">
        <v>402.4</v>
      </c>
      <c r="D79" s="267">
        <v>400.8</v>
      </c>
      <c r="E79" s="267">
        <v>401.9</v>
      </c>
      <c r="F79" s="267">
        <v>392.5</v>
      </c>
      <c r="G79" s="267">
        <v>399.7</v>
      </c>
      <c r="H79" s="267">
        <v>409.8</v>
      </c>
      <c r="I79" s="267">
        <v>402.5</v>
      </c>
      <c r="J79" s="267">
        <v>404.1</v>
      </c>
      <c r="K79" s="267">
        <v>400.9</v>
      </c>
      <c r="L79" s="267">
        <v>405.6</v>
      </c>
      <c r="M79" s="267">
        <v>400.1</v>
      </c>
      <c r="N79" s="267">
        <v>413.3</v>
      </c>
      <c r="O79" s="267">
        <v>415.4</v>
      </c>
      <c r="P79" s="267">
        <v>414.4</v>
      </c>
      <c r="Q79" s="267">
        <v>416.3</v>
      </c>
      <c r="R79" s="267">
        <v>414.4</v>
      </c>
      <c r="S79" s="267">
        <v>416.1</v>
      </c>
      <c r="T79" s="267">
        <v>422.3</v>
      </c>
      <c r="U79" s="267">
        <v>438.3</v>
      </c>
      <c r="V79" s="267">
        <v>442.7</v>
      </c>
      <c r="W79" s="267">
        <v>0</v>
      </c>
      <c r="X79" s="267">
        <v>0</v>
      </c>
      <c r="Y79" s="267">
        <v>0</v>
      </c>
      <c r="Z79" s="267">
        <v>0</v>
      </c>
      <c r="AA79" s="267">
        <v>0</v>
      </c>
      <c r="AB79" s="267">
        <v>0</v>
      </c>
      <c r="AC79" s="267">
        <v>0</v>
      </c>
      <c r="AD79" s="267">
        <v>0</v>
      </c>
      <c r="AE79" s="267">
        <v>0</v>
      </c>
      <c r="AF79" s="267">
        <v>0</v>
      </c>
      <c r="AG79" s="267">
        <v>0</v>
      </c>
      <c r="AH79" s="267">
        <v>0</v>
      </c>
      <c r="AI79" s="267">
        <v>0</v>
      </c>
      <c r="AJ79" s="267">
        <v>0</v>
      </c>
      <c r="AK79" s="267">
        <v>0</v>
      </c>
      <c r="AL79" s="267">
        <v>0</v>
      </c>
      <c r="AM79" s="267">
        <v>0</v>
      </c>
      <c r="AN79" s="267">
        <v>0</v>
      </c>
      <c r="AO79" s="267">
        <v>0</v>
      </c>
      <c r="AP79" s="267">
        <v>0</v>
      </c>
      <c r="AQ79" s="267">
        <v>0</v>
      </c>
      <c r="AR79" s="267">
        <v>0</v>
      </c>
      <c r="AS79" s="267">
        <v>0</v>
      </c>
      <c r="AT79" s="267">
        <v>0</v>
      </c>
      <c r="AU79" s="267">
        <v>0</v>
      </c>
      <c r="AV79" s="267">
        <v>0</v>
      </c>
      <c r="AW79" s="267">
        <v>0</v>
      </c>
      <c r="AX79" s="267">
        <v>0</v>
      </c>
      <c r="AY79" s="267">
        <v>0</v>
      </c>
      <c r="AZ79" s="267">
        <v>0</v>
      </c>
      <c r="BA79" s="267">
        <v>0</v>
      </c>
      <c r="BB79" s="267">
        <v>0</v>
      </c>
      <c r="BC79" s="267">
        <v>0</v>
      </c>
      <c r="BD79" s="267">
        <v>0</v>
      </c>
      <c r="BE79" s="267">
        <v>0</v>
      </c>
      <c r="BF79" s="267">
        <v>0</v>
      </c>
      <c r="BG79" s="267">
        <v>0</v>
      </c>
      <c r="BH79" s="267">
        <v>0</v>
      </c>
      <c r="BI79" s="267">
        <v>0</v>
      </c>
      <c r="BJ79" s="267">
        <v>0</v>
      </c>
      <c r="BK79" s="267">
        <v>0</v>
      </c>
      <c r="BL79" s="267">
        <v>0</v>
      </c>
      <c r="BM79" s="267">
        <v>0</v>
      </c>
      <c r="BN79" s="267">
        <v>0</v>
      </c>
      <c r="BO79" s="267">
        <v>0</v>
      </c>
      <c r="BP79" s="267">
        <v>0</v>
      </c>
      <c r="BQ79" s="267">
        <v>0</v>
      </c>
      <c r="BR79" s="267">
        <v>0</v>
      </c>
      <c r="BS79" s="267">
        <v>0</v>
      </c>
      <c r="BT79" s="267">
        <v>0</v>
      </c>
      <c r="BU79" s="267">
        <v>0</v>
      </c>
      <c r="BV79" s="267">
        <v>0</v>
      </c>
      <c r="BW79" s="267">
        <v>0</v>
      </c>
      <c r="BX79" s="267">
        <v>0</v>
      </c>
      <c r="BY79" s="267">
        <v>0</v>
      </c>
      <c r="BZ79" s="267">
        <v>0</v>
      </c>
      <c r="CA79" s="267">
        <v>0</v>
      </c>
      <c r="CB79" s="267">
        <v>0</v>
      </c>
      <c r="CC79" s="267">
        <v>0</v>
      </c>
      <c r="CD79" s="267">
        <v>0</v>
      </c>
      <c r="CE79" s="267">
        <v>0</v>
      </c>
      <c r="CF79" s="267">
        <v>0</v>
      </c>
      <c r="CG79" s="267">
        <v>0</v>
      </c>
      <c r="CH79" s="267">
        <v>0</v>
      </c>
      <c r="CI79" s="267">
        <v>0</v>
      </c>
      <c r="CJ79" s="267">
        <v>0</v>
      </c>
      <c r="CK79" s="325"/>
    </row>
    <row r="80" spans="1:89" x14ac:dyDescent="0.3">
      <c r="A80" s="38"/>
      <c r="B80" s="46"/>
      <c r="C80" s="269"/>
      <c r="D80" s="269"/>
      <c r="E80" s="269"/>
      <c r="F80" s="269"/>
      <c r="G80" s="269"/>
      <c r="H80" s="269"/>
      <c r="I80" s="269"/>
      <c r="J80" s="269"/>
      <c r="K80" s="269"/>
      <c r="L80" s="269"/>
      <c r="M80" s="269"/>
      <c r="N80" s="269"/>
      <c r="O80" s="269"/>
      <c r="P80" s="269"/>
      <c r="Q80" s="269"/>
      <c r="R80" s="269"/>
      <c r="S80" s="269"/>
      <c r="T80" s="269"/>
      <c r="U80" s="269"/>
      <c r="V80" s="269"/>
      <c r="W80" s="269"/>
      <c r="X80" s="269"/>
      <c r="Y80" s="269"/>
      <c r="Z80" s="269"/>
      <c r="AA80" s="269"/>
      <c r="AB80" s="269"/>
      <c r="AC80" s="269"/>
      <c r="AD80" s="269"/>
      <c r="AE80" s="269"/>
      <c r="AF80" s="269"/>
      <c r="AG80" s="269"/>
      <c r="AH80" s="269"/>
      <c r="AI80" s="269"/>
      <c r="AJ80" s="269"/>
      <c r="AK80" s="269"/>
      <c r="AL80" s="269"/>
      <c r="AM80" s="269"/>
      <c r="AN80" s="269"/>
      <c r="AO80" s="269"/>
      <c r="AP80" s="269"/>
      <c r="AQ80" s="269"/>
      <c r="AR80" s="269"/>
      <c r="AS80" s="269"/>
      <c r="AT80" s="269"/>
      <c r="AU80" s="269"/>
      <c r="AV80" s="269"/>
      <c r="AW80" s="269"/>
      <c r="AX80" s="269"/>
      <c r="AY80" s="269"/>
      <c r="AZ80" s="269"/>
      <c r="BA80" s="269"/>
      <c r="BB80" s="269"/>
      <c r="BC80" s="269"/>
      <c r="BD80" s="269"/>
      <c r="BE80" s="269"/>
      <c r="BF80" s="269"/>
      <c r="BG80" s="269"/>
      <c r="BH80" s="269"/>
      <c r="BI80" s="269"/>
      <c r="BJ80" s="269"/>
      <c r="BK80" s="269"/>
      <c r="BL80" s="269"/>
      <c r="BM80" s="269"/>
      <c r="BN80" s="269"/>
      <c r="BO80" s="269"/>
      <c r="BP80" s="269"/>
      <c r="BQ80" s="269"/>
      <c r="BR80" s="269"/>
      <c r="BS80" s="269"/>
      <c r="BT80" s="269"/>
      <c r="BU80" s="269"/>
      <c r="BV80" s="269"/>
      <c r="BW80" s="269"/>
      <c r="BX80" s="269"/>
      <c r="BY80" s="269"/>
      <c r="BZ80" s="269"/>
      <c r="CA80" s="269"/>
      <c r="CB80" s="269"/>
      <c r="CC80" s="269"/>
      <c r="CD80" s="269"/>
      <c r="CE80" s="269"/>
      <c r="CF80" s="269"/>
      <c r="CG80" s="269"/>
      <c r="CH80" s="269"/>
      <c r="CI80" s="269"/>
      <c r="CJ80" s="269"/>
      <c r="CK80" s="326"/>
    </row>
    <row r="81" spans="1:90" x14ac:dyDescent="0.3">
      <c r="A81" s="38"/>
      <c r="B81" s="36" t="s">
        <v>30</v>
      </c>
      <c r="C81" s="267">
        <v>14.9</v>
      </c>
      <c r="D81" s="267">
        <v>14.9</v>
      </c>
      <c r="E81" s="267">
        <v>14.8</v>
      </c>
      <c r="F81" s="267">
        <v>14.8</v>
      </c>
      <c r="G81" s="267">
        <v>14.8</v>
      </c>
      <c r="H81" s="267">
        <v>14.9</v>
      </c>
      <c r="I81" s="267">
        <v>15</v>
      </c>
      <c r="J81" s="267">
        <v>14.7</v>
      </c>
      <c r="K81" s="267">
        <v>14.7</v>
      </c>
      <c r="L81" s="267">
        <v>15</v>
      </c>
      <c r="M81" s="267">
        <v>15</v>
      </c>
      <c r="N81" s="267">
        <v>14.8</v>
      </c>
      <c r="O81" s="267">
        <v>15.3</v>
      </c>
      <c r="P81" s="267">
        <v>14.7</v>
      </c>
      <c r="Q81" s="267">
        <v>14.7</v>
      </c>
      <c r="R81" s="267">
        <v>15.2</v>
      </c>
      <c r="S81" s="267">
        <v>15.2</v>
      </c>
      <c r="T81" s="267">
        <v>14.3</v>
      </c>
      <c r="U81" s="267">
        <v>15.4</v>
      </c>
      <c r="V81" s="267">
        <v>14.9</v>
      </c>
      <c r="W81" s="267">
        <v>14.6</v>
      </c>
      <c r="X81" s="267">
        <v>14.9</v>
      </c>
      <c r="Y81" s="267">
        <v>14.5</v>
      </c>
      <c r="Z81" s="267">
        <v>14.5</v>
      </c>
      <c r="AA81" s="267">
        <v>14.5</v>
      </c>
      <c r="AB81" s="267">
        <v>14.5</v>
      </c>
      <c r="AC81" s="267">
        <v>14.4</v>
      </c>
      <c r="AD81" s="267">
        <v>15.6</v>
      </c>
      <c r="AE81" s="267">
        <v>15.4</v>
      </c>
      <c r="AF81" s="267">
        <v>14.8</v>
      </c>
      <c r="AG81" s="267">
        <v>16.3</v>
      </c>
      <c r="AH81" s="267">
        <v>16.2</v>
      </c>
      <c r="AI81" s="267">
        <v>14.8</v>
      </c>
      <c r="AJ81" s="267">
        <v>14.9</v>
      </c>
      <c r="AK81" s="267">
        <v>14.9</v>
      </c>
      <c r="AL81" s="267">
        <v>14.9</v>
      </c>
      <c r="AM81" s="267">
        <v>14.9</v>
      </c>
      <c r="AN81" s="267">
        <v>14.9</v>
      </c>
      <c r="AO81" s="267">
        <v>14.9</v>
      </c>
      <c r="AP81" s="267">
        <v>15</v>
      </c>
      <c r="AQ81" s="267">
        <v>14.9</v>
      </c>
      <c r="AR81" s="267">
        <v>15</v>
      </c>
      <c r="AS81" s="267">
        <v>15.2</v>
      </c>
      <c r="AT81" s="267">
        <v>14.9</v>
      </c>
      <c r="AU81" s="267">
        <v>14.9</v>
      </c>
      <c r="AV81" s="267">
        <v>15</v>
      </c>
      <c r="AW81" s="267">
        <v>15</v>
      </c>
      <c r="AX81" s="267">
        <v>14.9</v>
      </c>
      <c r="AY81" s="267">
        <v>14.9</v>
      </c>
      <c r="AZ81" s="267">
        <v>14.9</v>
      </c>
      <c r="BA81" s="267">
        <v>14.9</v>
      </c>
      <c r="BB81" s="267">
        <v>14.9</v>
      </c>
      <c r="BC81" s="267">
        <v>14.9</v>
      </c>
      <c r="BD81" s="267">
        <v>14.8</v>
      </c>
      <c r="BE81" s="267">
        <v>15.7</v>
      </c>
      <c r="BF81" s="267">
        <v>14.8</v>
      </c>
      <c r="BG81" s="267">
        <v>14.7</v>
      </c>
      <c r="BH81" s="267">
        <v>16.8</v>
      </c>
      <c r="BI81" s="267">
        <v>15.7</v>
      </c>
      <c r="BJ81" s="267">
        <v>14</v>
      </c>
      <c r="BK81" s="267">
        <v>14.1</v>
      </c>
      <c r="BL81" s="267">
        <v>14.3</v>
      </c>
      <c r="BM81" s="267">
        <v>14.5</v>
      </c>
      <c r="BN81" s="267">
        <v>17.399999999999999</v>
      </c>
      <c r="BO81" s="267">
        <v>14.7</v>
      </c>
      <c r="BP81" s="267">
        <v>14.4</v>
      </c>
      <c r="BQ81" s="267">
        <v>15.2</v>
      </c>
      <c r="BR81" s="267">
        <v>15.3</v>
      </c>
      <c r="BS81" s="267">
        <v>15.3</v>
      </c>
      <c r="BT81" s="267">
        <v>15.5</v>
      </c>
      <c r="BU81" s="267">
        <v>15.5</v>
      </c>
      <c r="BV81" s="267">
        <v>15.3</v>
      </c>
      <c r="BW81" s="267">
        <v>15.3</v>
      </c>
      <c r="BX81" s="267">
        <v>15.4</v>
      </c>
      <c r="BY81" s="267">
        <v>15.1</v>
      </c>
      <c r="BZ81" s="267">
        <v>15</v>
      </c>
      <c r="CA81" s="267">
        <v>15</v>
      </c>
      <c r="CB81" s="267">
        <v>15</v>
      </c>
      <c r="CC81" s="267">
        <v>15</v>
      </c>
      <c r="CD81" s="267">
        <v>12.9</v>
      </c>
      <c r="CE81" s="267">
        <v>12.7</v>
      </c>
      <c r="CF81" s="267">
        <v>15.2</v>
      </c>
      <c r="CG81" s="267">
        <v>15.2</v>
      </c>
      <c r="CH81" s="267">
        <v>15.2</v>
      </c>
      <c r="CI81" s="267">
        <v>15.3</v>
      </c>
      <c r="CJ81" s="267">
        <v>15.4</v>
      </c>
      <c r="CK81" s="325">
        <f>+CJ81/$CJ$10</f>
        <v>3.2617810129185588E-5</v>
      </c>
    </row>
    <row r="82" spans="1:90" x14ac:dyDescent="0.3">
      <c r="A82" s="38"/>
      <c r="B82" s="47"/>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64"/>
      <c r="AZ82" s="364"/>
      <c r="BA82" s="364"/>
      <c r="BB82" s="364"/>
      <c r="BC82" s="364"/>
      <c r="BD82" s="364"/>
      <c r="BE82" s="364"/>
      <c r="BF82" s="364"/>
      <c r="BG82" s="364"/>
      <c r="BH82" s="364"/>
      <c r="BI82" s="364"/>
      <c r="BJ82" s="364"/>
      <c r="BK82" s="364"/>
      <c r="BL82" s="364"/>
      <c r="BM82" s="364"/>
      <c r="BN82" s="364"/>
      <c r="BO82" s="364"/>
      <c r="BP82" s="364"/>
      <c r="BQ82" s="364"/>
      <c r="BR82" s="364"/>
      <c r="BS82" s="364"/>
      <c r="BT82" s="364"/>
      <c r="BU82" s="364"/>
      <c r="BV82" s="364"/>
      <c r="BW82" s="364"/>
      <c r="BX82" s="364"/>
      <c r="BY82" s="364"/>
      <c r="BZ82" s="364"/>
      <c r="CA82" s="364"/>
      <c r="CB82" s="364"/>
      <c r="CC82" s="364"/>
      <c r="CD82" s="364"/>
      <c r="CE82" s="364"/>
      <c r="CF82" s="364"/>
      <c r="CG82" s="364"/>
      <c r="CH82" s="364"/>
      <c r="CI82" s="364"/>
      <c r="CJ82" s="364"/>
      <c r="CK82" s="322"/>
    </row>
    <row r="83" spans="1:90" ht="16.2" x14ac:dyDescent="0.3">
      <c r="A83" s="32"/>
      <c r="B83" s="33" t="s">
        <v>31</v>
      </c>
      <c r="C83" s="34">
        <f>+C84+C89</f>
        <v>12401.6</v>
      </c>
      <c r="D83" s="34">
        <f t="shared" ref="D83:H83" si="190">+D84+D89</f>
        <v>12616.7</v>
      </c>
      <c r="E83" s="34">
        <f t="shared" si="190"/>
        <v>12306.7</v>
      </c>
      <c r="F83" s="34">
        <f t="shared" si="190"/>
        <v>12367.900000000001</v>
      </c>
      <c r="G83" s="34">
        <f t="shared" si="190"/>
        <v>12700.2</v>
      </c>
      <c r="H83" s="34">
        <f t="shared" si="190"/>
        <v>13735</v>
      </c>
      <c r="I83" s="34">
        <f t="shared" ref="I83:K83" si="191">+I84+I89</f>
        <v>13000.800000000001</v>
      </c>
      <c r="J83" s="34">
        <f t="shared" si="191"/>
        <v>27528.1</v>
      </c>
      <c r="K83" s="34">
        <f t="shared" si="191"/>
        <v>26559.9</v>
      </c>
      <c r="L83" s="34">
        <v>25241.3</v>
      </c>
      <c r="M83" s="34">
        <v>24362</v>
      </c>
      <c r="N83" s="34">
        <v>23113.7</v>
      </c>
      <c r="O83" s="34">
        <f t="shared" ref="O83" si="192">+O84+O89</f>
        <v>22867.1</v>
      </c>
      <c r="P83" s="34">
        <f t="shared" ref="P83:U83" si="193">+P84+P89</f>
        <v>22739.7</v>
      </c>
      <c r="Q83" s="34">
        <f t="shared" si="193"/>
        <v>18398.8</v>
      </c>
      <c r="R83" s="34">
        <f t="shared" si="193"/>
        <v>18372.3</v>
      </c>
      <c r="S83" s="34">
        <f t="shared" si="193"/>
        <v>15957</v>
      </c>
      <c r="T83" s="34">
        <f t="shared" si="193"/>
        <v>15954.1</v>
      </c>
      <c r="U83" s="34">
        <f t="shared" si="193"/>
        <v>11708.599999999999</v>
      </c>
      <c r="V83" s="34">
        <f t="shared" ref="V83:Z83" si="194">+V84+V89</f>
        <v>11580.599999999999</v>
      </c>
      <c r="W83" s="34">
        <f t="shared" si="194"/>
        <v>8879.2999999999993</v>
      </c>
      <c r="X83" s="34">
        <f t="shared" si="194"/>
        <v>8497.2999999999993</v>
      </c>
      <c r="Y83" s="34">
        <f t="shared" si="194"/>
        <v>8496.1</v>
      </c>
      <c r="Z83" s="34">
        <f t="shared" si="194"/>
        <v>8208.6</v>
      </c>
      <c r="AA83" s="34">
        <f t="shared" ref="AA83:AT83" si="195">+AA84+AA89</f>
        <v>8140.9000000000005</v>
      </c>
      <c r="AB83" s="34">
        <f t="shared" si="195"/>
        <v>8140</v>
      </c>
      <c r="AC83" s="34">
        <f t="shared" si="195"/>
        <v>8140</v>
      </c>
      <c r="AD83" s="34">
        <f t="shared" si="195"/>
        <v>8073.2</v>
      </c>
      <c r="AE83" s="34">
        <f t="shared" si="195"/>
        <v>8753.7000000000007</v>
      </c>
      <c r="AF83" s="34">
        <f t="shared" si="195"/>
        <v>9653.2000000000007</v>
      </c>
      <c r="AG83" s="34">
        <f t="shared" si="195"/>
        <v>9832.5</v>
      </c>
      <c r="AH83" s="34">
        <f t="shared" si="195"/>
        <v>9868.6</v>
      </c>
      <c r="AI83" s="34">
        <f t="shared" si="195"/>
        <v>10061.900000000001</v>
      </c>
      <c r="AJ83" s="34">
        <f t="shared" si="195"/>
        <v>10046.799999999999</v>
      </c>
      <c r="AK83" s="34">
        <f t="shared" si="195"/>
        <v>10081.1</v>
      </c>
      <c r="AL83" s="34">
        <f t="shared" si="195"/>
        <v>9432.9</v>
      </c>
      <c r="AM83" s="34">
        <f t="shared" si="195"/>
        <v>9400.6999999999989</v>
      </c>
      <c r="AN83" s="34">
        <f t="shared" si="195"/>
        <v>9425.0999999999985</v>
      </c>
      <c r="AO83" s="34">
        <f t="shared" si="195"/>
        <v>10706.9</v>
      </c>
      <c r="AP83" s="34">
        <f t="shared" si="195"/>
        <v>11300.699999999999</v>
      </c>
      <c r="AQ83" s="34">
        <f t="shared" si="195"/>
        <v>11476</v>
      </c>
      <c r="AR83" s="34">
        <f t="shared" si="195"/>
        <v>11525.599999999999</v>
      </c>
      <c r="AS83" s="34">
        <f t="shared" si="195"/>
        <v>12504.3</v>
      </c>
      <c r="AT83" s="34">
        <f t="shared" si="195"/>
        <v>12528.3</v>
      </c>
      <c r="AU83" s="34">
        <f t="shared" ref="AU83" si="196">+AU84+AU89</f>
        <v>13299.3</v>
      </c>
      <c r="AV83" s="34">
        <f t="shared" ref="AV83:BA83" si="197">+AV84+AV89</f>
        <v>13932.2</v>
      </c>
      <c r="AW83" s="34">
        <f t="shared" si="197"/>
        <v>13890.2</v>
      </c>
      <c r="AX83" s="34">
        <f t="shared" si="197"/>
        <v>13485.6</v>
      </c>
      <c r="AY83" s="34">
        <f t="shared" si="197"/>
        <v>13463.5</v>
      </c>
      <c r="AZ83" s="34">
        <f t="shared" si="197"/>
        <v>13444.3</v>
      </c>
      <c r="BA83" s="34">
        <f t="shared" si="197"/>
        <v>7748.6</v>
      </c>
      <c r="BB83" s="34">
        <f t="shared" ref="BB83:BI83" si="198">+BB84+BB89</f>
        <v>7049.7000000000007</v>
      </c>
      <c r="BC83" s="34">
        <f t="shared" si="198"/>
        <v>5416.8</v>
      </c>
      <c r="BD83" s="34">
        <f t="shared" si="198"/>
        <v>5389.8</v>
      </c>
      <c r="BE83" s="34">
        <f t="shared" si="198"/>
        <v>5260.9</v>
      </c>
      <c r="BF83" s="34">
        <f t="shared" si="198"/>
        <v>5260.9</v>
      </c>
      <c r="BG83" s="34">
        <f t="shared" si="198"/>
        <v>5260.9</v>
      </c>
      <c r="BH83" s="34">
        <f t="shared" si="198"/>
        <v>5146</v>
      </c>
      <c r="BI83" s="34">
        <f t="shared" si="198"/>
        <v>5146</v>
      </c>
      <c r="BJ83" s="34">
        <f t="shared" ref="BJ83:BO83" si="199">+BJ84+BJ89</f>
        <v>4704.2</v>
      </c>
      <c r="BK83" s="34">
        <f t="shared" si="199"/>
        <v>4673.2999999999993</v>
      </c>
      <c r="BL83" s="34">
        <f t="shared" si="199"/>
        <v>4673.2999999999993</v>
      </c>
      <c r="BM83" s="34">
        <f t="shared" si="199"/>
        <v>4673.2999999999993</v>
      </c>
      <c r="BN83" s="34">
        <f t="shared" si="199"/>
        <v>4666.2999999999993</v>
      </c>
      <c r="BO83" s="34">
        <f t="shared" si="199"/>
        <v>4666.2999999999993</v>
      </c>
      <c r="BP83" s="34">
        <f t="shared" ref="BP83:CJ83" si="200">+BP84+BP89</f>
        <v>4666.2999999999993</v>
      </c>
      <c r="BQ83" s="34">
        <f t="shared" ref="BQ83:CI83" si="201">+BQ84+BQ89</f>
        <v>4659.2999999999993</v>
      </c>
      <c r="BR83" s="34">
        <f t="shared" si="201"/>
        <v>4659.2999999999993</v>
      </c>
      <c r="BS83" s="34">
        <f t="shared" si="201"/>
        <v>4659.2999999999993</v>
      </c>
      <c r="BT83" s="34">
        <f t="shared" si="201"/>
        <v>4658.8999999999996</v>
      </c>
      <c r="BU83" s="34">
        <f t="shared" si="201"/>
        <v>4658.8999999999996</v>
      </c>
      <c r="BV83" s="34">
        <f t="shared" si="201"/>
        <v>4380.1000000000004</v>
      </c>
      <c r="BW83" s="34">
        <f t="shared" si="201"/>
        <v>4380.1000000000004</v>
      </c>
      <c r="BX83" s="34">
        <f t="shared" si="201"/>
        <v>4380.1000000000004</v>
      </c>
      <c r="BY83" s="34">
        <f t="shared" si="201"/>
        <v>4380.1000000000004</v>
      </c>
      <c r="BZ83" s="34">
        <f t="shared" si="201"/>
        <v>4380.1000000000004</v>
      </c>
      <c r="CA83" s="34">
        <f t="shared" si="201"/>
        <v>4380.1000000000004</v>
      </c>
      <c r="CB83" s="34">
        <f t="shared" si="201"/>
        <v>4380.1000000000004</v>
      </c>
      <c r="CC83" s="34">
        <f t="shared" si="201"/>
        <v>4380.1000000000004</v>
      </c>
      <c r="CD83" s="34">
        <f t="shared" si="201"/>
        <v>4380.1000000000004</v>
      </c>
      <c r="CE83" s="34">
        <f t="shared" si="201"/>
        <v>4380.1000000000004</v>
      </c>
      <c r="CF83" s="34">
        <f t="shared" si="201"/>
        <v>4380.1000000000004</v>
      </c>
      <c r="CG83" s="34">
        <f t="shared" si="201"/>
        <v>4380.1000000000004</v>
      </c>
      <c r="CH83" s="34">
        <f t="shared" si="201"/>
        <v>4092</v>
      </c>
      <c r="CI83" s="34">
        <f t="shared" si="201"/>
        <v>4092</v>
      </c>
      <c r="CJ83" s="34">
        <f t="shared" si="200"/>
        <v>5320.2</v>
      </c>
      <c r="CK83" s="321">
        <f>+CJ83/$CJ$10</f>
        <v>1.126839437982423E-2</v>
      </c>
      <c r="CL83" s="66"/>
    </row>
    <row r="84" spans="1:90" x14ac:dyDescent="0.3">
      <c r="A84" s="38"/>
      <c r="B84" s="49" t="s">
        <v>3</v>
      </c>
      <c r="C84" s="267">
        <f>+SUM(C85:C87)</f>
        <v>4267.8999999999996</v>
      </c>
      <c r="D84" s="267">
        <f t="shared" ref="D84:H84" si="202">+SUM(D85:D87)</f>
        <v>4483</v>
      </c>
      <c r="E84" s="267">
        <f t="shared" si="202"/>
        <v>4173</v>
      </c>
      <c r="F84" s="267">
        <f t="shared" si="202"/>
        <v>4234.2</v>
      </c>
      <c r="G84" s="267">
        <f t="shared" si="202"/>
        <v>4566.5</v>
      </c>
      <c r="H84" s="267">
        <f t="shared" si="202"/>
        <v>5601.3</v>
      </c>
      <c r="I84" s="267">
        <f t="shared" ref="I84:K84" si="203">+SUM(I85:I87)</f>
        <v>5583.7000000000007</v>
      </c>
      <c r="J84" s="267">
        <f t="shared" si="203"/>
        <v>6437.5</v>
      </c>
      <c r="K84" s="267">
        <f t="shared" si="203"/>
        <v>6550.9</v>
      </c>
      <c r="L84" s="267">
        <v>6383.1</v>
      </c>
      <c r="M84" s="267">
        <v>6558</v>
      </c>
      <c r="N84" s="267">
        <v>6025.1</v>
      </c>
      <c r="O84" s="267">
        <f t="shared" ref="O84" si="204">+SUM(O85:O87)</f>
        <v>5830.6</v>
      </c>
      <c r="P84" s="267">
        <f t="shared" ref="P84:U84" si="205">+SUM(P85:P87)</f>
        <v>5760.8</v>
      </c>
      <c r="Q84" s="267">
        <f t="shared" si="205"/>
        <v>1420.3000000000002</v>
      </c>
      <c r="R84" s="267">
        <f t="shared" si="205"/>
        <v>1410.2</v>
      </c>
      <c r="S84" s="267">
        <f t="shared" si="205"/>
        <v>1186.4000000000001</v>
      </c>
      <c r="T84" s="267">
        <f t="shared" si="205"/>
        <v>1183.5</v>
      </c>
      <c r="U84" s="267">
        <f t="shared" si="205"/>
        <v>648.5</v>
      </c>
      <c r="V84" s="267">
        <f t="shared" ref="V84:Z84" si="206">+SUM(V85:V87)</f>
        <v>520.5</v>
      </c>
      <c r="W84" s="267">
        <f t="shared" si="206"/>
        <v>511.90000000000003</v>
      </c>
      <c r="X84" s="267">
        <f t="shared" si="206"/>
        <v>160.5</v>
      </c>
      <c r="Y84" s="267">
        <f t="shared" si="206"/>
        <v>160.5</v>
      </c>
      <c r="Z84" s="267">
        <f t="shared" si="206"/>
        <v>160.5</v>
      </c>
      <c r="AA84" s="267">
        <f t="shared" ref="AA84:AT84" si="207">+SUM(AA85:AA87)</f>
        <v>158.30000000000001</v>
      </c>
      <c r="AB84" s="267">
        <f t="shared" si="207"/>
        <v>158.30000000000001</v>
      </c>
      <c r="AC84" s="267">
        <f t="shared" si="207"/>
        <v>158.30000000000001</v>
      </c>
      <c r="AD84" s="267">
        <f t="shared" si="207"/>
        <v>155.9</v>
      </c>
      <c r="AE84" s="267">
        <f t="shared" si="207"/>
        <v>836.9</v>
      </c>
      <c r="AF84" s="267">
        <f t="shared" si="207"/>
        <v>1736.4</v>
      </c>
      <c r="AG84" s="267">
        <f t="shared" si="207"/>
        <v>1982.4</v>
      </c>
      <c r="AH84" s="267">
        <f t="shared" si="207"/>
        <v>2018.5</v>
      </c>
      <c r="AI84" s="267">
        <f t="shared" si="207"/>
        <v>2211.8000000000002</v>
      </c>
      <c r="AJ84" s="267">
        <f t="shared" si="207"/>
        <v>2254</v>
      </c>
      <c r="AK84" s="267">
        <f t="shared" si="207"/>
        <v>2289</v>
      </c>
      <c r="AL84" s="267">
        <f t="shared" si="207"/>
        <v>2311.1</v>
      </c>
      <c r="AM84" s="267">
        <f t="shared" si="207"/>
        <v>2331.7999999999997</v>
      </c>
      <c r="AN84" s="267">
        <f t="shared" si="207"/>
        <v>2356.1999999999998</v>
      </c>
      <c r="AO84" s="267">
        <f t="shared" si="207"/>
        <v>3638</v>
      </c>
      <c r="AP84" s="267">
        <f t="shared" si="207"/>
        <v>4282.8999999999996</v>
      </c>
      <c r="AQ84" s="267">
        <f t="shared" si="207"/>
        <v>4458.2</v>
      </c>
      <c r="AR84" s="267">
        <f t="shared" si="207"/>
        <v>4507.8</v>
      </c>
      <c r="AS84" s="267">
        <f t="shared" si="207"/>
        <v>5536.5999999999995</v>
      </c>
      <c r="AT84" s="267">
        <f t="shared" si="207"/>
        <v>5560.6</v>
      </c>
      <c r="AU84" s="267">
        <f t="shared" ref="AU84" si="208">+SUM(AU85:AU87)</f>
        <v>6331.6</v>
      </c>
      <c r="AV84" s="267">
        <f t="shared" ref="AV84:BA84" si="209">+SUM(AV85:AV87)</f>
        <v>7028.5</v>
      </c>
      <c r="AW84" s="267">
        <f t="shared" si="209"/>
        <v>6986.5</v>
      </c>
      <c r="AX84" s="267">
        <f t="shared" si="209"/>
        <v>7895.5</v>
      </c>
      <c r="AY84" s="267">
        <f t="shared" si="209"/>
        <v>7967.5999999999995</v>
      </c>
      <c r="AZ84" s="267">
        <f t="shared" si="209"/>
        <v>7948.4</v>
      </c>
      <c r="BA84" s="267">
        <f t="shared" si="209"/>
        <v>2252.6999999999998</v>
      </c>
      <c r="BB84" s="267">
        <f t="shared" ref="BB84:BI84" si="210">+SUM(BB85:BB87)</f>
        <v>1666.8000000000002</v>
      </c>
      <c r="BC84" s="267">
        <f t="shared" si="210"/>
        <v>33.9</v>
      </c>
      <c r="BD84" s="267">
        <f t="shared" si="210"/>
        <v>6.9</v>
      </c>
      <c r="BE84" s="267">
        <f t="shared" si="210"/>
        <v>6.9</v>
      </c>
      <c r="BF84" s="267">
        <f t="shared" si="210"/>
        <v>6.9</v>
      </c>
      <c r="BG84" s="267">
        <f t="shared" si="210"/>
        <v>6.9</v>
      </c>
      <c r="BH84" s="267">
        <f t="shared" si="210"/>
        <v>3.9</v>
      </c>
      <c r="BI84" s="267">
        <f t="shared" si="210"/>
        <v>3.9</v>
      </c>
      <c r="BJ84" s="267">
        <f t="shared" ref="BJ84:BO84" si="211">+SUM(BJ85:BJ87)</f>
        <v>0</v>
      </c>
      <c r="BK84" s="267">
        <f t="shared" si="211"/>
        <v>0</v>
      </c>
      <c r="BL84" s="267">
        <f t="shared" si="211"/>
        <v>0</v>
      </c>
      <c r="BM84" s="267">
        <f t="shared" si="211"/>
        <v>0</v>
      </c>
      <c r="BN84" s="267">
        <f t="shared" si="211"/>
        <v>0</v>
      </c>
      <c r="BO84" s="267">
        <f t="shared" si="211"/>
        <v>0</v>
      </c>
      <c r="BP84" s="267">
        <f t="shared" ref="BP84:CJ84" si="212">+SUM(BP85:BP87)</f>
        <v>0</v>
      </c>
      <c r="BQ84" s="267">
        <f t="shared" ref="BQ84:CI84" si="213">+SUM(BQ85:BQ87)</f>
        <v>0</v>
      </c>
      <c r="BR84" s="267">
        <f t="shared" si="213"/>
        <v>0</v>
      </c>
      <c r="BS84" s="267">
        <f t="shared" si="213"/>
        <v>0</v>
      </c>
      <c r="BT84" s="267">
        <f t="shared" si="213"/>
        <v>0</v>
      </c>
      <c r="BU84" s="267">
        <f t="shared" si="213"/>
        <v>0</v>
      </c>
      <c r="BV84" s="267">
        <f t="shared" si="213"/>
        <v>0</v>
      </c>
      <c r="BW84" s="267">
        <f t="shared" si="213"/>
        <v>0</v>
      </c>
      <c r="BX84" s="267">
        <f t="shared" si="213"/>
        <v>0</v>
      </c>
      <c r="BY84" s="267">
        <f t="shared" si="213"/>
        <v>0</v>
      </c>
      <c r="BZ84" s="267">
        <f t="shared" si="213"/>
        <v>0</v>
      </c>
      <c r="CA84" s="267">
        <f t="shared" si="213"/>
        <v>0</v>
      </c>
      <c r="CB84" s="267">
        <f t="shared" si="213"/>
        <v>0</v>
      </c>
      <c r="CC84" s="267">
        <f t="shared" si="213"/>
        <v>0</v>
      </c>
      <c r="CD84" s="267">
        <f t="shared" si="213"/>
        <v>0</v>
      </c>
      <c r="CE84" s="267">
        <f t="shared" si="213"/>
        <v>0</v>
      </c>
      <c r="CF84" s="267">
        <f t="shared" si="213"/>
        <v>0</v>
      </c>
      <c r="CG84" s="267">
        <f t="shared" si="213"/>
        <v>0</v>
      </c>
      <c r="CH84" s="267">
        <f t="shared" si="213"/>
        <v>0</v>
      </c>
      <c r="CI84" s="267">
        <f t="shared" si="213"/>
        <v>0</v>
      </c>
      <c r="CJ84" s="267">
        <f t="shared" si="212"/>
        <v>0</v>
      </c>
      <c r="CK84" s="325">
        <f>+CJ84/$CJ$10</f>
        <v>0</v>
      </c>
    </row>
    <row r="85" spans="1:90" s="50" customFormat="1" x14ac:dyDescent="0.3">
      <c r="A85" s="38"/>
      <c r="B85" s="45" t="s">
        <v>32</v>
      </c>
      <c r="C85" s="269">
        <v>229.4</v>
      </c>
      <c r="D85" s="269">
        <v>224.6</v>
      </c>
      <c r="E85" s="269">
        <v>221.4</v>
      </c>
      <c r="F85" s="269">
        <v>218.5</v>
      </c>
      <c r="G85" s="269">
        <v>213.3</v>
      </c>
      <c r="H85" s="269">
        <v>208.3</v>
      </c>
      <c r="I85" s="269">
        <v>205.1</v>
      </c>
      <c r="J85" s="269">
        <v>201</v>
      </c>
      <c r="K85" s="269">
        <v>196.9</v>
      </c>
      <c r="L85" s="269">
        <v>193</v>
      </c>
      <c r="M85" s="269">
        <v>189</v>
      </c>
      <c r="N85" s="269">
        <v>185.3</v>
      </c>
      <c r="O85" s="269">
        <v>185.3</v>
      </c>
      <c r="P85" s="269">
        <v>185.3</v>
      </c>
      <c r="Q85" s="269">
        <v>179.3</v>
      </c>
      <c r="R85" s="269">
        <v>176.7</v>
      </c>
      <c r="S85" s="269">
        <v>171.9</v>
      </c>
      <c r="T85" s="269">
        <v>168.3</v>
      </c>
      <c r="U85" s="269">
        <v>168.3</v>
      </c>
      <c r="V85" s="269">
        <v>168.3</v>
      </c>
      <c r="W85" s="269">
        <v>162.30000000000001</v>
      </c>
      <c r="X85" s="269">
        <v>160.5</v>
      </c>
      <c r="Y85" s="269">
        <v>160.5</v>
      </c>
      <c r="Z85" s="269">
        <v>160.5</v>
      </c>
      <c r="AA85" s="269">
        <v>158.30000000000001</v>
      </c>
      <c r="AB85" s="269">
        <v>158.30000000000001</v>
      </c>
      <c r="AC85" s="269">
        <v>158.30000000000001</v>
      </c>
      <c r="AD85" s="269">
        <v>155.9</v>
      </c>
      <c r="AE85" s="269">
        <v>155.9</v>
      </c>
      <c r="AF85" s="269">
        <v>153.19999999999999</v>
      </c>
      <c r="AG85" s="269">
        <v>153.19999999999999</v>
      </c>
      <c r="AH85" s="269">
        <v>153.19999999999999</v>
      </c>
      <c r="AI85" s="269">
        <v>140.30000000000001</v>
      </c>
      <c r="AJ85" s="269">
        <v>140.30000000000001</v>
      </c>
      <c r="AK85" s="269">
        <v>128.6</v>
      </c>
      <c r="AL85" s="269">
        <v>124.6</v>
      </c>
      <c r="AM85" s="269">
        <v>124.6</v>
      </c>
      <c r="AN85" s="269">
        <v>120.2</v>
      </c>
      <c r="AO85" s="269">
        <v>113.9</v>
      </c>
      <c r="AP85" s="269">
        <v>111.7</v>
      </c>
      <c r="AQ85" s="269">
        <v>109.5</v>
      </c>
      <c r="AR85" s="269">
        <v>107.1</v>
      </c>
      <c r="AS85" s="269">
        <v>103.4</v>
      </c>
      <c r="AT85" s="269">
        <v>92.8</v>
      </c>
      <c r="AU85" s="269">
        <v>88.3</v>
      </c>
      <c r="AV85" s="269">
        <v>88.3</v>
      </c>
      <c r="AW85" s="269">
        <v>76</v>
      </c>
      <c r="AX85" s="269">
        <v>66.3</v>
      </c>
      <c r="AY85" s="269">
        <v>58.9</v>
      </c>
      <c r="AZ85" s="269">
        <v>58.9</v>
      </c>
      <c r="BA85" s="269">
        <v>52.7</v>
      </c>
      <c r="BB85" s="269">
        <v>39.4</v>
      </c>
      <c r="BC85" s="269">
        <v>33.9</v>
      </c>
      <c r="BD85" s="269">
        <v>6.9</v>
      </c>
      <c r="BE85" s="269">
        <v>6.9</v>
      </c>
      <c r="BF85" s="269">
        <v>6.9</v>
      </c>
      <c r="BG85" s="269">
        <v>6.9</v>
      </c>
      <c r="BH85" s="269">
        <v>3.9</v>
      </c>
      <c r="BI85" s="269">
        <v>3.9</v>
      </c>
      <c r="BJ85" s="269">
        <v>0</v>
      </c>
      <c r="BK85" s="269">
        <v>0</v>
      </c>
      <c r="BL85" s="269">
        <v>0</v>
      </c>
      <c r="BM85" s="269">
        <v>0</v>
      </c>
      <c r="BN85" s="269">
        <v>0</v>
      </c>
      <c r="BO85" s="269">
        <v>0</v>
      </c>
      <c r="BP85" s="269">
        <v>0</v>
      </c>
      <c r="BQ85" s="269">
        <v>0</v>
      </c>
      <c r="BR85" s="269">
        <v>0</v>
      </c>
      <c r="BS85" s="269">
        <v>0</v>
      </c>
      <c r="BT85" s="269">
        <v>0</v>
      </c>
      <c r="BU85" s="269">
        <v>0</v>
      </c>
      <c r="BV85" s="269">
        <v>0</v>
      </c>
      <c r="BW85" s="269">
        <v>0</v>
      </c>
      <c r="BX85" s="269">
        <v>0</v>
      </c>
      <c r="BY85" s="269">
        <v>0</v>
      </c>
      <c r="BZ85" s="269">
        <v>0</v>
      </c>
      <c r="CA85" s="269">
        <v>0</v>
      </c>
      <c r="CB85" s="269">
        <v>0</v>
      </c>
      <c r="CC85" s="269">
        <v>0</v>
      </c>
      <c r="CD85" s="269">
        <v>0</v>
      </c>
      <c r="CE85" s="269">
        <v>0</v>
      </c>
      <c r="CF85" s="269">
        <v>0</v>
      </c>
      <c r="CG85" s="269">
        <v>0</v>
      </c>
      <c r="CH85" s="269">
        <v>0</v>
      </c>
      <c r="CI85" s="269">
        <v>0</v>
      </c>
      <c r="CJ85" s="269">
        <v>0</v>
      </c>
      <c r="CK85" s="326"/>
    </row>
    <row r="86" spans="1:90" s="50" customFormat="1" x14ac:dyDescent="0.3">
      <c r="A86" s="38"/>
      <c r="B86" s="45" t="s">
        <v>144</v>
      </c>
      <c r="C86" s="269">
        <v>0</v>
      </c>
      <c r="D86" s="269">
        <v>0</v>
      </c>
      <c r="E86" s="269">
        <v>0</v>
      </c>
      <c r="F86" s="269">
        <v>0</v>
      </c>
      <c r="G86" s="269">
        <v>0</v>
      </c>
      <c r="H86" s="269">
        <v>0</v>
      </c>
      <c r="I86" s="269">
        <v>0</v>
      </c>
      <c r="J86" s="269">
        <v>1322.6</v>
      </c>
      <c r="K86" s="269">
        <v>1229.8</v>
      </c>
      <c r="L86" s="269">
        <v>1239.5</v>
      </c>
      <c r="M86" s="269">
        <v>1274.0999999999999</v>
      </c>
      <c r="N86" s="269">
        <v>981.4</v>
      </c>
      <c r="O86" s="269">
        <v>1001.6</v>
      </c>
      <c r="P86" s="269">
        <v>1000.2</v>
      </c>
      <c r="Q86" s="269">
        <v>254.4</v>
      </c>
      <c r="R86" s="269">
        <v>398.5</v>
      </c>
      <c r="S86" s="269">
        <v>398.5</v>
      </c>
      <c r="T86" s="269">
        <v>398.5</v>
      </c>
      <c r="U86" s="269">
        <v>2.4</v>
      </c>
      <c r="V86" s="269">
        <v>2.4</v>
      </c>
      <c r="W86" s="269">
        <v>0</v>
      </c>
      <c r="X86" s="269">
        <v>0</v>
      </c>
      <c r="Y86" s="269">
        <v>0</v>
      </c>
      <c r="Z86" s="269">
        <v>0</v>
      </c>
      <c r="AA86" s="269">
        <v>0</v>
      </c>
      <c r="AB86" s="269">
        <v>0</v>
      </c>
      <c r="AC86" s="269">
        <v>0</v>
      </c>
      <c r="AD86" s="269">
        <v>0</v>
      </c>
      <c r="AE86" s="269">
        <v>681</v>
      </c>
      <c r="AF86" s="269">
        <v>1583.2</v>
      </c>
      <c r="AG86" s="269">
        <v>1829.2</v>
      </c>
      <c r="AH86" s="269">
        <v>1865.3</v>
      </c>
      <c r="AI86" s="269">
        <v>2071.5</v>
      </c>
      <c r="AJ86" s="269">
        <v>2113.6999999999998</v>
      </c>
      <c r="AK86" s="269">
        <v>2160.4</v>
      </c>
      <c r="AL86" s="269">
        <v>2186.5</v>
      </c>
      <c r="AM86" s="269">
        <v>2207.1999999999998</v>
      </c>
      <c r="AN86" s="269">
        <v>2236</v>
      </c>
      <c r="AO86" s="269">
        <v>3524.1</v>
      </c>
      <c r="AP86" s="269">
        <v>4171.2</v>
      </c>
      <c r="AQ86" s="269">
        <v>4348.7</v>
      </c>
      <c r="AR86" s="269">
        <v>4400.7</v>
      </c>
      <c r="AS86" s="269">
        <v>5433.2</v>
      </c>
      <c r="AT86" s="269">
        <v>5467.8</v>
      </c>
      <c r="AU86" s="269">
        <v>6243.3</v>
      </c>
      <c r="AV86" s="269">
        <v>6940.2</v>
      </c>
      <c r="AW86" s="269">
        <v>6910.5</v>
      </c>
      <c r="AX86" s="269">
        <v>7829.2</v>
      </c>
      <c r="AY86" s="269">
        <v>7908.7</v>
      </c>
      <c r="AZ86" s="269">
        <v>7889.5</v>
      </c>
      <c r="BA86" s="269">
        <v>2200</v>
      </c>
      <c r="BB86" s="269">
        <v>1627.4</v>
      </c>
      <c r="BC86" s="269">
        <v>0</v>
      </c>
      <c r="BD86" s="269">
        <v>0</v>
      </c>
      <c r="BE86" s="269">
        <v>0</v>
      </c>
      <c r="BF86" s="269">
        <v>0</v>
      </c>
      <c r="BG86" s="269">
        <v>0</v>
      </c>
      <c r="BH86" s="269">
        <v>0</v>
      </c>
      <c r="BI86" s="269">
        <v>0</v>
      </c>
      <c r="BJ86" s="269">
        <v>0</v>
      </c>
      <c r="BK86" s="269">
        <v>0</v>
      </c>
      <c r="BL86" s="269">
        <v>0</v>
      </c>
      <c r="BM86" s="269">
        <v>0</v>
      </c>
      <c r="BN86" s="269">
        <v>0</v>
      </c>
      <c r="BO86" s="269">
        <v>0</v>
      </c>
      <c r="BP86" s="269">
        <v>0</v>
      </c>
      <c r="BQ86" s="269">
        <v>0</v>
      </c>
      <c r="BR86" s="269">
        <v>0</v>
      </c>
      <c r="BS86" s="269">
        <v>0</v>
      </c>
      <c r="BT86" s="269">
        <v>0</v>
      </c>
      <c r="BU86" s="269">
        <v>0</v>
      </c>
      <c r="BV86" s="269">
        <v>0</v>
      </c>
      <c r="BW86" s="269">
        <v>0</v>
      </c>
      <c r="BX86" s="269">
        <v>0</v>
      </c>
      <c r="BY86" s="269">
        <v>0</v>
      </c>
      <c r="BZ86" s="269">
        <v>0</v>
      </c>
      <c r="CA86" s="269">
        <v>0</v>
      </c>
      <c r="CB86" s="269">
        <v>0</v>
      </c>
      <c r="CC86" s="269">
        <v>0</v>
      </c>
      <c r="CD86" s="269">
        <v>0</v>
      </c>
      <c r="CE86" s="269">
        <v>0</v>
      </c>
      <c r="CF86" s="269">
        <v>0</v>
      </c>
      <c r="CG86" s="269">
        <v>0</v>
      </c>
      <c r="CH86" s="269">
        <v>0</v>
      </c>
      <c r="CI86" s="269">
        <v>0</v>
      </c>
      <c r="CJ86" s="269">
        <v>0</v>
      </c>
      <c r="CK86" s="326"/>
    </row>
    <row r="87" spans="1:90" s="50" customFormat="1" x14ac:dyDescent="0.3">
      <c r="A87" s="38"/>
      <c r="B87" s="45" t="s">
        <v>45</v>
      </c>
      <c r="C87" s="269">
        <v>4038.5</v>
      </c>
      <c r="D87" s="269">
        <v>4258.3999999999996</v>
      </c>
      <c r="E87" s="269">
        <v>3951.6</v>
      </c>
      <c r="F87" s="269">
        <v>4015.7</v>
      </c>
      <c r="G87" s="269">
        <v>4353.2</v>
      </c>
      <c r="H87" s="269">
        <v>5393</v>
      </c>
      <c r="I87" s="269">
        <v>5378.6</v>
      </c>
      <c r="J87" s="269">
        <v>4913.8999999999996</v>
      </c>
      <c r="K87" s="269">
        <v>5124.2</v>
      </c>
      <c r="L87" s="269">
        <v>4950.7</v>
      </c>
      <c r="M87" s="269">
        <v>5095</v>
      </c>
      <c r="N87" s="269">
        <v>4858.3</v>
      </c>
      <c r="O87" s="269">
        <v>4643.7</v>
      </c>
      <c r="P87" s="269">
        <v>4575.3</v>
      </c>
      <c r="Q87" s="269">
        <v>986.6</v>
      </c>
      <c r="R87" s="269">
        <v>835</v>
      </c>
      <c r="S87" s="269">
        <v>616</v>
      </c>
      <c r="T87" s="269">
        <v>616.70000000000005</v>
      </c>
      <c r="U87" s="269">
        <v>477.8</v>
      </c>
      <c r="V87" s="269">
        <v>349.8</v>
      </c>
      <c r="W87" s="269">
        <v>349.6</v>
      </c>
      <c r="X87" s="269">
        <v>0</v>
      </c>
      <c r="Y87" s="269">
        <v>0</v>
      </c>
      <c r="Z87" s="269">
        <v>0</v>
      </c>
      <c r="AA87" s="269">
        <v>0</v>
      </c>
      <c r="AB87" s="269">
        <v>0</v>
      </c>
      <c r="AC87" s="269">
        <v>0</v>
      </c>
      <c r="AD87" s="269">
        <v>0</v>
      </c>
      <c r="AE87" s="269">
        <v>0</v>
      </c>
      <c r="AF87" s="269">
        <v>0</v>
      </c>
      <c r="AG87" s="269">
        <v>0</v>
      </c>
      <c r="AH87" s="269">
        <v>0</v>
      </c>
      <c r="AI87" s="269">
        <v>0</v>
      </c>
      <c r="AJ87" s="269">
        <v>0</v>
      </c>
      <c r="AK87" s="269">
        <v>0</v>
      </c>
      <c r="AL87" s="269">
        <v>0</v>
      </c>
      <c r="AM87" s="269">
        <v>0</v>
      </c>
      <c r="AN87" s="269">
        <v>0</v>
      </c>
      <c r="AO87" s="269">
        <v>0</v>
      </c>
      <c r="AP87" s="269">
        <v>0</v>
      </c>
      <c r="AQ87" s="269">
        <v>0</v>
      </c>
      <c r="AR87" s="269">
        <v>0</v>
      </c>
      <c r="AS87" s="269">
        <v>0</v>
      </c>
      <c r="AT87" s="269">
        <v>0</v>
      </c>
      <c r="AU87" s="269">
        <v>0</v>
      </c>
      <c r="AV87" s="269">
        <v>0</v>
      </c>
      <c r="AW87" s="269">
        <v>0</v>
      </c>
      <c r="AX87" s="269">
        <v>0</v>
      </c>
      <c r="AY87" s="269">
        <v>0</v>
      </c>
      <c r="AZ87" s="269">
        <v>0</v>
      </c>
      <c r="BA87" s="269">
        <v>0</v>
      </c>
      <c r="BB87" s="269">
        <v>0</v>
      </c>
      <c r="BC87" s="269">
        <v>0</v>
      </c>
      <c r="BD87" s="269">
        <v>0</v>
      </c>
      <c r="BE87" s="269">
        <v>0</v>
      </c>
      <c r="BF87" s="269">
        <v>0</v>
      </c>
      <c r="BG87" s="269">
        <v>0</v>
      </c>
      <c r="BH87" s="269">
        <v>0</v>
      </c>
      <c r="BI87" s="269">
        <v>0</v>
      </c>
      <c r="BJ87" s="269">
        <v>0</v>
      </c>
      <c r="BK87" s="269">
        <v>0</v>
      </c>
      <c r="BL87" s="269">
        <v>0</v>
      </c>
      <c r="BM87" s="269">
        <v>0</v>
      </c>
      <c r="BN87" s="269">
        <v>0</v>
      </c>
      <c r="BO87" s="269">
        <v>0</v>
      </c>
      <c r="BP87" s="269">
        <v>0</v>
      </c>
      <c r="BQ87" s="269">
        <v>0</v>
      </c>
      <c r="BR87" s="269">
        <v>0</v>
      </c>
      <c r="BS87" s="269">
        <v>0</v>
      </c>
      <c r="BT87" s="269">
        <v>0</v>
      </c>
      <c r="BU87" s="269">
        <v>0</v>
      </c>
      <c r="BV87" s="269">
        <v>0</v>
      </c>
      <c r="BW87" s="269">
        <v>0</v>
      </c>
      <c r="BX87" s="269">
        <v>0</v>
      </c>
      <c r="BY87" s="269">
        <v>0</v>
      </c>
      <c r="BZ87" s="269">
        <v>0</v>
      </c>
      <c r="CA87" s="269">
        <v>0</v>
      </c>
      <c r="CB87" s="269">
        <v>0</v>
      </c>
      <c r="CC87" s="269">
        <v>0</v>
      </c>
      <c r="CD87" s="269">
        <v>0</v>
      </c>
      <c r="CE87" s="269">
        <v>0</v>
      </c>
      <c r="CF87" s="269">
        <v>0</v>
      </c>
      <c r="CG87" s="269">
        <v>0</v>
      </c>
      <c r="CH87" s="269">
        <v>0</v>
      </c>
      <c r="CI87" s="269">
        <v>0</v>
      </c>
      <c r="CJ87" s="269">
        <v>0</v>
      </c>
      <c r="CK87" s="326"/>
    </row>
    <row r="88" spans="1:90" s="50" customFormat="1" x14ac:dyDescent="0.3">
      <c r="A88" s="38"/>
      <c r="B88" s="45"/>
      <c r="C88" s="269"/>
      <c r="D88" s="269"/>
      <c r="E88" s="269"/>
      <c r="F88" s="269"/>
      <c r="G88" s="269"/>
      <c r="H88" s="269"/>
      <c r="I88" s="269"/>
      <c r="J88" s="269"/>
      <c r="K88" s="269"/>
      <c r="L88" s="269"/>
      <c r="M88" s="269"/>
      <c r="N88" s="269"/>
      <c r="O88" s="269"/>
      <c r="P88" s="269"/>
      <c r="Q88" s="269"/>
      <c r="R88" s="269"/>
      <c r="S88" s="269"/>
      <c r="T88" s="269"/>
      <c r="U88" s="269"/>
      <c r="V88" s="269"/>
      <c r="W88" s="269"/>
      <c r="X88" s="269"/>
      <c r="Y88" s="269"/>
      <c r="Z88" s="269"/>
      <c r="AA88" s="269"/>
      <c r="AB88" s="269"/>
      <c r="AC88" s="269"/>
      <c r="AD88" s="269"/>
      <c r="AE88" s="269"/>
      <c r="AF88" s="269"/>
      <c r="AG88" s="269"/>
      <c r="AH88" s="269"/>
      <c r="AI88" s="269"/>
      <c r="AJ88" s="269"/>
      <c r="AK88" s="269"/>
      <c r="AL88" s="269"/>
      <c r="AM88" s="269"/>
      <c r="AN88" s="269"/>
      <c r="AO88" s="269"/>
      <c r="AP88" s="269"/>
      <c r="AQ88" s="269"/>
      <c r="AR88" s="269"/>
      <c r="AS88" s="269"/>
      <c r="AT88" s="269"/>
      <c r="AU88" s="269"/>
      <c r="AV88" s="269"/>
      <c r="AW88" s="269"/>
      <c r="AX88" s="269"/>
      <c r="AY88" s="269"/>
      <c r="AZ88" s="269"/>
      <c r="BA88" s="269"/>
      <c r="BB88" s="269"/>
      <c r="BC88" s="269"/>
      <c r="BD88" s="269"/>
      <c r="BE88" s="269"/>
      <c r="BF88" s="269"/>
      <c r="BG88" s="269"/>
      <c r="BH88" s="269"/>
      <c r="BI88" s="269"/>
      <c r="BJ88" s="269"/>
      <c r="BK88" s="269"/>
      <c r="BL88" s="269"/>
      <c r="BM88" s="269"/>
      <c r="BN88" s="269"/>
      <c r="BO88" s="269"/>
      <c r="BP88" s="269"/>
      <c r="BQ88" s="269"/>
      <c r="BR88" s="269"/>
      <c r="BS88" s="269"/>
      <c r="BT88" s="269"/>
      <c r="BU88" s="269"/>
      <c r="BV88" s="269"/>
      <c r="BW88" s="269"/>
      <c r="BX88" s="269"/>
      <c r="BY88" s="269"/>
      <c r="BZ88" s="269"/>
      <c r="CA88" s="269"/>
      <c r="CB88" s="269"/>
      <c r="CC88" s="269"/>
      <c r="CD88" s="269"/>
      <c r="CE88" s="269"/>
      <c r="CF88" s="269"/>
      <c r="CG88" s="269"/>
      <c r="CH88" s="269"/>
      <c r="CI88" s="269"/>
      <c r="CJ88" s="269"/>
      <c r="CK88" s="326"/>
    </row>
    <row r="89" spans="1:90" s="50" customFormat="1" x14ac:dyDescent="0.3">
      <c r="A89" s="38"/>
      <c r="B89" s="49" t="s">
        <v>16</v>
      </c>
      <c r="C89" s="269">
        <f t="shared" ref="C89:K89" si="214">SUM(C90:C92)</f>
        <v>8133.7000000000007</v>
      </c>
      <c r="D89" s="269">
        <f t="shared" si="214"/>
        <v>8133.7000000000007</v>
      </c>
      <c r="E89" s="269">
        <f t="shared" si="214"/>
        <v>8133.7000000000007</v>
      </c>
      <c r="F89" s="269">
        <f t="shared" si="214"/>
        <v>8133.7000000000007</v>
      </c>
      <c r="G89" s="269">
        <f t="shared" si="214"/>
        <v>8133.7000000000007</v>
      </c>
      <c r="H89" s="269">
        <f t="shared" si="214"/>
        <v>8133.7000000000007</v>
      </c>
      <c r="I89" s="269">
        <f t="shared" si="214"/>
        <v>7417.1</v>
      </c>
      <c r="J89" s="269">
        <f t="shared" si="214"/>
        <v>21090.6</v>
      </c>
      <c r="K89" s="269">
        <f t="shared" si="214"/>
        <v>20009</v>
      </c>
      <c r="L89" s="269">
        <v>18858.2</v>
      </c>
      <c r="M89" s="269">
        <v>17803.900000000001</v>
      </c>
      <c r="N89" s="269">
        <v>17088.599999999999</v>
      </c>
      <c r="O89" s="269">
        <f t="shared" ref="O89:BB89" si="215">SUM(O90:O92)</f>
        <v>17036.5</v>
      </c>
      <c r="P89" s="269">
        <f t="shared" si="215"/>
        <v>16978.900000000001</v>
      </c>
      <c r="Q89" s="269">
        <f t="shared" si="215"/>
        <v>16978.5</v>
      </c>
      <c r="R89" s="269">
        <f t="shared" si="215"/>
        <v>16962.099999999999</v>
      </c>
      <c r="S89" s="269">
        <f t="shared" si="215"/>
        <v>14770.6</v>
      </c>
      <c r="T89" s="269">
        <f t="shared" si="215"/>
        <v>14770.6</v>
      </c>
      <c r="U89" s="269">
        <f t="shared" si="215"/>
        <v>11060.099999999999</v>
      </c>
      <c r="V89" s="269">
        <f t="shared" si="215"/>
        <v>11060.099999999999</v>
      </c>
      <c r="W89" s="269">
        <f t="shared" si="215"/>
        <v>8367.4</v>
      </c>
      <c r="X89" s="269">
        <f t="shared" si="215"/>
        <v>8336.7999999999993</v>
      </c>
      <c r="Y89" s="269">
        <f t="shared" si="215"/>
        <v>8335.6</v>
      </c>
      <c r="Z89" s="269">
        <f t="shared" si="215"/>
        <v>8048.1</v>
      </c>
      <c r="AA89" s="269">
        <f t="shared" si="215"/>
        <v>7982.6</v>
      </c>
      <c r="AB89" s="269">
        <f t="shared" si="215"/>
        <v>7981.7</v>
      </c>
      <c r="AC89" s="269">
        <f t="shared" si="215"/>
        <v>7981.7</v>
      </c>
      <c r="AD89" s="269">
        <f t="shared" si="215"/>
        <v>7917.3</v>
      </c>
      <c r="AE89" s="269">
        <f t="shared" si="215"/>
        <v>7916.8</v>
      </c>
      <c r="AF89" s="269">
        <f t="shared" si="215"/>
        <v>7916.8</v>
      </c>
      <c r="AG89" s="269">
        <f t="shared" si="215"/>
        <v>7850.1</v>
      </c>
      <c r="AH89" s="269">
        <f t="shared" si="215"/>
        <v>7850.1</v>
      </c>
      <c r="AI89" s="269">
        <f t="shared" si="215"/>
        <v>7850.1</v>
      </c>
      <c r="AJ89" s="269">
        <f t="shared" si="215"/>
        <v>7792.8</v>
      </c>
      <c r="AK89" s="269">
        <f t="shared" si="215"/>
        <v>7792.1</v>
      </c>
      <c r="AL89" s="269">
        <f t="shared" si="215"/>
        <v>7121.7999999999993</v>
      </c>
      <c r="AM89" s="269">
        <f t="shared" si="215"/>
        <v>7068.9</v>
      </c>
      <c r="AN89" s="269">
        <f t="shared" si="215"/>
        <v>7068.9</v>
      </c>
      <c r="AO89" s="269">
        <f t="shared" si="215"/>
        <v>7068.9</v>
      </c>
      <c r="AP89" s="269">
        <f t="shared" si="215"/>
        <v>7017.7999999999993</v>
      </c>
      <c r="AQ89" s="269">
        <f t="shared" si="215"/>
        <v>7017.7999999999993</v>
      </c>
      <c r="AR89" s="269">
        <f t="shared" si="215"/>
        <v>7017.7999999999993</v>
      </c>
      <c r="AS89" s="269">
        <f t="shared" si="215"/>
        <v>6967.7</v>
      </c>
      <c r="AT89" s="269">
        <f t="shared" si="215"/>
        <v>6967.7</v>
      </c>
      <c r="AU89" s="269">
        <f t="shared" si="215"/>
        <v>6967.7</v>
      </c>
      <c r="AV89" s="269">
        <f t="shared" si="215"/>
        <v>6903.7</v>
      </c>
      <c r="AW89" s="269">
        <f t="shared" si="215"/>
        <v>6903.7</v>
      </c>
      <c r="AX89" s="269">
        <f t="shared" si="215"/>
        <v>5590.1</v>
      </c>
      <c r="AY89" s="269">
        <f t="shared" si="215"/>
        <v>5495.9000000000005</v>
      </c>
      <c r="AZ89" s="269">
        <f t="shared" si="215"/>
        <v>5495.9000000000005</v>
      </c>
      <c r="BA89" s="269">
        <f t="shared" si="215"/>
        <v>5495.9000000000005</v>
      </c>
      <c r="BB89" s="269">
        <f t="shared" si="215"/>
        <v>5382.9000000000005</v>
      </c>
      <c r="BC89" s="269">
        <f t="shared" ref="BC89:BI89" si="216">SUM(BC90:BC92)</f>
        <v>5382.9000000000005</v>
      </c>
      <c r="BD89" s="269">
        <f t="shared" si="216"/>
        <v>5382.9000000000005</v>
      </c>
      <c r="BE89" s="269">
        <f t="shared" si="216"/>
        <v>5254</v>
      </c>
      <c r="BF89" s="269">
        <f t="shared" si="216"/>
        <v>5254</v>
      </c>
      <c r="BG89" s="269">
        <f t="shared" si="216"/>
        <v>5254</v>
      </c>
      <c r="BH89" s="269">
        <f t="shared" si="216"/>
        <v>5142.1000000000004</v>
      </c>
      <c r="BI89" s="269">
        <f t="shared" si="216"/>
        <v>5142.1000000000004</v>
      </c>
      <c r="BJ89" s="269">
        <f t="shared" ref="BJ89:BO89" si="217">SUM(BJ90:BJ92)</f>
        <v>4704.2</v>
      </c>
      <c r="BK89" s="269">
        <f t="shared" si="217"/>
        <v>4673.2999999999993</v>
      </c>
      <c r="BL89" s="269">
        <f t="shared" si="217"/>
        <v>4673.2999999999993</v>
      </c>
      <c r="BM89" s="269">
        <f t="shared" si="217"/>
        <v>4673.2999999999993</v>
      </c>
      <c r="BN89" s="269">
        <f t="shared" si="217"/>
        <v>4666.2999999999993</v>
      </c>
      <c r="BO89" s="269">
        <f t="shared" si="217"/>
        <v>4666.2999999999993</v>
      </c>
      <c r="BP89" s="269">
        <f t="shared" ref="BP89" si="218">SUM(BP90:BP92)</f>
        <v>4666.2999999999993</v>
      </c>
      <c r="BQ89" s="269">
        <f t="shared" ref="BQ89:CH89" si="219">SUM(BQ90:BQ92)</f>
        <v>4659.2999999999993</v>
      </c>
      <c r="BR89" s="269">
        <f t="shared" si="219"/>
        <v>4659.2999999999993</v>
      </c>
      <c r="BS89" s="269">
        <f t="shared" si="219"/>
        <v>4659.2999999999993</v>
      </c>
      <c r="BT89" s="269">
        <f t="shared" si="219"/>
        <v>4658.8999999999996</v>
      </c>
      <c r="BU89" s="269">
        <f t="shared" si="219"/>
        <v>4658.8999999999996</v>
      </c>
      <c r="BV89" s="269">
        <f t="shared" si="219"/>
        <v>4380.1000000000004</v>
      </c>
      <c r="BW89" s="269">
        <f t="shared" si="219"/>
        <v>4380.1000000000004</v>
      </c>
      <c r="BX89" s="269">
        <f t="shared" si="219"/>
        <v>4380.1000000000004</v>
      </c>
      <c r="BY89" s="269">
        <f t="shared" si="219"/>
        <v>4380.1000000000004</v>
      </c>
      <c r="BZ89" s="269">
        <f t="shared" si="219"/>
        <v>4380.1000000000004</v>
      </c>
      <c r="CA89" s="269">
        <f t="shared" si="219"/>
        <v>4380.1000000000004</v>
      </c>
      <c r="CB89" s="269">
        <f t="shared" si="219"/>
        <v>4380.1000000000004</v>
      </c>
      <c r="CC89" s="269">
        <f t="shared" si="219"/>
        <v>4380.1000000000004</v>
      </c>
      <c r="CD89" s="269">
        <f t="shared" si="219"/>
        <v>4380.1000000000004</v>
      </c>
      <c r="CE89" s="269">
        <f t="shared" si="219"/>
        <v>4380.1000000000004</v>
      </c>
      <c r="CF89" s="269">
        <f t="shared" si="219"/>
        <v>4380.1000000000004</v>
      </c>
      <c r="CG89" s="269">
        <f t="shared" si="219"/>
        <v>4380.1000000000004</v>
      </c>
      <c r="CH89" s="269">
        <f t="shared" si="219"/>
        <v>4092</v>
      </c>
      <c r="CI89" s="269">
        <f>SUM(CI90:CI93)</f>
        <v>4092</v>
      </c>
      <c r="CJ89" s="269">
        <f>SUM(CJ90:CJ93)</f>
        <v>5320.2</v>
      </c>
      <c r="CK89" s="326">
        <f>+CJ89/$CJ$10</f>
        <v>1.126839437982423E-2</v>
      </c>
    </row>
    <row r="90" spans="1:90" s="50" customFormat="1" x14ac:dyDescent="0.3">
      <c r="A90" s="38"/>
      <c r="B90" s="45" t="s">
        <v>54</v>
      </c>
      <c r="C90" s="269">
        <v>716.6</v>
      </c>
      <c r="D90" s="269">
        <v>716.6</v>
      </c>
      <c r="E90" s="269">
        <v>716.6</v>
      </c>
      <c r="F90" s="269">
        <v>716.6</v>
      </c>
      <c r="G90" s="269">
        <v>716.6</v>
      </c>
      <c r="H90" s="269">
        <v>716.6</v>
      </c>
      <c r="I90" s="269">
        <v>0</v>
      </c>
      <c r="J90" s="269">
        <v>12650.1</v>
      </c>
      <c r="K90" s="269">
        <v>11568.5</v>
      </c>
      <c r="L90" s="269">
        <v>10424.700000000001</v>
      </c>
      <c r="M90" s="269">
        <v>9370.4</v>
      </c>
      <c r="N90" s="269">
        <v>8703.7999999999993</v>
      </c>
      <c r="O90" s="269">
        <v>8665.6</v>
      </c>
      <c r="P90" s="269">
        <v>8608</v>
      </c>
      <c r="Q90" s="269">
        <v>8607.6</v>
      </c>
      <c r="R90" s="269">
        <v>8607.6</v>
      </c>
      <c r="S90" s="269">
        <v>6416.1</v>
      </c>
      <c r="T90" s="269">
        <v>6416.1</v>
      </c>
      <c r="U90" s="269">
        <v>2724.2</v>
      </c>
      <c r="V90" s="269">
        <v>2724.2</v>
      </c>
      <c r="W90" s="269">
        <v>31.5</v>
      </c>
      <c r="X90" s="269">
        <v>31.5</v>
      </c>
      <c r="Y90" s="269">
        <v>30.3</v>
      </c>
      <c r="Z90" s="269">
        <v>30.1</v>
      </c>
      <c r="AA90" s="269">
        <v>30</v>
      </c>
      <c r="AB90" s="269">
        <v>29.1</v>
      </c>
      <c r="AC90" s="269">
        <v>29.1</v>
      </c>
      <c r="AD90" s="269">
        <v>28.8</v>
      </c>
      <c r="AE90" s="269">
        <v>28.3</v>
      </c>
      <c r="AF90" s="269">
        <v>28.3</v>
      </c>
      <c r="AG90" s="269">
        <v>7.9</v>
      </c>
      <c r="AH90" s="269">
        <v>7.9</v>
      </c>
      <c r="AI90" s="269">
        <v>7.9</v>
      </c>
      <c r="AJ90" s="269">
        <v>7.7</v>
      </c>
      <c r="AK90" s="269">
        <v>7</v>
      </c>
      <c r="AL90" s="269">
        <v>6.8</v>
      </c>
      <c r="AM90" s="269">
        <v>6.7</v>
      </c>
      <c r="AN90" s="269">
        <v>6.7</v>
      </c>
      <c r="AO90" s="269">
        <v>6.7</v>
      </c>
      <c r="AP90" s="269">
        <v>6.4</v>
      </c>
      <c r="AQ90" s="269">
        <v>6.4</v>
      </c>
      <c r="AR90" s="269">
        <v>6.4</v>
      </c>
      <c r="AS90" s="269">
        <v>6.4</v>
      </c>
      <c r="AT90" s="269">
        <v>6.4</v>
      </c>
      <c r="AU90" s="269">
        <v>6.4</v>
      </c>
      <c r="AV90" s="269">
        <v>0</v>
      </c>
      <c r="AW90" s="269">
        <v>0</v>
      </c>
      <c r="AX90" s="269">
        <v>0</v>
      </c>
      <c r="AY90" s="269">
        <v>0</v>
      </c>
      <c r="AZ90" s="269">
        <v>0</v>
      </c>
      <c r="BA90" s="269">
        <v>0</v>
      </c>
      <c r="BB90" s="269">
        <v>0</v>
      </c>
      <c r="BC90" s="269">
        <v>0</v>
      </c>
      <c r="BD90" s="269">
        <v>0</v>
      </c>
      <c r="BE90" s="269">
        <v>0</v>
      </c>
      <c r="BF90" s="269">
        <v>0</v>
      </c>
      <c r="BG90" s="269">
        <v>0</v>
      </c>
      <c r="BH90" s="269">
        <v>0</v>
      </c>
      <c r="BI90" s="269">
        <v>0</v>
      </c>
      <c r="BJ90" s="269">
        <v>0</v>
      </c>
      <c r="BK90" s="269">
        <v>0</v>
      </c>
      <c r="BL90" s="269">
        <v>0</v>
      </c>
      <c r="BM90" s="269">
        <v>0</v>
      </c>
      <c r="BN90" s="269">
        <v>0</v>
      </c>
      <c r="BO90" s="269">
        <v>0</v>
      </c>
      <c r="BP90" s="269">
        <v>0</v>
      </c>
      <c r="BQ90" s="269">
        <v>0</v>
      </c>
      <c r="BR90" s="269">
        <v>0</v>
      </c>
      <c r="BS90" s="269">
        <v>0</v>
      </c>
      <c r="BT90" s="269">
        <v>0</v>
      </c>
      <c r="BU90" s="269">
        <v>0</v>
      </c>
      <c r="BV90" s="269">
        <v>0</v>
      </c>
      <c r="BW90" s="269">
        <v>0</v>
      </c>
      <c r="BX90" s="269">
        <v>0</v>
      </c>
      <c r="BY90" s="269">
        <v>0</v>
      </c>
      <c r="BZ90" s="269">
        <v>0</v>
      </c>
      <c r="CA90" s="269">
        <v>0</v>
      </c>
      <c r="CB90" s="269">
        <v>0</v>
      </c>
      <c r="CC90" s="269">
        <v>0</v>
      </c>
      <c r="CD90" s="269">
        <v>0</v>
      </c>
      <c r="CE90" s="269">
        <v>0</v>
      </c>
      <c r="CF90" s="269">
        <v>0</v>
      </c>
      <c r="CG90" s="269">
        <v>0</v>
      </c>
      <c r="CH90" s="269">
        <v>0</v>
      </c>
      <c r="CI90" s="269">
        <v>0</v>
      </c>
      <c r="CJ90" s="269">
        <v>0</v>
      </c>
      <c r="CK90" s="326"/>
    </row>
    <row r="91" spans="1:90" s="50" customFormat="1" x14ac:dyDescent="0.3">
      <c r="A91" s="38"/>
      <c r="B91" s="45" t="s">
        <v>161</v>
      </c>
      <c r="C91" s="269">
        <v>0</v>
      </c>
      <c r="D91" s="269">
        <v>0</v>
      </c>
      <c r="E91" s="269">
        <v>0</v>
      </c>
      <c r="F91" s="269">
        <v>0</v>
      </c>
      <c r="G91" s="269">
        <v>0</v>
      </c>
      <c r="H91" s="269">
        <v>0</v>
      </c>
      <c r="I91" s="269">
        <v>0</v>
      </c>
      <c r="J91" s="269">
        <v>1023.4</v>
      </c>
      <c r="K91" s="269">
        <v>1023.4</v>
      </c>
      <c r="L91" s="269">
        <v>1016.4</v>
      </c>
      <c r="M91" s="269">
        <v>1016.4</v>
      </c>
      <c r="N91" s="269">
        <v>1016.4</v>
      </c>
      <c r="O91" s="269">
        <v>1002.5</v>
      </c>
      <c r="P91" s="269">
        <v>1002.5</v>
      </c>
      <c r="Q91" s="269">
        <v>1002.5</v>
      </c>
      <c r="R91" s="269">
        <v>986.1</v>
      </c>
      <c r="S91" s="269">
        <v>986.1</v>
      </c>
      <c r="T91" s="269">
        <v>986.1</v>
      </c>
      <c r="U91" s="269">
        <v>967.5</v>
      </c>
      <c r="V91" s="269">
        <v>967.5</v>
      </c>
      <c r="W91" s="269">
        <v>967.5</v>
      </c>
      <c r="X91" s="269">
        <v>937.5</v>
      </c>
      <c r="Y91" s="269">
        <v>937.5</v>
      </c>
      <c r="Z91" s="269">
        <v>937.5</v>
      </c>
      <c r="AA91" s="269">
        <v>872.1</v>
      </c>
      <c r="AB91" s="269">
        <v>872.1</v>
      </c>
      <c r="AC91" s="269">
        <v>872.1</v>
      </c>
      <c r="AD91" s="269">
        <v>808</v>
      </c>
      <c r="AE91" s="269">
        <v>808</v>
      </c>
      <c r="AF91" s="269">
        <v>808</v>
      </c>
      <c r="AG91" s="269">
        <v>761.7</v>
      </c>
      <c r="AH91" s="269">
        <v>761.7</v>
      </c>
      <c r="AI91" s="269">
        <v>761.7</v>
      </c>
      <c r="AJ91" s="269">
        <v>704.6</v>
      </c>
      <c r="AK91" s="269">
        <v>704.6</v>
      </c>
      <c r="AL91" s="269">
        <v>704.6</v>
      </c>
      <c r="AM91" s="269">
        <v>651.79999999999995</v>
      </c>
      <c r="AN91" s="269">
        <v>651.79999999999995</v>
      </c>
      <c r="AO91" s="269">
        <v>651.79999999999995</v>
      </c>
      <c r="AP91" s="269">
        <v>601</v>
      </c>
      <c r="AQ91" s="269">
        <v>601</v>
      </c>
      <c r="AR91" s="269">
        <v>601</v>
      </c>
      <c r="AS91" s="269">
        <v>550.9</v>
      </c>
      <c r="AT91" s="269">
        <v>550.9</v>
      </c>
      <c r="AU91" s="269">
        <v>550.9</v>
      </c>
      <c r="AV91" s="269">
        <v>493.3</v>
      </c>
      <c r="AW91" s="269">
        <v>493.3</v>
      </c>
      <c r="AX91" s="269">
        <v>493.3</v>
      </c>
      <c r="AY91" s="269">
        <v>399.1</v>
      </c>
      <c r="AZ91" s="269">
        <v>399.1</v>
      </c>
      <c r="BA91" s="269">
        <v>399.1</v>
      </c>
      <c r="BB91" s="269">
        <v>286.10000000000002</v>
      </c>
      <c r="BC91" s="269">
        <v>286.10000000000002</v>
      </c>
      <c r="BD91" s="269">
        <v>286.10000000000002</v>
      </c>
      <c r="BE91" s="269">
        <v>157.19999999999999</v>
      </c>
      <c r="BF91" s="269">
        <v>157.19999999999999</v>
      </c>
      <c r="BG91" s="269">
        <v>157.19999999999999</v>
      </c>
      <c r="BH91" s="269">
        <v>45.3</v>
      </c>
      <c r="BI91" s="269">
        <v>45.3</v>
      </c>
      <c r="BJ91" s="269">
        <v>45.3</v>
      </c>
      <c r="BK91" s="269">
        <v>14.4</v>
      </c>
      <c r="BL91" s="269">
        <v>14.4</v>
      </c>
      <c r="BM91" s="269">
        <v>14.4</v>
      </c>
      <c r="BN91" s="269">
        <v>7.4</v>
      </c>
      <c r="BO91" s="269">
        <v>7.4</v>
      </c>
      <c r="BP91" s="269">
        <v>7.4</v>
      </c>
      <c r="BQ91" s="269">
        <v>0.4</v>
      </c>
      <c r="BR91" s="269">
        <v>0.4</v>
      </c>
      <c r="BS91" s="269">
        <v>0.4</v>
      </c>
      <c r="BT91" s="269">
        <v>0</v>
      </c>
      <c r="BU91" s="269">
        <v>0</v>
      </c>
      <c r="BV91" s="269">
        <v>0</v>
      </c>
      <c r="BW91" s="269">
        <v>0</v>
      </c>
      <c r="BX91" s="269">
        <v>0</v>
      </c>
      <c r="BY91" s="269">
        <v>0</v>
      </c>
      <c r="BZ91" s="269">
        <v>0</v>
      </c>
      <c r="CA91" s="269">
        <v>0</v>
      </c>
      <c r="CB91" s="269">
        <v>0</v>
      </c>
      <c r="CC91" s="269">
        <v>0</v>
      </c>
      <c r="CD91" s="269">
        <v>0</v>
      </c>
      <c r="CE91" s="269">
        <v>0</v>
      </c>
      <c r="CF91" s="269">
        <v>0</v>
      </c>
      <c r="CG91" s="269">
        <v>0</v>
      </c>
      <c r="CH91" s="269">
        <v>0</v>
      </c>
      <c r="CI91" s="269">
        <v>0</v>
      </c>
      <c r="CJ91" s="269">
        <v>0</v>
      </c>
      <c r="CK91" s="326"/>
    </row>
    <row r="92" spans="1:90" x14ac:dyDescent="0.3">
      <c r="A92" s="38"/>
      <c r="B92" s="45" t="s">
        <v>55</v>
      </c>
      <c r="C92" s="267">
        <v>7417.1</v>
      </c>
      <c r="D92" s="267">
        <v>7417.1</v>
      </c>
      <c r="E92" s="267">
        <v>7417.1</v>
      </c>
      <c r="F92" s="267">
        <v>7417.1</v>
      </c>
      <c r="G92" s="267">
        <v>7417.1</v>
      </c>
      <c r="H92" s="267">
        <v>7417.1</v>
      </c>
      <c r="I92" s="267">
        <v>7417.1</v>
      </c>
      <c r="J92" s="267">
        <v>7417.1</v>
      </c>
      <c r="K92" s="267">
        <v>7417.1</v>
      </c>
      <c r="L92" s="267">
        <v>7417.1</v>
      </c>
      <c r="M92" s="267">
        <v>7417.1</v>
      </c>
      <c r="N92" s="267">
        <v>7368.4</v>
      </c>
      <c r="O92" s="267">
        <v>7368.4</v>
      </c>
      <c r="P92" s="267">
        <v>7368.4</v>
      </c>
      <c r="Q92" s="267">
        <v>7368.4</v>
      </c>
      <c r="R92" s="267">
        <v>7368.4</v>
      </c>
      <c r="S92" s="267">
        <v>7368.4</v>
      </c>
      <c r="T92" s="267">
        <v>7368.4</v>
      </c>
      <c r="U92" s="267">
        <v>7368.4</v>
      </c>
      <c r="V92" s="267">
        <v>7368.4</v>
      </c>
      <c r="W92" s="267">
        <v>7368.4</v>
      </c>
      <c r="X92" s="267">
        <v>7367.8</v>
      </c>
      <c r="Y92" s="267">
        <v>7367.8</v>
      </c>
      <c r="Z92" s="267">
        <v>7080.5</v>
      </c>
      <c r="AA92" s="267">
        <v>7080.5</v>
      </c>
      <c r="AB92" s="267">
        <v>7080.5</v>
      </c>
      <c r="AC92" s="267">
        <v>7080.5</v>
      </c>
      <c r="AD92" s="267">
        <v>7080.5</v>
      </c>
      <c r="AE92" s="267">
        <v>7080.5</v>
      </c>
      <c r="AF92" s="267">
        <v>7080.5</v>
      </c>
      <c r="AG92" s="267">
        <v>7080.5</v>
      </c>
      <c r="AH92" s="267">
        <v>7080.5</v>
      </c>
      <c r="AI92" s="267">
        <v>7080.5</v>
      </c>
      <c r="AJ92" s="267">
        <v>7080.5</v>
      </c>
      <c r="AK92" s="267">
        <v>7080.5</v>
      </c>
      <c r="AL92" s="267">
        <v>6410.4</v>
      </c>
      <c r="AM92" s="267">
        <v>6410.4</v>
      </c>
      <c r="AN92" s="267">
        <v>6410.4</v>
      </c>
      <c r="AO92" s="267">
        <v>6410.4</v>
      </c>
      <c r="AP92" s="267">
        <v>6410.4</v>
      </c>
      <c r="AQ92" s="267">
        <v>6410.4</v>
      </c>
      <c r="AR92" s="267">
        <v>6410.4</v>
      </c>
      <c r="AS92" s="267">
        <v>6410.4</v>
      </c>
      <c r="AT92" s="267">
        <v>6410.4</v>
      </c>
      <c r="AU92" s="267">
        <v>6410.4</v>
      </c>
      <c r="AV92" s="267">
        <v>6410.4</v>
      </c>
      <c r="AW92" s="267">
        <v>6410.4</v>
      </c>
      <c r="AX92" s="267">
        <v>5096.8</v>
      </c>
      <c r="AY92" s="267">
        <v>5096.8</v>
      </c>
      <c r="AZ92" s="267">
        <v>5096.8</v>
      </c>
      <c r="BA92" s="267">
        <v>5096.8</v>
      </c>
      <c r="BB92" s="267">
        <v>5096.8</v>
      </c>
      <c r="BC92" s="267">
        <v>5096.8</v>
      </c>
      <c r="BD92" s="267">
        <v>5096.8</v>
      </c>
      <c r="BE92" s="267">
        <v>5096.8</v>
      </c>
      <c r="BF92" s="267">
        <v>5096.8</v>
      </c>
      <c r="BG92" s="267">
        <v>5096.8</v>
      </c>
      <c r="BH92" s="267">
        <v>5096.8</v>
      </c>
      <c r="BI92" s="267">
        <v>5096.8</v>
      </c>
      <c r="BJ92" s="267">
        <v>4658.8999999999996</v>
      </c>
      <c r="BK92" s="267">
        <v>4658.8999999999996</v>
      </c>
      <c r="BL92" s="267">
        <v>4658.8999999999996</v>
      </c>
      <c r="BM92" s="267">
        <v>4658.8999999999996</v>
      </c>
      <c r="BN92" s="267">
        <v>4658.8999999999996</v>
      </c>
      <c r="BO92" s="267">
        <v>4658.8999999999996</v>
      </c>
      <c r="BP92" s="267">
        <v>4658.8999999999996</v>
      </c>
      <c r="BQ92" s="267">
        <v>4658.8999999999996</v>
      </c>
      <c r="BR92" s="267">
        <v>4658.8999999999996</v>
      </c>
      <c r="BS92" s="267">
        <v>4658.8999999999996</v>
      </c>
      <c r="BT92" s="267">
        <v>4658.8999999999996</v>
      </c>
      <c r="BU92" s="267">
        <v>4658.8999999999996</v>
      </c>
      <c r="BV92" s="267">
        <v>4380.1000000000004</v>
      </c>
      <c r="BW92" s="267">
        <v>4380.1000000000004</v>
      </c>
      <c r="BX92" s="267">
        <v>4380.1000000000004</v>
      </c>
      <c r="BY92" s="267">
        <v>4380.1000000000004</v>
      </c>
      <c r="BZ92" s="267">
        <v>4380.1000000000004</v>
      </c>
      <c r="CA92" s="267">
        <v>4380.1000000000004</v>
      </c>
      <c r="CB92" s="267">
        <v>4380.1000000000004</v>
      </c>
      <c r="CC92" s="267">
        <v>4380.1000000000004</v>
      </c>
      <c r="CD92" s="267">
        <v>4380.1000000000004</v>
      </c>
      <c r="CE92" s="267">
        <v>4380.1000000000004</v>
      </c>
      <c r="CF92" s="267">
        <v>4380.1000000000004</v>
      </c>
      <c r="CG92" s="267">
        <v>4380.1000000000004</v>
      </c>
      <c r="CH92" s="267">
        <v>4092</v>
      </c>
      <c r="CI92" s="267">
        <v>4092</v>
      </c>
      <c r="CJ92" s="267">
        <v>4092</v>
      </c>
      <c r="CK92" s="325"/>
    </row>
    <row r="93" spans="1:90" x14ac:dyDescent="0.3">
      <c r="A93" s="38"/>
      <c r="B93" s="45" t="s">
        <v>151</v>
      </c>
      <c r="C93" s="267">
        <v>0</v>
      </c>
      <c r="D93" s="267">
        <v>0</v>
      </c>
      <c r="E93" s="267">
        <v>0</v>
      </c>
      <c r="F93" s="267">
        <v>0</v>
      </c>
      <c r="G93" s="267">
        <v>0</v>
      </c>
      <c r="H93" s="267">
        <v>0</v>
      </c>
      <c r="I93" s="267">
        <v>0</v>
      </c>
      <c r="J93" s="267">
        <v>0</v>
      </c>
      <c r="K93" s="267">
        <v>0</v>
      </c>
      <c r="L93" s="267">
        <v>0</v>
      </c>
      <c r="M93" s="267">
        <v>0</v>
      </c>
      <c r="N93" s="267">
        <v>0</v>
      </c>
      <c r="O93" s="267">
        <v>0</v>
      </c>
      <c r="P93" s="267">
        <v>0</v>
      </c>
      <c r="Q93" s="267">
        <v>0</v>
      </c>
      <c r="R93" s="267">
        <v>0</v>
      </c>
      <c r="S93" s="267">
        <v>0</v>
      </c>
      <c r="T93" s="267">
        <v>0</v>
      </c>
      <c r="U93" s="267">
        <v>0</v>
      </c>
      <c r="V93" s="267">
        <v>0</v>
      </c>
      <c r="W93" s="267">
        <v>0</v>
      </c>
      <c r="X93" s="267">
        <v>0</v>
      </c>
      <c r="Y93" s="267">
        <v>0</v>
      </c>
      <c r="Z93" s="267">
        <v>0</v>
      </c>
      <c r="AA93" s="267">
        <v>0</v>
      </c>
      <c r="AB93" s="267">
        <v>0</v>
      </c>
      <c r="AC93" s="267">
        <v>0</v>
      </c>
      <c r="AD93" s="267">
        <v>0</v>
      </c>
      <c r="AE93" s="267">
        <v>0</v>
      </c>
      <c r="AF93" s="267">
        <v>0</v>
      </c>
      <c r="AG93" s="267">
        <v>0</v>
      </c>
      <c r="AH93" s="267">
        <v>0</v>
      </c>
      <c r="AI93" s="267">
        <v>0</v>
      </c>
      <c r="AJ93" s="267">
        <v>0</v>
      </c>
      <c r="AK93" s="267">
        <v>0</v>
      </c>
      <c r="AL93" s="267">
        <v>0</v>
      </c>
      <c r="AM93" s="267">
        <v>0</v>
      </c>
      <c r="AN93" s="267">
        <v>0</v>
      </c>
      <c r="AO93" s="267">
        <v>0</v>
      </c>
      <c r="AP93" s="267">
        <v>0</v>
      </c>
      <c r="AQ93" s="267">
        <v>0</v>
      </c>
      <c r="AR93" s="267">
        <v>0</v>
      </c>
      <c r="AS93" s="267">
        <v>0</v>
      </c>
      <c r="AT93" s="267">
        <v>0</v>
      </c>
      <c r="AU93" s="267">
        <v>0</v>
      </c>
      <c r="AV93" s="267">
        <v>0</v>
      </c>
      <c r="AW93" s="267">
        <v>0</v>
      </c>
      <c r="AX93" s="267">
        <v>0</v>
      </c>
      <c r="AY93" s="267">
        <v>0</v>
      </c>
      <c r="AZ93" s="267">
        <v>0</v>
      </c>
      <c r="BA93" s="267">
        <v>0</v>
      </c>
      <c r="BB93" s="267">
        <v>0</v>
      </c>
      <c r="BC93" s="267">
        <v>0</v>
      </c>
      <c r="BD93" s="267">
        <v>0</v>
      </c>
      <c r="BE93" s="267">
        <v>0</v>
      </c>
      <c r="BF93" s="267">
        <v>0</v>
      </c>
      <c r="BG93" s="267">
        <v>0</v>
      </c>
      <c r="BH93" s="267">
        <v>0</v>
      </c>
      <c r="BI93" s="267">
        <v>0</v>
      </c>
      <c r="BJ93" s="267">
        <v>0</v>
      </c>
      <c r="BK93" s="267">
        <v>0</v>
      </c>
      <c r="BL93" s="267">
        <v>0</v>
      </c>
      <c r="BM93" s="267">
        <v>0</v>
      </c>
      <c r="BN93" s="267">
        <v>0</v>
      </c>
      <c r="BO93" s="267">
        <v>0</v>
      </c>
      <c r="BP93" s="267">
        <v>0</v>
      </c>
      <c r="BQ93" s="267">
        <v>0</v>
      </c>
      <c r="BR93" s="267">
        <v>0</v>
      </c>
      <c r="BS93" s="267">
        <v>0</v>
      </c>
      <c r="BT93" s="267">
        <v>0</v>
      </c>
      <c r="BU93" s="267">
        <v>0</v>
      </c>
      <c r="BV93" s="267">
        <v>0</v>
      </c>
      <c r="BW93" s="267">
        <v>0</v>
      </c>
      <c r="BX93" s="267">
        <v>0</v>
      </c>
      <c r="BY93" s="267">
        <v>0</v>
      </c>
      <c r="BZ93" s="267">
        <v>0</v>
      </c>
      <c r="CA93" s="267">
        <v>0</v>
      </c>
      <c r="CB93" s="267">
        <v>0</v>
      </c>
      <c r="CC93" s="267">
        <v>0</v>
      </c>
      <c r="CD93" s="267">
        <v>0</v>
      </c>
      <c r="CE93" s="267">
        <v>0</v>
      </c>
      <c r="CF93" s="267">
        <v>0</v>
      </c>
      <c r="CG93" s="267">
        <v>0</v>
      </c>
      <c r="CH93" s="267">
        <v>0</v>
      </c>
      <c r="CI93" s="267">
        <v>0</v>
      </c>
      <c r="CJ93" s="267">
        <v>1228.2</v>
      </c>
      <c r="CK93" s="325"/>
    </row>
    <row r="94" spans="1:90" x14ac:dyDescent="0.3">
      <c r="A94" s="38"/>
      <c r="B94" s="45"/>
      <c r="C94" s="267"/>
      <c r="D94" s="267"/>
      <c r="E94" s="267"/>
      <c r="F94" s="267"/>
      <c r="G94" s="267"/>
      <c r="H94" s="267"/>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7"/>
      <c r="AZ94" s="267"/>
      <c r="BA94" s="267"/>
      <c r="BB94" s="267"/>
      <c r="BC94" s="267"/>
      <c r="BD94" s="267"/>
      <c r="BE94" s="267"/>
      <c r="BF94" s="267"/>
      <c r="BG94" s="267"/>
      <c r="BH94" s="267"/>
      <c r="BI94" s="267"/>
      <c r="BJ94" s="267"/>
      <c r="BK94" s="267"/>
      <c r="BL94" s="267"/>
      <c r="BM94" s="267"/>
      <c r="BN94" s="267"/>
      <c r="BO94" s="267"/>
      <c r="BP94" s="267"/>
      <c r="BQ94" s="267"/>
      <c r="BR94" s="267"/>
      <c r="BS94" s="267"/>
      <c r="BT94" s="267"/>
      <c r="BU94" s="267"/>
      <c r="BV94" s="267"/>
      <c r="BW94" s="267"/>
      <c r="BX94" s="267"/>
      <c r="BY94" s="267"/>
      <c r="BZ94" s="267"/>
      <c r="CA94" s="267"/>
      <c r="CB94" s="267"/>
      <c r="CC94" s="267"/>
      <c r="CD94" s="267"/>
      <c r="CE94" s="267"/>
      <c r="CF94" s="267"/>
      <c r="CG94" s="267"/>
      <c r="CH94" s="267"/>
      <c r="CI94" s="267"/>
      <c r="CJ94" s="267"/>
      <c r="CK94" s="325"/>
    </row>
    <row r="95" spans="1:90" ht="16.2" x14ac:dyDescent="0.3">
      <c r="A95" s="38"/>
      <c r="B95" s="33" t="s">
        <v>154</v>
      </c>
      <c r="C95" s="34">
        <f t="shared" ref="C95:U95" si="220">+C97+C99+C110+C114+C116+C121</f>
        <v>61442.8</v>
      </c>
      <c r="D95" s="34">
        <f t="shared" si="220"/>
        <v>61419.999999999993</v>
      </c>
      <c r="E95" s="34">
        <f t="shared" si="220"/>
        <v>60737.9</v>
      </c>
      <c r="F95" s="34">
        <f t="shared" si="220"/>
        <v>71608.700000000012</v>
      </c>
      <c r="G95" s="34">
        <f t="shared" si="220"/>
        <v>70448.5</v>
      </c>
      <c r="H95" s="34">
        <f t="shared" si="220"/>
        <v>71211.100000000006</v>
      </c>
      <c r="I95" s="34">
        <f t="shared" si="220"/>
        <v>76491.700000000012</v>
      </c>
      <c r="J95" s="34">
        <f t="shared" si="220"/>
        <v>75521.900000000009</v>
      </c>
      <c r="K95" s="34">
        <f t="shared" si="220"/>
        <v>75351.999999999985</v>
      </c>
      <c r="L95" s="34">
        <f t="shared" si="220"/>
        <v>77540.900000000009</v>
      </c>
      <c r="M95" s="34">
        <f t="shared" si="220"/>
        <v>77364.700000000012</v>
      </c>
      <c r="N95" s="34">
        <f t="shared" si="220"/>
        <v>79052.400000000009</v>
      </c>
      <c r="O95" s="34">
        <f t="shared" si="220"/>
        <v>78705.100000000006</v>
      </c>
      <c r="P95" s="34">
        <f t="shared" si="220"/>
        <v>78329.099999999991</v>
      </c>
      <c r="Q95" s="34">
        <f t="shared" si="220"/>
        <v>77812.599999999991</v>
      </c>
      <c r="R95" s="34">
        <f t="shared" si="220"/>
        <v>78035.7</v>
      </c>
      <c r="S95" s="34">
        <f t="shared" si="220"/>
        <v>78296.099999999991</v>
      </c>
      <c r="T95" s="34">
        <f t="shared" si="220"/>
        <v>78828.099999999991</v>
      </c>
      <c r="U95" s="34">
        <f t="shared" si="220"/>
        <v>79887</v>
      </c>
      <c r="V95" s="34">
        <f t="shared" ref="V95" si="221">+V97+V99+V110+V114+V116+V121</f>
        <v>79996.399999999994</v>
      </c>
      <c r="W95" s="34">
        <f t="shared" ref="W95:AT95" si="222">+W97+W99+W110+W114+W116+W121</f>
        <v>79596.099999999991</v>
      </c>
      <c r="X95" s="34">
        <f t="shared" si="222"/>
        <v>79661.799999999988</v>
      </c>
      <c r="Y95" s="34">
        <f t="shared" si="222"/>
        <v>80125.500000000015</v>
      </c>
      <c r="Z95" s="34">
        <f t="shared" si="222"/>
        <v>81615.900000000009</v>
      </c>
      <c r="AA95" s="34">
        <f t="shared" si="222"/>
        <v>81293.5</v>
      </c>
      <c r="AB95" s="34">
        <f t="shared" si="222"/>
        <v>81079.999999999985</v>
      </c>
      <c r="AC95" s="34">
        <f t="shared" si="222"/>
        <v>80188.499999999985</v>
      </c>
      <c r="AD95" s="34">
        <f t="shared" si="222"/>
        <v>80614.399999999994</v>
      </c>
      <c r="AE95" s="34">
        <f t="shared" si="222"/>
        <v>80884</v>
      </c>
      <c r="AF95" s="34">
        <f t="shared" si="222"/>
        <v>80267.8</v>
      </c>
      <c r="AG95" s="34">
        <f t="shared" si="222"/>
        <v>79962.099999999991</v>
      </c>
      <c r="AH95" s="34">
        <f t="shared" si="222"/>
        <v>79658.399999999994</v>
      </c>
      <c r="AI95" s="34">
        <f t="shared" si="222"/>
        <v>77326.199999999983</v>
      </c>
      <c r="AJ95" s="34">
        <f t="shared" si="222"/>
        <v>78781.7</v>
      </c>
      <c r="AK95" s="34">
        <f t="shared" si="222"/>
        <v>79439</v>
      </c>
      <c r="AL95" s="34">
        <f t="shared" si="222"/>
        <v>78102.100000000006</v>
      </c>
      <c r="AM95" s="34">
        <f t="shared" si="222"/>
        <v>76972.700000000012</v>
      </c>
      <c r="AN95" s="34">
        <f t="shared" si="222"/>
        <v>76792.499999999985</v>
      </c>
      <c r="AO95" s="34">
        <f t="shared" si="222"/>
        <v>83192.600000000006</v>
      </c>
      <c r="AP95" s="34">
        <f t="shared" si="222"/>
        <v>81000.599999999977</v>
      </c>
      <c r="AQ95" s="34">
        <f t="shared" si="222"/>
        <v>81085</v>
      </c>
      <c r="AR95" s="34">
        <f t="shared" si="222"/>
        <v>81764.899999999994</v>
      </c>
      <c r="AS95" s="34">
        <f t="shared" si="222"/>
        <v>79585.599999999991</v>
      </c>
      <c r="AT95" s="34">
        <f t="shared" si="222"/>
        <v>79030</v>
      </c>
      <c r="AU95" s="34">
        <f t="shared" ref="AU95" si="223">+AU97+AU99+AU110+AU114+AU116+AU121</f>
        <v>75568</v>
      </c>
      <c r="AV95" s="34">
        <f t="shared" ref="AV95:BA95" si="224">+AV97+AV99+AV110+AV114+AV116+AV121</f>
        <v>79282.89999999998</v>
      </c>
      <c r="AW95" s="34">
        <f t="shared" si="224"/>
        <v>80456.499999999985</v>
      </c>
      <c r="AX95" s="34">
        <f t="shared" si="224"/>
        <v>85981.499999999985</v>
      </c>
      <c r="AY95" s="34">
        <f t="shared" si="224"/>
        <v>83633.100000000006</v>
      </c>
      <c r="AZ95" s="34">
        <f t="shared" si="224"/>
        <v>82750.999999999985</v>
      </c>
      <c r="BA95" s="34">
        <f t="shared" si="224"/>
        <v>86322.3</v>
      </c>
      <c r="BB95" s="34">
        <f t="shared" ref="BB95:BI95" si="225">+BB97+BB99+BB110+BB114+BB116+BB121</f>
        <v>83723.900000000009</v>
      </c>
      <c r="BC95" s="34">
        <f t="shared" si="225"/>
        <v>82927</v>
      </c>
      <c r="BD95" s="34">
        <f t="shared" si="225"/>
        <v>80777.8</v>
      </c>
      <c r="BE95" s="34">
        <f t="shared" si="225"/>
        <v>78895.199999999997</v>
      </c>
      <c r="BF95" s="34">
        <f t="shared" si="225"/>
        <v>84567.299999999988</v>
      </c>
      <c r="BG95" s="34">
        <f t="shared" si="225"/>
        <v>84035.3</v>
      </c>
      <c r="BH95" s="34">
        <f t="shared" si="225"/>
        <v>84354</v>
      </c>
      <c r="BI95" s="34">
        <f t="shared" si="225"/>
        <v>82895.099999999991</v>
      </c>
      <c r="BJ95" s="34">
        <f t="shared" ref="BJ95:BO95" si="226">+BJ97+BJ99+BJ110+BJ114+BJ116+BJ121</f>
        <v>82239.700000000012</v>
      </c>
      <c r="BK95" s="34">
        <f t="shared" si="226"/>
        <v>84238.8</v>
      </c>
      <c r="BL95" s="34">
        <f t="shared" si="226"/>
        <v>83201.7</v>
      </c>
      <c r="BM95" s="34">
        <f t="shared" si="226"/>
        <v>82797.499999999985</v>
      </c>
      <c r="BN95" s="34">
        <f t="shared" si="226"/>
        <v>80653.799999999988</v>
      </c>
      <c r="BO95" s="34">
        <f t="shared" si="226"/>
        <v>80988.299999999988</v>
      </c>
      <c r="BP95" s="34">
        <f t="shared" ref="BP95:CJ95" si="227">+BP97+BP99+BP110+BP114+BP116+BP121</f>
        <v>81433.799999999988</v>
      </c>
      <c r="BQ95" s="34">
        <f t="shared" ref="BQ95:CI95" si="228">+BQ97+BQ99+BQ110+BQ114+BQ116+BQ121</f>
        <v>81310.999999999985</v>
      </c>
      <c r="BR95" s="34">
        <f t="shared" si="228"/>
        <v>82522.799999999988</v>
      </c>
      <c r="BS95" s="34">
        <f t="shared" si="228"/>
        <v>82657.300000000017</v>
      </c>
      <c r="BT95" s="34">
        <f t="shared" si="228"/>
        <v>81890.100000000006</v>
      </c>
      <c r="BU95" s="34">
        <f t="shared" si="228"/>
        <v>81937.60000000002</v>
      </c>
      <c r="BV95" s="34">
        <f t="shared" si="228"/>
        <v>83152.500000000015</v>
      </c>
      <c r="BW95" s="34">
        <f t="shared" si="228"/>
        <v>82931.200000000012</v>
      </c>
      <c r="BX95" s="34">
        <f t="shared" si="228"/>
        <v>83031.999999999985</v>
      </c>
      <c r="BY95" s="34">
        <f t="shared" si="228"/>
        <v>83306.2</v>
      </c>
      <c r="BZ95" s="34">
        <f t="shared" si="228"/>
        <v>97830.39999999998</v>
      </c>
      <c r="CA95" s="34">
        <f t="shared" si="228"/>
        <v>98386.299999999974</v>
      </c>
      <c r="CB95" s="34">
        <f t="shared" si="228"/>
        <v>99335.5</v>
      </c>
      <c r="CC95" s="34">
        <f t="shared" si="228"/>
        <v>99554.699999999983</v>
      </c>
      <c r="CD95" s="34">
        <f t="shared" si="228"/>
        <v>102394.6</v>
      </c>
      <c r="CE95" s="34">
        <f t="shared" si="228"/>
        <v>101996.6</v>
      </c>
      <c r="CF95" s="34">
        <f t="shared" si="228"/>
        <v>102383.09999999999</v>
      </c>
      <c r="CG95" s="34">
        <f t="shared" si="228"/>
        <v>102309.40000000001</v>
      </c>
      <c r="CH95" s="34">
        <f t="shared" si="228"/>
        <v>102857.30000000002</v>
      </c>
      <c r="CI95" s="34">
        <f t="shared" si="228"/>
        <v>103646.3</v>
      </c>
      <c r="CJ95" s="34">
        <f t="shared" si="227"/>
        <v>103361.90000000001</v>
      </c>
      <c r="CK95" s="321">
        <f>+CJ95/$CJ$10</f>
        <v>0.21892459927219921</v>
      </c>
    </row>
    <row r="96" spans="1:90" x14ac:dyDescent="0.3">
      <c r="A96" s="38"/>
      <c r="B96" s="51"/>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64"/>
      <c r="AZ96" s="364"/>
      <c r="BA96" s="364"/>
      <c r="BB96" s="364"/>
      <c r="BC96" s="364"/>
      <c r="BD96" s="364"/>
      <c r="BE96" s="364"/>
      <c r="BF96" s="364"/>
      <c r="BG96" s="364"/>
      <c r="BH96" s="364"/>
      <c r="BI96" s="364"/>
      <c r="BJ96" s="364"/>
      <c r="BK96" s="364"/>
      <c r="BL96" s="364"/>
      <c r="BM96" s="364"/>
      <c r="BN96" s="364"/>
      <c r="BO96" s="364"/>
      <c r="BP96" s="364"/>
      <c r="BQ96" s="364"/>
      <c r="BR96" s="364"/>
      <c r="BS96" s="364"/>
      <c r="BT96" s="364"/>
      <c r="BU96" s="364"/>
      <c r="BV96" s="364"/>
      <c r="BW96" s="364"/>
      <c r="BX96" s="364"/>
      <c r="BY96" s="364"/>
      <c r="BZ96" s="364"/>
      <c r="CA96" s="364"/>
      <c r="CB96" s="364"/>
      <c r="CC96" s="364"/>
      <c r="CD96" s="364"/>
      <c r="CE96" s="364"/>
      <c r="CF96" s="364"/>
      <c r="CG96" s="364"/>
      <c r="CH96" s="364"/>
      <c r="CI96" s="364"/>
      <c r="CJ96" s="364"/>
      <c r="CK96" s="322"/>
    </row>
    <row r="97" spans="1:90" x14ac:dyDescent="0.3">
      <c r="A97" s="38"/>
      <c r="B97" s="52" t="s">
        <v>155</v>
      </c>
      <c r="C97" s="267">
        <v>718</v>
      </c>
      <c r="D97" s="267">
        <v>685</v>
      </c>
      <c r="E97" s="267">
        <v>637.9</v>
      </c>
      <c r="F97" s="267">
        <v>654.6</v>
      </c>
      <c r="G97" s="267">
        <v>668.4</v>
      </c>
      <c r="H97" s="267">
        <v>729.1</v>
      </c>
      <c r="I97" s="267">
        <v>726.3</v>
      </c>
      <c r="J97" s="267">
        <v>552.5</v>
      </c>
      <c r="K97" s="267">
        <v>584.4</v>
      </c>
      <c r="L97" s="267">
        <v>591.6</v>
      </c>
      <c r="M97" s="267">
        <v>616.79999999999995</v>
      </c>
      <c r="N97" s="267">
        <v>640.29999999999995</v>
      </c>
      <c r="O97" s="267">
        <v>661.1</v>
      </c>
      <c r="P97" s="267">
        <v>642.4</v>
      </c>
      <c r="Q97" s="267">
        <v>633.6</v>
      </c>
      <c r="R97" s="267">
        <v>627.20000000000005</v>
      </c>
      <c r="S97" s="267">
        <v>626.4</v>
      </c>
      <c r="T97" s="267">
        <v>618.29999999999995</v>
      </c>
      <c r="U97" s="267">
        <v>613.79999999999995</v>
      </c>
      <c r="V97" s="267">
        <v>610.6</v>
      </c>
      <c r="W97" s="267">
        <v>608.1</v>
      </c>
      <c r="X97" s="267">
        <v>607.9</v>
      </c>
      <c r="Y97" s="267">
        <v>604.79999999999995</v>
      </c>
      <c r="Z97" s="267">
        <v>605</v>
      </c>
      <c r="AA97" s="267">
        <v>604.29999999999995</v>
      </c>
      <c r="AB97" s="267">
        <v>609.5</v>
      </c>
      <c r="AC97" s="267">
        <v>619</v>
      </c>
      <c r="AD97" s="267">
        <v>633.79999999999995</v>
      </c>
      <c r="AE97" s="267">
        <v>654.6</v>
      </c>
      <c r="AF97" s="267">
        <v>671</v>
      </c>
      <c r="AG97" s="267">
        <v>686.2</v>
      </c>
      <c r="AH97" s="267">
        <v>699.8</v>
      </c>
      <c r="AI97" s="267">
        <v>711.5</v>
      </c>
      <c r="AJ97" s="267">
        <v>726</v>
      </c>
      <c r="AK97" s="267">
        <v>742</v>
      </c>
      <c r="AL97" s="267">
        <v>751</v>
      </c>
      <c r="AM97" s="267">
        <v>758.1</v>
      </c>
      <c r="AN97" s="267">
        <v>768</v>
      </c>
      <c r="AO97" s="267">
        <v>777.1</v>
      </c>
      <c r="AP97" s="267">
        <v>789.9</v>
      </c>
      <c r="AQ97" s="267">
        <v>806.9</v>
      </c>
      <c r="AR97" s="267">
        <v>816.6</v>
      </c>
      <c r="AS97" s="267">
        <v>820.4</v>
      </c>
      <c r="AT97" s="267">
        <v>825.6</v>
      </c>
      <c r="AU97" s="267">
        <v>832.4</v>
      </c>
      <c r="AV97" s="267">
        <v>834</v>
      </c>
      <c r="AW97" s="267">
        <v>830.4</v>
      </c>
      <c r="AX97" s="267">
        <v>828.6</v>
      </c>
      <c r="AY97" s="267">
        <v>824.7</v>
      </c>
      <c r="AZ97" s="267">
        <v>822.7</v>
      </c>
      <c r="BA97" s="267">
        <v>827.6</v>
      </c>
      <c r="BB97" s="267">
        <v>831.8</v>
      </c>
      <c r="BC97" s="267">
        <v>836.9</v>
      </c>
      <c r="BD97" s="267">
        <v>842.4</v>
      </c>
      <c r="BE97" s="267">
        <v>840.5</v>
      </c>
      <c r="BF97" s="267">
        <v>701.7</v>
      </c>
      <c r="BG97" s="267">
        <v>766.3</v>
      </c>
      <c r="BH97" s="267">
        <v>864.2</v>
      </c>
      <c r="BI97" s="267">
        <v>925.1</v>
      </c>
      <c r="BJ97" s="267">
        <v>456.8</v>
      </c>
      <c r="BK97" s="267">
        <v>532.70000000000005</v>
      </c>
      <c r="BL97" s="267">
        <v>638.5</v>
      </c>
      <c r="BM97" s="267">
        <v>736.7</v>
      </c>
      <c r="BN97" s="267">
        <v>806</v>
      </c>
      <c r="BO97" s="267">
        <v>868.6</v>
      </c>
      <c r="BP97" s="267">
        <v>906.9</v>
      </c>
      <c r="BQ97" s="267">
        <v>926.1</v>
      </c>
      <c r="BR97" s="267">
        <v>945.5</v>
      </c>
      <c r="BS97" s="267">
        <v>965.3</v>
      </c>
      <c r="BT97" s="267">
        <v>983</v>
      </c>
      <c r="BU97" s="267">
        <v>991.8</v>
      </c>
      <c r="BV97" s="267">
        <v>997.1</v>
      </c>
      <c r="BW97" s="267">
        <v>1002.2</v>
      </c>
      <c r="BX97" s="267">
        <v>1015</v>
      </c>
      <c r="BY97" s="267">
        <v>1030.3</v>
      </c>
      <c r="BZ97" s="267">
        <v>972.5</v>
      </c>
      <c r="CA97" s="267">
        <v>984.9</v>
      </c>
      <c r="CB97" s="267">
        <v>1006.7</v>
      </c>
      <c r="CC97" s="267">
        <v>903.2</v>
      </c>
      <c r="CD97" s="267">
        <v>938.5</v>
      </c>
      <c r="CE97" s="267">
        <v>926.1</v>
      </c>
      <c r="CF97" s="267">
        <v>894.9</v>
      </c>
      <c r="CG97" s="267">
        <v>909.4</v>
      </c>
      <c r="CH97" s="267">
        <v>926.1</v>
      </c>
      <c r="CI97" s="267">
        <v>958.4</v>
      </c>
      <c r="CJ97" s="267">
        <v>1011.3</v>
      </c>
      <c r="CK97" s="325">
        <f>+CJ97/$CJ$10</f>
        <v>2.1419734664704791E-3</v>
      </c>
    </row>
    <row r="98" spans="1:90" x14ac:dyDescent="0.3">
      <c r="A98" s="38"/>
      <c r="B98" s="51"/>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64"/>
      <c r="AZ98" s="364"/>
      <c r="BA98" s="364"/>
      <c r="BB98" s="364"/>
      <c r="BC98" s="364"/>
      <c r="BD98" s="364"/>
      <c r="BE98" s="364"/>
      <c r="BF98" s="364"/>
      <c r="BG98" s="364"/>
      <c r="BH98" s="364"/>
      <c r="BI98" s="364"/>
      <c r="BJ98" s="364"/>
      <c r="BK98" s="364"/>
      <c r="BL98" s="364"/>
      <c r="BM98" s="364"/>
      <c r="BN98" s="364"/>
      <c r="BO98" s="364"/>
      <c r="BP98" s="364"/>
      <c r="BQ98" s="364"/>
      <c r="BR98" s="364"/>
      <c r="BS98" s="364"/>
      <c r="BT98" s="364"/>
      <c r="BU98" s="364"/>
      <c r="BV98" s="364"/>
      <c r="BW98" s="364"/>
      <c r="BX98" s="364"/>
      <c r="BY98" s="364"/>
      <c r="BZ98" s="364"/>
      <c r="CA98" s="364"/>
      <c r="CB98" s="364"/>
      <c r="CC98" s="364"/>
      <c r="CD98" s="364"/>
      <c r="CE98" s="364"/>
      <c r="CF98" s="364"/>
      <c r="CG98" s="364"/>
      <c r="CH98" s="364"/>
      <c r="CI98" s="364"/>
      <c r="CJ98" s="364"/>
      <c r="CK98" s="322"/>
    </row>
    <row r="99" spans="1:90" x14ac:dyDescent="0.3">
      <c r="A99" s="38"/>
      <c r="B99" s="52" t="s">
        <v>33</v>
      </c>
      <c r="C99" s="268">
        <f t="shared" ref="C99:U99" si="229">+SUM(C100:C108)</f>
        <v>51226.9</v>
      </c>
      <c r="D99" s="268">
        <f t="shared" si="229"/>
        <v>51268.499999999993</v>
      </c>
      <c r="E99" s="268">
        <f t="shared" si="229"/>
        <v>50872</v>
      </c>
      <c r="F99" s="268">
        <f t="shared" si="229"/>
        <v>61740.899999999994</v>
      </c>
      <c r="G99" s="268">
        <f t="shared" si="229"/>
        <v>62173.7</v>
      </c>
      <c r="H99" s="268">
        <f t="shared" si="229"/>
        <v>62752.6</v>
      </c>
      <c r="I99" s="268">
        <f t="shared" si="229"/>
        <v>68092</v>
      </c>
      <c r="J99" s="268">
        <f t="shared" si="229"/>
        <v>67638.399999999994</v>
      </c>
      <c r="K99" s="268">
        <f t="shared" si="229"/>
        <v>67389.899999999994</v>
      </c>
      <c r="L99" s="268">
        <f t="shared" si="229"/>
        <v>67953.299999999988</v>
      </c>
      <c r="M99" s="268">
        <f t="shared" si="229"/>
        <v>67672.600000000006</v>
      </c>
      <c r="N99" s="268">
        <f t="shared" si="229"/>
        <v>68000.7</v>
      </c>
      <c r="O99" s="268">
        <f t="shared" si="229"/>
        <v>67772.599999999991</v>
      </c>
      <c r="P99" s="268">
        <f t="shared" si="229"/>
        <v>67603.7</v>
      </c>
      <c r="Q99" s="268">
        <f t="shared" si="229"/>
        <v>67200.299999999988</v>
      </c>
      <c r="R99" s="268">
        <f t="shared" si="229"/>
        <v>67501.2</v>
      </c>
      <c r="S99" s="268">
        <f t="shared" si="229"/>
        <v>67642.7</v>
      </c>
      <c r="T99" s="268">
        <f t="shared" si="229"/>
        <v>68254.799999999988</v>
      </c>
      <c r="U99" s="268">
        <f t="shared" si="229"/>
        <v>69445.7</v>
      </c>
      <c r="V99" s="268">
        <f t="shared" ref="V99" si="230">+SUM(V100:V108)</f>
        <v>69594.899999999994</v>
      </c>
      <c r="W99" s="268">
        <f t="shared" ref="W99" si="231">+SUM(W100:W108)</f>
        <v>69226.7</v>
      </c>
      <c r="X99" s="268">
        <f t="shared" ref="X99:AT99" si="232">+SUM(X100:X108)</f>
        <v>69375</v>
      </c>
      <c r="Y99" s="268">
        <f t="shared" si="232"/>
        <v>70062.8</v>
      </c>
      <c r="Z99" s="268">
        <f t="shared" si="232"/>
        <v>71268.100000000006</v>
      </c>
      <c r="AA99" s="268">
        <f t="shared" si="232"/>
        <v>71197.799999999988</v>
      </c>
      <c r="AB99" s="268">
        <f t="shared" si="232"/>
        <v>71056.199999999983</v>
      </c>
      <c r="AC99" s="268">
        <f t="shared" si="232"/>
        <v>70261.599999999991</v>
      </c>
      <c r="AD99" s="268">
        <f t="shared" si="232"/>
        <v>70849.299999999988</v>
      </c>
      <c r="AE99" s="268">
        <f t="shared" si="232"/>
        <v>71117.399999999994</v>
      </c>
      <c r="AF99" s="268">
        <f t="shared" si="232"/>
        <v>70563.5</v>
      </c>
      <c r="AG99" s="268">
        <f t="shared" si="232"/>
        <v>70613.099999999991</v>
      </c>
      <c r="AH99" s="268">
        <f t="shared" si="232"/>
        <v>70361.199999999983</v>
      </c>
      <c r="AI99" s="268">
        <f t="shared" si="232"/>
        <v>68063.7</v>
      </c>
      <c r="AJ99" s="268">
        <f t="shared" si="232"/>
        <v>68706.399999999994</v>
      </c>
      <c r="AK99" s="268">
        <f t="shared" si="232"/>
        <v>69401.5</v>
      </c>
      <c r="AL99" s="268">
        <f t="shared" si="232"/>
        <v>68065.399999999994</v>
      </c>
      <c r="AM99" s="268">
        <f t="shared" si="232"/>
        <v>67036.7</v>
      </c>
      <c r="AN99" s="268">
        <f t="shared" si="232"/>
        <v>67070.899999999994</v>
      </c>
      <c r="AO99" s="268">
        <f t="shared" si="232"/>
        <v>73561.099999999991</v>
      </c>
      <c r="AP99" s="268">
        <f t="shared" si="232"/>
        <v>71600.399999999994</v>
      </c>
      <c r="AQ99" s="268">
        <f t="shared" si="232"/>
        <v>71751</v>
      </c>
      <c r="AR99" s="268">
        <f t="shared" si="232"/>
        <v>72538.499999999985</v>
      </c>
      <c r="AS99" s="268">
        <f t="shared" si="232"/>
        <v>70505.599999999991</v>
      </c>
      <c r="AT99" s="268">
        <f t="shared" si="232"/>
        <v>70062.099999999991</v>
      </c>
      <c r="AU99" s="268">
        <f t="shared" ref="AU99" si="233">+SUM(AU100:AU108)</f>
        <v>66845.2</v>
      </c>
      <c r="AV99" s="268">
        <f t="shared" ref="AV99:BA99" si="234">+SUM(AV100:AV108)</f>
        <v>69408.099999999991</v>
      </c>
      <c r="AW99" s="268">
        <f t="shared" si="234"/>
        <v>70629.099999999991</v>
      </c>
      <c r="AX99" s="268">
        <f t="shared" si="234"/>
        <v>75511.7</v>
      </c>
      <c r="AY99" s="366">
        <f t="shared" si="234"/>
        <v>73244.3</v>
      </c>
      <c r="AZ99" s="366">
        <f t="shared" si="234"/>
        <v>72549.399999999994</v>
      </c>
      <c r="BA99" s="366">
        <f t="shared" si="234"/>
        <v>76342.599999999991</v>
      </c>
      <c r="BB99" s="366">
        <f t="shared" ref="BB99:BI99" si="235">+SUM(BB100:BB108)</f>
        <v>73866</v>
      </c>
      <c r="BC99" s="366">
        <f t="shared" si="235"/>
        <v>73274</v>
      </c>
      <c r="BD99" s="366">
        <f t="shared" si="235"/>
        <v>71108</v>
      </c>
      <c r="BE99" s="366">
        <f t="shared" si="235"/>
        <v>69381.8</v>
      </c>
      <c r="BF99" s="366">
        <f t="shared" si="235"/>
        <v>75635</v>
      </c>
      <c r="BG99" s="366">
        <f t="shared" si="235"/>
        <v>75066.3</v>
      </c>
      <c r="BH99" s="366">
        <f t="shared" si="235"/>
        <v>75208.900000000009</v>
      </c>
      <c r="BI99" s="366">
        <f t="shared" si="235"/>
        <v>73683.199999999997</v>
      </c>
      <c r="BJ99" s="366">
        <f t="shared" ref="BJ99:BO99" si="236">+SUM(BJ100:BJ108)</f>
        <v>74215.3</v>
      </c>
      <c r="BK99" s="366">
        <f t="shared" si="236"/>
        <v>76377.899999999994</v>
      </c>
      <c r="BL99" s="366">
        <f t="shared" si="236"/>
        <v>75217.3</v>
      </c>
      <c r="BM99" s="366">
        <f t="shared" si="236"/>
        <v>74865.100000000006</v>
      </c>
      <c r="BN99" s="366">
        <f t="shared" si="236"/>
        <v>72684.599999999991</v>
      </c>
      <c r="BO99" s="366">
        <f t="shared" si="236"/>
        <v>72954.2</v>
      </c>
      <c r="BP99" s="366">
        <f t="shared" ref="BP99:CJ99" si="237">+SUM(BP100:BP108)</f>
        <v>73379.899999999994</v>
      </c>
      <c r="BQ99" s="366">
        <f t="shared" ref="BQ99:CI99" si="238">+SUM(BQ100:BQ108)</f>
        <v>73446.699999999983</v>
      </c>
      <c r="BR99" s="366">
        <f t="shared" si="238"/>
        <v>74619.199999999997</v>
      </c>
      <c r="BS99" s="366">
        <f t="shared" si="238"/>
        <v>74917.5</v>
      </c>
      <c r="BT99" s="366">
        <f t="shared" si="238"/>
        <v>74134.899999999994</v>
      </c>
      <c r="BU99" s="366">
        <f t="shared" si="238"/>
        <v>74213.700000000012</v>
      </c>
      <c r="BV99" s="366">
        <f t="shared" si="238"/>
        <v>75486</v>
      </c>
      <c r="BW99" s="366">
        <f t="shared" si="238"/>
        <v>75480.500000000015</v>
      </c>
      <c r="BX99" s="366">
        <f t="shared" si="238"/>
        <v>75560.599999999991</v>
      </c>
      <c r="BY99" s="366">
        <f t="shared" si="238"/>
        <v>75983</v>
      </c>
      <c r="BZ99" s="366">
        <f t="shared" si="238"/>
        <v>90602.199999999983</v>
      </c>
      <c r="CA99" s="366">
        <f t="shared" si="238"/>
        <v>91177.599999999991</v>
      </c>
      <c r="CB99" s="366">
        <f t="shared" si="238"/>
        <v>92062.399999999994</v>
      </c>
      <c r="CC99" s="366">
        <f t="shared" si="238"/>
        <v>92756.699999999983</v>
      </c>
      <c r="CD99" s="366">
        <f t="shared" si="238"/>
        <v>95489.7</v>
      </c>
      <c r="CE99" s="366">
        <f t="shared" si="238"/>
        <v>95352.5</v>
      </c>
      <c r="CF99" s="366">
        <f t="shared" si="238"/>
        <v>94837.9</v>
      </c>
      <c r="CG99" s="366">
        <f t="shared" si="238"/>
        <v>94714.1</v>
      </c>
      <c r="CH99" s="366">
        <f t="shared" si="238"/>
        <v>96130.700000000012</v>
      </c>
      <c r="CI99" s="366">
        <f t="shared" si="238"/>
        <v>97095</v>
      </c>
      <c r="CJ99" s="366">
        <f t="shared" si="237"/>
        <v>96735.5</v>
      </c>
      <c r="CK99" s="325">
        <f>+CJ99/$CJ$10</f>
        <v>0.20488962154232676</v>
      </c>
    </row>
    <row r="100" spans="1:90" x14ac:dyDescent="0.3">
      <c r="A100" s="38"/>
      <c r="B100" s="45" t="s">
        <v>164</v>
      </c>
      <c r="C100" s="267">
        <v>2.6</v>
      </c>
      <c r="D100" s="267">
        <v>2.6</v>
      </c>
      <c r="E100" s="267">
        <v>2.6</v>
      </c>
      <c r="F100" s="267">
        <v>2.6</v>
      </c>
      <c r="G100" s="267">
        <v>2.6</v>
      </c>
      <c r="H100" s="267">
        <v>2.6</v>
      </c>
      <c r="I100" s="267">
        <v>2.6</v>
      </c>
      <c r="J100" s="267">
        <v>2.6</v>
      </c>
      <c r="K100" s="267">
        <v>2.6</v>
      </c>
      <c r="L100" s="267">
        <v>2.6</v>
      </c>
      <c r="M100" s="267">
        <v>2.6</v>
      </c>
      <c r="N100" s="267">
        <v>2.6</v>
      </c>
      <c r="O100" s="267">
        <v>2.6</v>
      </c>
      <c r="P100" s="267">
        <v>2.6</v>
      </c>
      <c r="Q100" s="267">
        <v>2.6</v>
      </c>
      <c r="R100" s="267">
        <v>2.6</v>
      </c>
      <c r="S100" s="267">
        <v>2.6</v>
      </c>
      <c r="T100" s="267">
        <v>2.6</v>
      </c>
      <c r="U100" s="267">
        <v>2.6</v>
      </c>
      <c r="V100" s="267">
        <v>2.6</v>
      </c>
      <c r="W100" s="267">
        <v>2.6</v>
      </c>
      <c r="X100" s="267">
        <v>2.6</v>
      </c>
      <c r="Y100" s="267">
        <v>2.6</v>
      </c>
      <c r="Z100" s="267">
        <v>2.6</v>
      </c>
      <c r="AA100" s="267">
        <v>2.6</v>
      </c>
      <c r="AB100" s="267">
        <v>2.6</v>
      </c>
      <c r="AC100" s="267">
        <v>2.6</v>
      </c>
      <c r="AD100" s="267">
        <v>6.9</v>
      </c>
      <c r="AE100" s="267">
        <v>6.9</v>
      </c>
      <c r="AF100" s="267">
        <v>6.8</v>
      </c>
      <c r="AG100" s="267">
        <v>6.8</v>
      </c>
      <c r="AH100" s="267">
        <v>6.8</v>
      </c>
      <c r="AI100" s="267">
        <v>6.8</v>
      </c>
      <c r="AJ100" s="267">
        <v>32.6</v>
      </c>
      <c r="AK100" s="267">
        <v>70.2</v>
      </c>
      <c r="AL100" s="267">
        <v>79.3</v>
      </c>
      <c r="AM100" s="267">
        <v>79.3</v>
      </c>
      <c r="AN100" s="267">
        <v>80.3</v>
      </c>
      <c r="AO100" s="267">
        <v>80.3</v>
      </c>
      <c r="AP100" s="267">
        <v>80.3</v>
      </c>
      <c r="AQ100" s="267">
        <v>80.3</v>
      </c>
      <c r="AR100" s="267">
        <v>79.8</v>
      </c>
      <c r="AS100" s="267">
        <v>89.3</v>
      </c>
      <c r="AT100" s="267">
        <v>89.3</v>
      </c>
      <c r="AU100" s="267">
        <v>89.3</v>
      </c>
      <c r="AV100" s="267">
        <v>89.3</v>
      </c>
      <c r="AW100" s="267">
        <v>89.3</v>
      </c>
      <c r="AX100" s="267">
        <v>138.30000000000001</v>
      </c>
      <c r="AY100" s="267">
        <v>138.30000000000001</v>
      </c>
      <c r="AZ100" s="267">
        <v>146.19999999999999</v>
      </c>
      <c r="BA100" s="267">
        <v>543.6</v>
      </c>
      <c r="BB100" s="267">
        <v>548.79999999999995</v>
      </c>
      <c r="BC100" s="267">
        <v>557.70000000000005</v>
      </c>
      <c r="BD100" s="267">
        <v>561.79999999999995</v>
      </c>
      <c r="BE100" s="267">
        <v>561.79999999999995</v>
      </c>
      <c r="BF100" s="267">
        <v>575.29999999999995</v>
      </c>
      <c r="BG100" s="267">
        <v>579.29999999999995</v>
      </c>
      <c r="BH100" s="267">
        <v>579.29999999999995</v>
      </c>
      <c r="BI100" s="267">
        <v>590.9</v>
      </c>
      <c r="BJ100" s="267">
        <v>589.6</v>
      </c>
      <c r="BK100" s="267">
        <v>589.6</v>
      </c>
      <c r="BL100" s="267">
        <v>589.6</v>
      </c>
      <c r="BM100" s="267">
        <v>589.6</v>
      </c>
      <c r="BN100" s="267">
        <v>585.6</v>
      </c>
      <c r="BO100" s="267">
        <v>602</v>
      </c>
      <c r="BP100" s="267">
        <v>600.6</v>
      </c>
      <c r="BQ100" s="267">
        <v>611.4</v>
      </c>
      <c r="BR100" s="267">
        <v>611.20000000000005</v>
      </c>
      <c r="BS100" s="267">
        <v>611.20000000000005</v>
      </c>
      <c r="BT100" s="267">
        <v>615.70000000000005</v>
      </c>
      <c r="BU100" s="267">
        <v>615.70000000000005</v>
      </c>
      <c r="BV100" s="267">
        <v>758.1</v>
      </c>
      <c r="BW100" s="267">
        <v>758.1</v>
      </c>
      <c r="BX100" s="267">
        <v>757</v>
      </c>
      <c r="BY100" s="267">
        <v>759.8</v>
      </c>
      <c r="BZ100" s="267">
        <v>759.8</v>
      </c>
      <c r="CA100" s="267">
        <v>759.8</v>
      </c>
      <c r="CB100" s="267">
        <v>844.5</v>
      </c>
      <c r="CC100" s="267">
        <v>844.5</v>
      </c>
      <c r="CD100" s="267">
        <v>843.4</v>
      </c>
      <c r="CE100" s="267">
        <v>843.4</v>
      </c>
      <c r="CF100" s="267">
        <v>943.3</v>
      </c>
      <c r="CG100" s="267">
        <v>956.5</v>
      </c>
      <c r="CH100" s="267">
        <v>955.1</v>
      </c>
      <c r="CI100" s="267">
        <v>959.1</v>
      </c>
      <c r="CJ100" s="267">
        <v>958</v>
      </c>
      <c r="CK100" s="325"/>
    </row>
    <row r="101" spans="1:90" x14ac:dyDescent="0.3">
      <c r="A101" s="38"/>
      <c r="B101" s="45" t="s">
        <v>80</v>
      </c>
      <c r="C101" s="267">
        <v>6857</v>
      </c>
      <c r="D101" s="267">
        <v>6900.1</v>
      </c>
      <c r="E101" s="267">
        <v>6802.9</v>
      </c>
      <c r="F101" s="267">
        <v>6859.7</v>
      </c>
      <c r="G101" s="267">
        <v>6891.9</v>
      </c>
      <c r="H101" s="267">
        <v>6960.7</v>
      </c>
      <c r="I101" s="267">
        <v>6988</v>
      </c>
      <c r="J101" s="267">
        <v>7022.4</v>
      </c>
      <c r="K101" s="267">
        <v>7060.9</v>
      </c>
      <c r="L101" s="267">
        <v>7048.9</v>
      </c>
      <c r="M101" s="267">
        <v>7053</v>
      </c>
      <c r="N101" s="267">
        <v>7127.8</v>
      </c>
      <c r="O101" s="267">
        <v>7127.2</v>
      </c>
      <c r="P101" s="267">
        <v>7164.8</v>
      </c>
      <c r="Q101" s="267">
        <v>7145.6</v>
      </c>
      <c r="R101" s="267">
        <v>7175.1</v>
      </c>
      <c r="S101" s="267">
        <v>7194.6</v>
      </c>
      <c r="T101" s="267">
        <v>7385.1</v>
      </c>
      <c r="U101" s="267">
        <v>7430.3</v>
      </c>
      <c r="V101" s="267">
        <v>7478.9</v>
      </c>
      <c r="W101" s="267">
        <v>7495</v>
      </c>
      <c r="X101" s="267">
        <v>7475</v>
      </c>
      <c r="Y101" s="267">
        <v>7503.5</v>
      </c>
      <c r="Z101" s="267">
        <v>7721.1</v>
      </c>
      <c r="AA101" s="267">
        <v>7706.9</v>
      </c>
      <c r="AB101" s="267">
        <v>7724.4</v>
      </c>
      <c r="AC101" s="267">
        <v>7738.4</v>
      </c>
      <c r="AD101" s="267">
        <v>7753.6</v>
      </c>
      <c r="AE101" s="267">
        <v>7824.5</v>
      </c>
      <c r="AF101" s="267">
        <v>7852.7</v>
      </c>
      <c r="AG101" s="267">
        <v>7840.9</v>
      </c>
      <c r="AH101" s="267">
        <v>7845.2</v>
      </c>
      <c r="AI101" s="267">
        <v>7805</v>
      </c>
      <c r="AJ101" s="267">
        <v>8182</v>
      </c>
      <c r="AK101" s="267">
        <v>8327.6</v>
      </c>
      <c r="AL101" s="267">
        <v>8517.4</v>
      </c>
      <c r="AM101" s="267">
        <v>8503.1</v>
      </c>
      <c r="AN101" s="267">
        <v>8556.7000000000007</v>
      </c>
      <c r="AO101" s="267">
        <v>8562.1</v>
      </c>
      <c r="AP101" s="267">
        <v>8585.2999999999993</v>
      </c>
      <c r="AQ101" s="267">
        <v>8640.7999999999993</v>
      </c>
      <c r="AR101" s="267">
        <v>8755.5</v>
      </c>
      <c r="AS101" s="267">
        <v>8766</v>
      </c>
      <c r="AT101" s="267">
        <v>8927.6</v>
      </c>
      <c r="AU101" s="267">
        <v>8948.5</v>
      </c>
      <c r="AV101" s="267">
        <v>8997.9</v>
      </c>
      <c r="AW101" s="267">
        <v>9058.7000000000007</v>
      </c>
      <c r="AX101" s="267">
        <v>9205.4</v>
      </c>
      <c r="AY101" s="267">
        <v>9218.2000000000007</v>
      </c>
      <c r="AZ101" s="267">
        <v>9232.2000000000007</v>
      </c>
      <c r="BA101" s="267">
        <v>9256</v>
      </c>
      <c r="BB101" s="267">
        <v>9304.4</v>
      </c>
      <c r="BC101" s="267">
        <v>9358.7000000000007</v>
      </c>
      <c r="BD101" s="267">
        <v>9386.2000000000007</v>
      </c>
      <c r="BE101" s="267">
        <v>9423.1</v>
      </c>
      <c r="BF101" s="267">
        <v>9498.2000000000007</v>
      </c>
      <c r="BG101" s="267">
        <v>9480.5</v>
      </c>
      <c r="BH101" s="267">
        <v>9611.5</v>
      </c>
      <c r="BI101" s="267">
        <v>9745.2999999999993</v>
      </c>
      <c r="BJ101" s="267">
        <v>9888.7000000000007</v>
      </c>
      <c r="BK101" s="267">
        <v>9888.7999999999993</v>
      </c>
      <c r="BL101" s="267">
        <v>9886.2000000000007</v>
      </c>
      <c r="BM101" s="267">
        <v>9832.2000000000007</v>
      </c>
      <c r="BN101" s="267">
        <v>9806.1</v>
      </c>
      <c r="BO101" s="267">
        <v>9784.1</v>
      </c>
      <c r="BP101" s="267">
        <v>9757.1</v>
      </c>
      <c r="BQ101" s="267">
        <v>9760</v>
      </c>
      <c r="BR101" s="267">
        <v>9789.7000000000007</v>
      </c>
      <c r="BS101" s="267">
        <v>9769.2999999999993</v>
      </c>
      <c r="BT101" s="267">
        <v>9798.7000000000007</v>
      </c>
      <c r="BU101" s="267">
        <v>9836.7000000000007</v>
      </c>
      <c r="BV101" s="267">
        <v>10737.7</v>
      </c>
      <c r="BW101" s="267">
        <v>10739.2</v>
      </c>
      <c r="BX101" s="267">
        <v>10737</v>
      </c>
      <c r="BY101" s="267">
        <v>10718.3</v>
      </c>
      <c r="BZ101" s="267">
        <v>12161.5</v>
      </c>
      <c r="CA101" s="267">
        <v>12135.5</v>
      </c>
      <c r="CB101" s="267">
        <v>12121.3</v>
      </c>
      <c r="CC101" s="267">
        <v>12123.2</v>
      </c>
      <c r="CD101" s="267">
        <v>12320.2</v>
      </c>
      <c r="CE101" s="267">
        <v>12326.9</v>
      </c>
      <c r="CF101" s="267">
        <v>12307.2</v>
      </c>
      <c r="CG101" s="267">
        <v>12307.2</v>
      </c>
      <c r="CH101" s="267">
        <v>12806.6</v>
      </c>
      <c r="CI101" s="267">
        <v>12807.8</v>
      </c>
      <c r="CJ101" s="267">
        <v>12803.7</v>
      </c>
      <c r="CK101" s="325"/>
    </row>
    <row r="102" spans="1:90" x14ac:dyDescent="0.3">
      <c r="A102" s="38"/>
      <c r="B102" s="45" t="s">
        <v>81</v>
      </c>
      <c r="C102" s="267">
        <v>12279.4</v>
      </c>
      <c r="D102" s="267">
        <v>12288.7</v>
      </c>
      <c r="E102" s="267">
        <v>12176.4</v>
      </c>
      <c r="F102" s="267">
        <v>12195.2</v>
      </c>
      <c r="G102" s="267">
        <v>12706.1</v>
      </c>
      <c r="H102" s="267">
        <v>12911.9</v>
      </c>
      <c r="I102" s="267">
        <v>12908.7</v>
      </c>
      <c r="J102" s="267">
        <v>12863.6</v>
      </c>
      <c r="K102" s="267">
        <v>12756.1</v>
      </c>
      <c r="L102" s="267">
        <v>12724.2</v>
      </c>
      <c r="M102" s="267">
        <v>12654.2</v>
      </c>
      <c r="N102" s="267">
        <v>12647</v>
      </c>
      <c r="O102" s="267">
        <v>12625.5</v>
      </c>
      <c r="P102" s="267">
        <v>12583.3</v>
      </c>
      <c r="Q102" s="267">
        <v>12506.4</v>
      </c>
      <c r="R102" s="267">
        <v>12619.1</v>
      </c>
      <c r="S102" s="267">
        <v>12564.6</v>
      </c>
      <c r="T102" s="267">
        <v>12903.8</v>
      </c>
      <c r="U102" s="267">
        <v>12878.9</v>
      </c>
      <c r="V102" s="267">
        <v>12864.2</v>
      </c>
      <c r="W102" s="267">
        <v>12844.8</v>
      </c>
      <c r="X102" s="267">
        <v>12890.3</v>
      </c>
      <c r="Y102" s="267">
        <v>12860.4</v>
      </c>
      <c r="Z102" s="267">
        <v>13368.1</v>
      </c>
      <c r="AA102" s="267">
        <v>13313.1</v>
      </c>
      <c r="AB102" s="267">
        <v>13261.9</v>
      </c>
      <c r="AC102" s="267">
        <v>13197.7</v>
      </c>
      <c r="AD102" s="267">
        <v>13158.6</v>
      </c>
      <c r="AE102" s="267">
        <v>13096.7</v>
      </c>
      <c r="AF102" s="267">
        <v>13144.8</v>
      </c>
      <c r="AG102" s="267">
        <v>13150.1</v>
      </c>
      <c r="AH102" s="267">
        <v>13128.6</v>
      </c>
      <c r="AI102" s="267">
        <v>13246.6</v>
      </c>
      <c r="AJ102" s="267">
        <v>13248.9</v>
      </c>
      <c r="AK102" s="267">
        <v>13733.2</v>
      </c>
      <c r="AL102" s="267">
        <v>14051.6</v>
      </c>
      <c r="AM102" s="267">
        <v>14012.9</v>
      </c>
      <c r="AN102" s="267">
        <v>13980.4</v>
      </c>
      <c r="AO102" s="267">
        <v>13935.2</v>
      </c>
      <c r="AP102" s="267">
        <v>13918</v>
      </c>
      <c r="AQ102" s="267">
        <v>13840.5</v>
      </c>
      <c r="AR102" s="267">
        <v>13903.4</v>
      </c>
      <c r="AS102" s="267">
        <v>13958.8</v>
      </c>
      <c r="AT102" s="267">
        <v>13907.7</v>
      </c>
      <c r="AU102" s="267">
        <v>13860.7</v>
      </c>
      <c r="AV102" s="267">
        <v>14887</v>
      </c>
      <c r="AW102" s="267">
        <v>14963.4</v>
      </c>
      <c r="AX102" s="267">
        <v>15647.7</v>
      </c>
      <c r="AY102" s="267">
        <v>15608.6</v>
      </c>
      <c r="AZ102" s="267">
        <v>15604.1</v>
      </c>
      <c r="BA102" s="267">
        <v>15506.9</v>
      </c>
      <c r="BB102" s="267">
        <v>15493.9</v>
      </c>
      <c r="BC102" s="267">
        <v>15445.6</v>
      </c>
      <c r="BD102" s="267">
        <v>15897.4</v>
      </c>
      <c r="BE102" s="267">
        <v>16274.8</v>
      </c>
      <c r="BF102" s="267">
        <v>16306.5</v>
      </c>
      <c r="BG102" s="267">
        <v>16231.7</v>
      </c>
      <c r="BH102" s="267">
        <v>16370</v>
      </c>
      <c r="BI102" s="267">
        <v>16445.3</v>
      </c>
      <c r="BJ102" s="267">
        <v>16511.099999999999</v>
      </c>
      <c r="BK102" s="267">
        <v>16458.7</v>
      </c>
      <c r="BL102" s="267">
        <v>16404</v>
      </c>
      <c r="BM102" s="267">
        <v>16254.1</v>
      </c>
      <c r="BN102" s="267">
        <v>16236.7</v>
      </c>
      <c r="BO102" s="267">
        <v>16141.7</v>
      </c>
      <c r="BP102" s="267">
        <v>16116.2</v>
      </c>
      <c r="BQ102" s="267">
        <v>16078.2</v>
      </c>
      <c r="BR102" s="267">
        <v>16725.8</v>
      </c>
      <c r="BS102" s="267">
        <v>16601.900000000001</v>
      </c>
      <c r="BT102" s="267">
        <v>16573.599999999999</v>
      </c>
      <c r="BU102" s="267">
        <v>17109.2</v>
      </c>
      <c r="BV102" s="267">
        <v>17572.400000000001</v>
      </c>
      <c r="BW102" s="267">
        <v>17546.900000000001</v>
      </c>
      <c r="BX102" s="267">
        <v>17523.8</v>
      </c>
      <c r="BY102" s="267">
        <v>17394.900000000001</v>
      </c>
      <c r="BZ102" s="267">
        <v>17329.7</v>
      </c>
      <c r="CA102" s="267">
        <v>17917.599999999999</v>
      </c>
      <c r="CB102" s="267">
        <v>18089.3</v>
      </c>
      <c r="CC102" s="267">
        <v>19223.8</v>
      </c>
      <c r="CD102" s="267">
        <v>19186.8</v>
      </c>
      <c r="CE102" s="267">
        <v>18969.900000000001</v>
      </c>
      <c r="CF102" s="267">
        <v>18923.599999999999</v>
      </c>
      <c r="CG102" s="267">
        <v>18792.5</v>
      </c>
      <c r="CH102" s="267">
        <v>19300.8</v>
      </c>
      <c r="CI102" s="267">
        <v>19330.5</v>
      </c>
      <c r="CJ102" s="267">
        <v>19251.7</v>
      </c>
      <c r="CK102" s="325"/>
    </row>
    <row r="103" spans="1:90" x14ac:dyDescent="0.3">
      <c r="A103" s="38"/>
      <c r="B103" s="45" t="s">
        <v>83</v>
      </c>
      <c r="C103" s="267">
        <v>165.3</v>
      </c>
      <c r="D103" s="267">
        <v>201.5</v>
      </c>
      <c r="E103" s="267">
        <v>193.6</v>
      </c>
      <c r="F103" s="267">
        <v>193.6</v>
      </c>
      <c r="G103" s="267">
        <v>191.5</v>
      </c>
      <c r="H103" s="267">
        <v>205.3</v>
      </c>
      <c r="I103" s="267">
        <v>209.2</v>
      </c>
      <c r="J103" s="267">
        <v>213.2</v>
      </c>
      <c r="K103" s="267">
        <v>211.1</v>
      </c>
      <c r="L103" s="267">
        <v>211.1</v>
      </c>
      <c r="M103" s="267">
        <v>214.7</v>
      </c>
      <c r="N103" s="267">
        <v>237.4</v>
      </c>
      <c r="O103" s="267">
        <v>238</v>
      </c>
      <c r="P103" s="267">
        <v>237.9</v>
      </c>
      <c r="Q103" s="267">
        <v>239.5</v>
      </c>
      <c r="R103" s="267">
        <v>279.89999999999998</v>
      </c>
      <c r="S103" s="267">
        <v>304.60000000000002</v>
      </c>
      <c r="T103" s="267">
        <v>306.8</v>
      </c>
      <c r="U103" s="267">
        <v>307.10000000000002</v>
      </c>
      <c r="V103" s="267">
        <v>311</v>
      </c>
      <c r="W103" s="267">
        <v>311.2</v>
      </c>
      <c r="X103" s="267">
        <v>312.39999999999998</v>
      </c>
      <c r="Y103" s="267">
        <v>317.8</v>
      </c>
      <c r="Z103" s="267">
        <v>323.39999999999998</v>
      </c>
      <c r="AA103" s="267">
        <v>330.3</v>
      </c>
      <c r="AB103" s="267">
        <v>347.4</v>
      </c>
      <c r="AC103" s="267">
        <v>348.6</v>
      </c>
      <c r="AD103" s="267">
        <v>348.6</v>
      </c>
      <c r="AE103" s="267">
        <v>355.6</v>
      </c>
      <c r="AF103" s="267">
        <v>352.7</v>
      </c>
      <c r="AG103" s="267">
        <v>357.6</v>
      </c>
      <c r="AH103" s="267">
        <v>363</v>
      </c>
      <c r="AI103" s="267">
        <v>367.2</v>
      </c>
      <c r="AJ103" s="267">
        <v>379.8</v>
      </c>
      <c r="AK103" s="267">
        <v>381</v>
      </c>
      <c r="AL103" s="267">
        <v>404.3</v>
      </c>
      <c r="AM103" s="267">
        <v>402.3</v>
      </c>
      <c r="AN103" s="267">
        <v>403.8</v>
      </c>
      <c r="AO103" s="267">
        <v>410.4</v>
      </c>
      <c r="AP103" s="267">
        <v>424.5</v>
      </c>
      <c r="AQ103" s="267">
        <v>425.8</v>
      </c>
      <c r="AR103" s="267">
        <v>433.8</v>
      </c>
      <c r="AS103" s="267">
        <v>440.6</v>
      </c>
      <c r="AT103" s="267">
        <v>445.4</v>
      </c>
      <c r="AU103" s="267">
        <v>453</v>
      </c>
      <c r="AV103" s="267">
        <v>479.1</v>
      </c>
      <c r="AW103" s="267">
        <v>490.2</v>
      </c>
      <c r="AX103" s="267">
        <v>491</v>
      </c>
      <c r="AY103" s="267">
        <v>489.9</v>
      </c>
      <c r="AZ103" s="267">
        <v>489.8</v>
      </c>
      <c r="BA103" s="267">
        <v>487.3</v>
      </c>
      <c r="BB103" s="267">
        <v>489.1</v>
      </c>
      <c r="BC103" s="267">
        <v>485.8</v>
      </c>
      <c r="BD103" s="267">
        <v>479.3</v>
      </c>
      <c r="BE103" s="267">
        <v>477.3</v>
      </c>
      <c r="BF103" s="267">
        <v>477.2</v>
      </c>
      <c r="BG103" s="267">
        <v>469</v>
      </c>
      <c r="BH103" s="267">
        <v>467.4</v>
      </c>
      <c r="BI103" s="267">
        <v>464.2</v>
      </c>
      <c r="BJ103" s="267">
        <v>461.4</v>
      </c>
      <c r="BK103" s="267">
        <v>455.1</v>
      </c>
      <c r="BL103" s="267">
        <v>478.8</v>
      </c>
      <c r="BM103" s="267">
        <v>470.2</v>
      </c>
      <c r="BN103" s="267">
        <v>470</v>
      </c>
      <c r="BO103" s="267">
        <v>468.9</v>
      </c>
      <c r="BP103" s="267">
        <v>466.5</v>
      </c>
      <c r="BQ103" s="267">
        <v>612.79999999999995</v>
      </c>
      <c r="BR103" s="267">
        <v>614.6</v>
      </c>
      <c r="BS103" s="267">
        <v>596.6</v>
      </c>
      <c r="BT103" s="267">
        <v>593.5</v>
      </c>
      <c r="BU103" s="267">
        <v>590.1</v>
      </c>
      <c r="BV103" s="267">
        <v>643.70000000000005</v>
      </c>
      <c r="BW103" s="267">
        <v>640</v>
      </c>
      <c r="BX103" s="267">
        <v>639.9</v>
      </c>
      <c r="BY103" s="267">
        <v>621.6</v>
      </c>
      <c r="BZ103" s="267">
        <v>618.4</v>
      </c>
      <c r="CA103" s="267">
        <v>615.1</v>
      </c>
      <c r="CB103" s="267">
        <v>609.6</v>
      </c>
      <c r="CC103" s="267">
        <v>609.6</v>
      </c>
      <c r="CD103" s="267">
        <v>609.5</v>
      </c>
      <c r="CE103" s="267">
        <v>601.5</v>
      </c>
      <c r="CF103" s="267">
        <v>598.29999999999995</v>
      </c>
      <c r="CG103" s="267">
        <v>597.4</v>
      </c>
      <c r="CH103" s="267">
        <v>599.4</v>
      </c>
      <c r="CI103" s="267">
        <v>597.4</v>
      </c>
      <c r="CJ103" s="267">
        <v>611.20000000000005</v>
      </c>
      <c r="CK103" s="325"/>
    </row>
    <row r="104" spans="1:90" x14ac:dyDescent="0.3">
      <c r="A104" s="38"/>
      <c r="B104" s="45" t="s">
        <v>92</v>
      </c>
      <c r="C104" s="267">
        <v>45.3</v>
      </c>
      <c r="D104" s="267">
        <v>45.1</v>
      </c>
      <c r="E104" s="267">
        <v>44.7</v>
      </c>
      <c r="F104" s="267">
        <v>44</v>
      </c>
      <c r="G104" s="267">
        <v>43.8</v>
      </c>
      <c r="H104" s="267">
        <v>42.2</v>
      </c>
      <c r="I104" s="267">
        <v>41.6</v>
      </c>
      <c r="J104" s="267">
        <v>41.2</v>
      </c>
      <c r="K104" s="267">
        <v>40.9</v>
      </c>
      <c r="L104" s="267">
        <v>43.1</v>
      </c>
      <c r="M104" s="267">
        <v>42.7</v>
      </c>
      <c r="N104" s="267">
        <v>41.1</v>
      </c>
      <c r="O104" s="267">
        <v>40.799999999999997</v>
      </c>
      <c r="P104" s="267">
        <v>40.6</v>
      </c>
      <c r="Q104" s="267">
        <v>40.6</v>
      </c>
      <c r="R104" s="267">
        <v>39.799999999999997</v>
      </c>
      <c r="S104" s="267">
        <v>40.200000000000003</v>
      </c>
      <c r="T104" s="267">
        <v>38.4</v>
      </c>
      <c r="U104" s="267">
        <v>39.9</v>
      </c>
      <c r="V104" s="267">
        <v>40.200000000000003</v>
      </c>
      <c r="W104" s="267">
        <v>39.700000000000003</v>
      </c>
      <c r="X104" s="267">
        <v>39.4</v>
      </c>
      <c r="Y104" s="267">
        <v>40.200000000000003</v>
      </c>
      <c r="Z104" s="267">
        <v>38.6</v>
      </c>
      <c r="AA104" s="267">
        <v>39.200000000000003</v>
      </c>
      <c r="AB104" s="267">
        <v>39.1</v>
      </c>
      <c r="AC104" s="267">
        <v>38.1</v>
      </c>
      <c r="AD104" s="267">
        <v>38.299999999999997</v>
      </c>
      <c r="AE104" s="267">
        <v>41.1</v>
      </c>
      <c r="AF104" s="267">
        <v>37.4</v>
      </c>
      <c r="AG104" s="267">
        <v>37.4</v>
      </c>
      <c r="AH104" s="267">
        <v>37.200000000000003</v>
      </c>
      <c r="AI104" s="267">
        <v>36.700000000000003</v>
      </c>
      <c r="AJ104" s="267">
        <v>37.6</v>
      </c>
      <c r="AK104" s="267">
        <v>37</v>
      </c>
      <c r="AL104" s="267">
        <v>33.6</v>
      </c>
      <c r="AM104" s="267">
        <v>35</v>
      </c>
      <c r="AN104" s="267">
        <v>35</v>
      </c>
      <c r="AO104" s="267">
        <v>34.6</v>
      </c>
      <c r="AP104" s="267">
        <v>32.700000000000003</v>
      </c>
      <c r="AQ104" s="267">
        <v>33.200000000000003</v>
      </c>
      <c r="AR104" s="267">
        <v>32.799999999999997</v>
      </c>
      <c r="AS104" s="267">
        <v>32.200000000000003</v>
      </c>
      <c r="AT104" s="267">
        <v>31.7</v>
      </c>
      <c r="AU104" s="267">
        <v>31.1</v>
      </c>
      <c r="AV104" s="267">
        <v>31.8</v>
      </c>
      <c r="AW104" s="267">
        <v>36</v>
      </c>
      <c r="AX104" s="267">
        <v>36.1</v>
      </c>
      <c r="AY104" s="267">
        <v>36.5</v>
      </c>
      <c r="AZ104" s="267">
        <v>35.799999999999997</v>
      </c>
      <c r="BA104" s="267">
        <v>36.4</v>
      </c>
      <c r="BB104" s="267">
        <v>36.299999999999997</v>
      </c>
      <c r="BC104" s="267">
        <v>35.5</v>
      </c>
      <c r="BD104" s="267">
        <v>33.700000000000003</v>
      </c>
      <c r="BE104" s="267">
        <v>39.700000000000003</v>
      </c>
      <c r="BF104" s="267">
        <v>47.2</v>
      </c>
      <c r="BG104" s="267">
        <v>47.9</v>
      </c>
      <c r="BH104" s="267">
        <v>47.4</v>
      </c>
      <c r="BI104" s="267">
        <v>49.9</v>
      </c>
      <c r="BJ104" s="267">
        <v>48</v>
      </c>
      <c r="BK104" s="267">
        <v>47.4</v>
      </c>
      <c r="BL104" s="267">
        <v>47.3</v>
      </c>
      <c r="BM104" s="267">
        <v>47.3</v>
      </c>
      <c r="BN104" s="267">
        <v>46.4</v>
      </c>
      <c r="BO104" s="267">
        <v>46.9</v>
      </c>
      <c r="BP104" s="267">
        <v>44.2</v>
      </c>
      <c r="BQ104" s="267">
        <v>44.5</v>
      </c>
      <c r="BR104" s="267">
        <v>45.1</v>
      </c>
      <c r="BS104" s="267">
        <v>45.4</v>
      </c>
      <c r="BT104" s="267">
        <v>44</v>
      </c>
      <c r="BU104" s="267">
        <v>43.2</v>
      </c>
      <c r="BV104" s="267">
        <v>40.4</v>
      </c>
      <c r="BW104" s="267">
        <v>40.4</v>
      </c>
      <c r="BX104" s="267">
        <v>40.5</v>
      </c>
      <c r="BY104" s="267">
        <v>41.5</v>
      </c>
      <c r="BZ104" s="267">
        <v>42.8</v>
      </c>
      <c r="CA104" s="267">
        <v>42.9</v>
      </c>
      <c r="CB104" s="267">
        <v>41.5</v>
      </c>
      <c r="CC104" s="267">
        <v>40.6</v>
      </c>
      <c r="CD104" s="267">
        <v>41.2</v>
      </c>
      <c r="CE104" s="267">
        <v>41.3</v>
      </c>
      <c r="CF104" s="267">
        <v>40.9</v>
      </c>
      <c r="CG104" s="267">
        <v>41</v>
      </c>
      <c r="CH104" s="267">
        <v>38.9</v>
      </c>
      <c r="CI104" s="267">
        <v>39.1</v>
      </c>
      <c r="CJ104" s="267">
        <v>39.1</v>
      </c>
      <c r="CK104" s="325"/>
    </row>
    <row r="105" spans="1:90" x14ac:dyDescent="0.3">
      <c r="A105" s="38"/>
      <c r="B105" s="45" t="s">
        <v>82</v>
      </c>
      <c r="C105" s="267">
        <v>3450.9</v>
      </c>
      <c r="D105" s="267">
        <v>3459.5</v>
      </c>
      <c r="E105" s="267">
        <v>3475.8</v>
      </c>
      <c r="F105" s="267">
        <v>3510.2</v>
      </c>
      <c r="G105" s="267">
        <v>3626</v>
      </c>
      <c r="H105" s="267">
        <v>3557.6</v>
      </c>
      <c r="I105" s="267">
        <v>3589.1</v>
      </c>
      <c r="J105" s="267">
        <v>3677.2</v>
      </c>
      <c r="K105" s="267">
        <v>3662.7</v>
      </c>
      <c r="L105" s="267">
        <v>3757.3</v>
      </c>
      <c r="M105" s="267">
        <v>3733.2</v>
      </c>
      <c r="N105" s="267">
        <v>3655.8</v>
      </c>
      <c r="O105" s="267">
        <v>3635.8</v>
      </c>
      <c r="P105" s="267">
        <v>3585.5</v>
      </c>
      <c r="Q105" s="267">
        <v>3547.1</v>
      </c>
      <c r="R105" s="267">
        <v>3613.8</v>
      </c>
      <c r="S105" s="267">
        <v>3585.1</v>
      </c>
      <c r="T105" s="267">
        <v>3546</v>
      </c>
      <c r="U105" s="267">
        <v>3522.3</v>
      </c>
      <c r="V105" s="267">
        <v>3426.9</v>
      </c>
      <c r="W105" s="267">
        <v>3420.3</v>
      </c>
      <c r="X105" s="267">
        <v>3412</v>
      </c>
      <c r="Y105" s="267">
        <v>3408.7</v>
      </c>
      <c r="Z105" s="267">
        <v>3649.1</v>
      </c>
      <c r="AA105" s="267">
        <v>3626.9</v>
      </c>
      <c r="AB105" s="267">
        <v>3547.1</v>
      </c>
      <c r="AC105" s="267">
        <v>3511.7</v>
      </c>
      <c r="AD105" s="267">
        <v>3519.3</v>
      </c>
      <c r="AE105" s="267">
        <v>3489.4</v>
      </c>
      <c r="AF105" s="267">
        <v>3450.6</v>
      </c>
      <c r="AG105" s="267">
        <v>3422.6</v>
      </c>
      <c r="AH105" s="267">
        <v>3325.5</v>
      </c>
      <c r="AI105" s="267">
        <v>3315.6</v>
      </c>
      <c r="AJ105" s="267">
        <v>3325.5</v>
      </c>
      <c r="AK105" s="267">
        <v>3797.2</v>
      </c>
      <c r="AL105" s="267">
        <v>3781.4</v>
      </c>
      <c r="AM105" s="267">
        <v>3746.8</v>
      </c>
      <c r="AN105" s="267">
        <v>3669</v>
      </c>
      <c r="AO105" s="267">
        <v>3665.3</v>
      </c>
      <c r="AP105" s="267">
        <v>3657.7</v>
      </c>
      <c r="AQ105" s="267">
        <v>3647.3</v>
      </c>
      <c r="AR105" s="267">
        <v>3666.1</v>
      </c>
      <c r="AS105" s="267">
        <v>3663.8</v>
      </c>
      <c r="AT105" s="267">
        <v>3833.4</v>
      </c>
      <c r="AU105" s="267">
        <v>3822.4</v>
      </c>
      <c r="AV105" s="267">
        <v>3852.8</v>
      </c>
      <c r="AW105" s="267">
        <v>3919.9</v>
      </c>
      <c r="AX105" s="267">
        <v>3931.4</v>
      </c>
      <c r="AY105" s="267">
        <v>3907.8</v>
      </c>
      <c r="AZ105" s="267">
        <v>3833.4</v>
      </c>
      <c r="BA105" s="267">
        <v>4104.8999999999996</v>
      </c>
      <c r="BB105" s="267">
        <v>4184.6000000000004</v>
      </c>
      <c r="BC105" s="267">
        <v>4211.8999999999996</v>
      </c>
      <c r="BD105" s="267">
        <v>4166.3</v>
      </c>
      <c r="BE105" s="267">
        <v>4271.1000000000004</v>
      </c>
      <c r="BF105" s="267">
        <v>4353.1000000000004</v>
      </c>
      <c r="BG105" s="267">
        <v>4384.6000000000004</v>
      </c>
      <c r="BH105" s="267">
        <v>4449.2</v>
      </c>
      <c r="BI105" s="267">
        <v>4536.6000000000004</v>
      </c>
      <c r="BJ105" s="267">
        <v>5435.3</v>
      </c>
      <c r="BK105" s="267">
        <v>5398.4</v>
      </c>
      <c r="BL105" s="267">
        <v>4353.3999999999996</v>
      </c>
      <c r="BM105" s="267">
        <v>4334.5</v>
      </c>
      <c r="BN105" s="267">
        <v>4328.8</v>
      </c>
      <c r="BO105" s="267">
        <v>4522.7</v>
      </c>
      <c r="BP105" s="267">
        <v>4479.3999999999996</v>
      </c>
      <c r="BQ105" s="267">
        <v>4656.8999999999996</v>
      </c>
      <c r="BR105" s="267">
        <v>4583.7</v>
      </c>
      <c r="BS105" s="267">
        <v>4749.8</v>
      </c>
      <c r="BT105" s="267">
        <v>4736.1000000000004</v>
      </c>
      <c r="BU105" s="267">
        <v>4780.3999999999996</v>
      </c>
      <c r="BV105" s="267">
        <v>4800.5</v>
      </c>
      <c r="BW105" s="267">
        <v>4826.3</v>
      </c>
      <c r="BX105" s="267">
        <v>4769.8999999999996</v>
      </c>
      <c r="BY105" s="267">
        <v>4749.8999999999996</v>
      </c>
      <c r="BZ105" s="267">
        <v>4720.5</v>
      </c>
      <c r="CA105" s="267">
        <v>4716.3999999999996</v>
      </c>
      <c r="CB105" s="267">
        <v>4670.2</v>
      </c>
      <c r="CC105" s="267">
        <v>5000.8999999999996</v>
      </c>
      <c r="CD105" s="267">
        <v>4931.3</v>
      </c>
      <c r="CE105" s="267">
        <v>4917.1000000000004</v>
      </c>
      <c r="CF105" s="267">
        <v>4898.3999999999996</v>
      </c>
      <c r="CG105" s="267">
        <v>4886.6000000000004</v>
      </c>
      <c r="CH105" s="267">
        <v>4842</v>
      </c>
      <c r="CI105" s="267">
        <v>5259.2</v>
      </c>
      <c r="CJ105" s="267">
        <v>5264.9</v>
      </c>
      <c r="CK105" s="325"/>
      <c r="CL105" s="66"/>
    </row>
    <row r="106" spans="1:90" x14ac:dyDescent="0.3">
      <c r="A106" s="38"/>
      <c r="B106" s="45" t="s">
        <v>84</v>
      </c>
      <c r="C106" s="267">
        <v>41.3</v>
      </c>
      <c r="D106" s="267">
        <v>41.3</v>
      </c>
      <c r="E106" s="267">
        <v>42.5</v>
      </c>
      <c r="F106" s="267">
        <v>43.3</v>
      </c>
      <c r="G106" s="267">
        <v>43.9</v>
      </c>
      <c r="H106" s="267">
        <v>55.7</v>
      </c>
      <c r="I106" s="267">
        <v>56.4</v>
      </c>
      <c r="J106" s="267">
        <v>62.7</v>
      </c>
      <c r="K106" s="267">
        <v>60.9</v>
      </c>
      <c r="L106" s="267">
        <v>61.3</v>
      </c>
      <c r="M106" s="267">
        <v>72.900000000000006</v>
      </c>
      <c r="N106" s="267">
        <v>74.599999999999994</v>
      </c>
      <c r="O106" s="267">
        <v>76.7</v>
      </c>
      <c r="P106" s="267">
        <v>77.599999999999994</v>
      </c>
      <c r="Q106" s="267">
        <v>76.3</v>
      </c>
      <c r="R106" s="267">
        <v>81.099999999999994</v>
      </c>
      <c r="S106" s="267">
        <v>81.7</v>
      </c>
      <c r="T106" s="267">
        <v>82.3</v>
      </c>
      <c r="U106" s="267">
        <v>83.7</v>
      </c>
      <c r="V106" s="267">
        <v>84.7</v>
      </c>
      <c r="W106" s="267">
        <v>83.6</v>
      </c>
      <c r="X106" s="267">
        <v>87</v>
      </c>
      <c r="Y106" s="267">
        <v>88.9</v>
      </c>
      <c r="Z106" s="267">
        <v>94</v>
      </c>
      <c r="AA106" s="267">
        <v>94.4</v>
      </c>
      <c r="AB106" s="267">
        <v>95.6</v>
      </c>
      <c r="AC106" s="267">
        <v>94.4</v>
      </c>
      <c r="AD106" s="267">
        <v>96.4</v>
      </c>
      <c r="AE106" s="267">
        <v>97.5</v>
      </c>
      <c r="AF106" s="267">
        <v>98.1</v>
      </c>
      <c r="AG106" s="267">
        <v>99.3</v>
      </c>
      <c r="AH106" s="267">
        <v>99.3</v>
      </c>
      <c r="AI106" s="267">
        <v>97.5</v>
      </c>
      <c r="AJ106" s="267">
        <v>110.6</v>
      </c>
      <c r="AK106" s="267">
        <v>114.7</v>
      </c>
      <c r="AL106" s="267">
        <v>123.8</v>
      </c>
      <c r="AM106" s="267">
        <v>124.6</v>
      </c>
      <c r="AN106" s="267">
        <v>123.7</v>
      </c>
      <c r="AO106" s="267">
        <v>124.3</v>
      </c>
      <c r="AP106" s="267">
        <v>127.5</v>
      </c>
      <c r="AQ106" s="267">
        <v>127.9</v>
      </c>
      <c r="AR106" s="267">
        <v>129.30000000000001</v>
      </c>
      <c r="AS106" s="267">
        <v>130.30000000000001</v>
      </c>
      <c r="AT106" s="267">
        <v>129.5</v>
      </c>
      <c r="AU106" s="267">
        <v>128.80000000000001</v>
      </c>
      <c r="AV106" s="267">
        <v>138.1</v>
      </c>
      <c r="AW106" s="267">
        <v>138.19999999999999</v>
      </c>
      <c r="AX106" s="267">
        <v>144.5</v>
      </c>
      <c r="AY106" s="267">
        <v>147.5</v>
      </c>
      <c r="AZ106" s="267">
        <v>145.80000000000001</v>
      </c>
      <c r="BA106" s="267">
        <v>149</v>
      </c>
      <c r="BB106" s="267">
        <v>149.30000000000001</v>
      </c>
      <c r="BC106" s="267">
        <v>147.80000000000001</v>
      </c>
      <c r="BD106" s="267">
        <v>146.1</v>
      </c>
      <c r="BE106" s="267">
        <v>160.30000000000001</v>
      </c>
      <c r="BF106" s="267">
        <v>158.80000000000001</v>
      </c>
      <c r="BG106" s="267">
        <v>157.1</v>
      </c>
      <c r="BH106" s="267">
        <v>161.19999999999999</v>
      </c>
      <c r="BI106" s="267">
        <v>159.80000000000001</v>
      </c>
      <c r="BJ106" s="267">
        <v>157.69999999999999</v>
      </c>
      <c r="BK106" s="267">
        <v>158.1</v>
      </c>
      <c r="BL106" s="267">
        <v>156.4</v>
      </c>
      <c r="BM106" s="267">
        <v>154.6</v>
      </c>
      <c r="BN106" s="267">
        <v>154.6</v>
      </c>
      <c r="BO106" s="267">
        <v>153.1</v>
      </c>
      <c r="BP106" s="267">
        <v>150.9</v>
      </c>
      <c r="BQ106" s="267">
        <v>151.6</v>
      </c>
      <c r="BR106" s="267">
        <v>150.30000000000001</v>
      </c>
      <c r="BS106" s="267">
        <v>148.5</v>
      </c>
      <c r="BT106" s="267">
        <v>148.80000000000001</v>
      </c>
      <c r="BU106" s="267">
        <v>147.5</v>
      </c>
      <c r="BV106" s="267">
        <v>146</v>
      </c>
      <c r="BW106" s="267">
        <v>146.30000000000001</v>
      </c>
      <c r="BX106" s="267">
        <v>144.69999999999999</v>
      </c>
      <c r="BY106" s="267">
        <v>142.9</v>
      </c>
      <c r="BZ106" s="267">
        <v>142.9</v>
      </c>
      <c r="CA106" s="267">
        <v>141.4</v>
      </c>
      <c r="CB106" s="267">
        <v>139.19999999999999</v>
      </c>
      <c r="CC106" s="267">
        <v>139.19999999999999</v>
      </c>
      <c r="CD106" s="267">
        <v>137.5</v>
      </c>
      <c r="CE106" s="267">
        <v>135.69999999999999</v>
      </c>
      <c r="CF106" s="267">
        <v>140.6</v>
      </c>
      <c r="CG106" s="267">
        <v>139.6</v>
      </c>
      <c r="CH106" s="267">
        <v>135.9</v>
      </c>
      <c r="CI106" s="267">
        <v>135.9</v>
      </c>
      <c r="CJ106" s="267">
        <v>134.6</v>
      </c>
      <c r="CK106" s="325"/>
    </row>
    <row r="107" spans="1:90" x14ac:dyDescent="0.3">
      <c r="A107" s="38"/>
      <c r="B107" s="45" t="s">
        <v>85</v>
      </c>
      <c r="C107" s="267">
        <v>28314.5</v>
      </c>
      <c r="D107" s="267">
        <v>28259.1</v>
      </c>
      <c r="E107" s="267">
        <v>28062.9</v>
      </c>
      <c r="F107" s="267">
        <v>38821.699999999997</v>
      </c>
      <c r="G107" s="267">
        <v>38591.699999999997</v>
      </c>
      <c r="H107" s="267">
        <v>38940.400000000001</v>
      </c>
      <c r="I107" s="267">
        <v>44220.2</v>
      </c>
      <c r="J107" s="267">
        <v>43669.599999999999</v>
      </c>
      <c r="K107" s="267">
        <v>43508.800000000003</v>
      </c>
      <c r="L107" s="267">
        <v>44018.9</v>
      </c>
      <c r="M107" s="267">
        <v>43813.4</v>
      </c>
      <c r="N107" s="267">
        <v>44128.5</v>
      </c>
      <c r="O107" s="267">
        <v>43940.1</v>
      </c>
      <c r="P107" s="267">
        <v>43825.5</v>
      </c>
      <c r="Q107" s="267">
        <v>43556.3</v>
      </c>
      <c r="R107" s="267">
        <v>43603.9</v>
      </c>
      <c r="S107" s="267">
        <v>43783.4</v>
      </c>
      <c r="T107" s="267">
        <v>43903.9</v>
      </c>
      <c r="U107" s="267">
        <v>45095</v>
      </c>
      <c r="V107" s="267">
        <v>45280.5</v>
      </c>
      <c r="W107" s="267">
        <v>44923.6</v>
      </c>
      <c r="X107" s="267">
        <v>45050.400000000001</v>
      </c>
      <c r="Y107" s="267">
        <v>45734.8</v>
      </c>
      <c r="Z107" s="267">
        <v>45965.3</v>
      </c>
      <c r="AA107" s="267">
        <v>45978.5</v>
      </c>
      <c r="AB107" s="267">
        <v>45932.2</v>
      </c>
      <c r="AC107" s="267">
        <v>45229.2</v>
      </c>
      <c r="AD107" s="267">
        <v>45826.7</v>
      </c>
      <c r="AE107" s="267">
        <v>46104.800000000003</v>
      </c>
      <c r="AF107" s="267">
        <v>45519.5</v>
      </c>
      <c r="AG107" s="267">
        <v>45597.5</v>
      </c>
      <c r="AH107" s="267">
        <v>45454.7</v>
      </c>
      <c r="AI107" s="267">
        <v>43092.4</v>
      </c>
      <c r="AJ107" s="267">
        <v>43293.7</v>
      </c>
      <c r="AK107" s="267">
        <v>42844.9</v>
      </c>
      <c r="AL107" s="267">
        <v>40952.1</v>
      </c>
      <c r="AM107" s="267">
        <v>40010.800000000003</v>
      </c>
      <c r="AN107" s="267">
        <v>40100.1</v>
      </c>
      <c r="AO107" s="267">
        <v>46632</v>
      </c>
      <c r="AP107" s="267">
        <v>44658</v>
      </c>
      <c r="AQ107" s="267">
        <v>44838.8</v>
      </c>
      <c r="AR107" s="267">
        <v>45421.4</v>
      </c>
      <c r="AS107" s="267">
        <v>43308.2</v>
      </c>
      <c r="AT107" s="267">
        <v>42581.1</v>
      </c>
      <c r="AU107" s="267">
        <v>39300.1</v>
      </c>
      <c r="AV107" s="267">
        <v>40721.4</v>
      </c>
      <c r="AW107" s="267">
        <v>41722.699999999997</v>
      </c>
      <c r="AX107" s="267">
        <v>45706.6</v>
      </c>
      <c r="AY107" s="267">
        <v>43474.8</v>
      </c>
      <c r="AZ107" s="267">
        <v>42839.4</v>
      </c>
      <c r="BA107" s="267">
        <v>46040.800000000003</v>
      </c>
      <c r="BB107" s="267">
        <v>43442.5</v>
      </c>
      <c r="BC107" s="267">
        <v>42813.9</v>
      </c>
      <c r="BD107" s="267">
        <v>40220.1</v>
      </c>
      <c r="BE107" s="267">
        <v>37956.6</v>
      </c>
      <c r="BF107" s="267">
        <v>43988.6</v>
      </c>
      <c r="BG107" s="267">
        <v>43491.1</v>
      </c>
      <c r="BH107" s="267">
        <v>43298.400000000001</v>
      </c>
      <c r="BI107" s="267">
        <v>41466.699999999997</v>
      </c>
      <c r="BJ107" s="267">
        <v>40899</v>
      </c>
      <c r="BK107" s="267">
        <v>43157.3</v>
      </c>
      <c r="BL107" s="267">
        <v>43077.1</v>
      </c>
      <c r="BM107" s="267">
        <v>42963.1</v>
      </c>
      <c r="BN107" s="267">
        <v>40837.5</v>
      </c>
      <c r="BO107" s="267">
        <v>41015.9</v>
      </c>
      <c r="BP107" s="267">
        <v>41546.1</v>
      </c>
      <c r="BQ107" s="267">
        <v>41312.400000000001</v>
      </c>
      <c r="BR107" s="267">
        <v>41879.9</v>
      </c>
      <c r="BS107" s="267">
        <v>42180.9</v>
      </c>
      <c r="BT107" s="267">
        <v>41411.5</v>
      </c>
      <c r="BU107" s="267">
        <v>40861.9</v>
      </c>
      <c r="BV107" s="267">
        <v>40558.199999999997</v>
      </c>
      <c r="BW107" s="267">
        <v>40547.599999999999</v>
      </c>
      <c r="BX107" s="267">
        <v>40712.1</v>
      </c>
      <c r="BY107" s="267">
        <v>41323.4</v>
      </c>
      <c r="BZ107" s="267">
        <v>54597.2</v>
      </c>
      <c r="CA107" s="267">
        <v>54619.5</v>
      </c>
      <c r="CB107" s="267">
        <v>55317.4</v>
      </c>
      <c r="CC107" s="267">
        <v>54545.5</v>
      </c>
      <c r="CD107" s="267">
        <v>57190.400000000001</v>
      </c>
      <c r="CE107" s="267">
        <v>57292.3</v>
      </c>
      <c r="CF107" s="267">
        <v>56763.1</v>
      </c>
      <c r="CG107" s="267">
        <v>56770.8</v>
      </c>
      <c r="CH107" s="267">
        <v>57229.5</v>
      </c>
      <c r="CI107" s="267">
        <v>57743.5</v>
      </c>
      <c r="CJ107" s="267">
        <v>57449.8</v>
      </c>
      <c r="CK107" s="325"/>
    </row>
    <row r="108" spans="1:90" x14ac:dyDescent="0.3">
      <c r="A108" s="38"/>
      <c r="B108" s="45" t="s">
        <v>145</v>
      </c>
      <c r="C108" s="267">
        <v>70.599999999999994</v>
      </c>
      <c r="D108" s="267">
        <v>70.599999999999994</v>
      </c>
      <c r="E108" s="267">
        <v>70.599999999999994</v>
      </c>
      <c r="F108" s="267">
        <v>70.599999999999994</v>
      </c>
      <c r="G108" s="267">
        <v>76.2</v>
      </c>
      <c r="H108" s="267">
        <v>76.2</v>
      </c>
      <c r="I108" s="267">
        <v>76.2</v>
      </c>
      <c r="J108" s="267">
        <v>85.9</v>
      </c>
      <c r="K108" s="267">
        <v>85.9</v>
      </c>
      <c r="L108" s="267">
        <v>85.9</v>
      </c>
      <c r="M108" s="267">
        <v>85.9</v>
      </c>
      <c r="N108" s="267">
        <v>85.9</v>
      </c>
      <c r="O108" s="267">
        <v>85.9</v>
      </c>
      <c r="P108" s="267">
        <v>85.9</v>
      </c>
      <c r="Q108" s="267">
        <v>85.9</v>
      </c>
      <c r="R108" s="267">
        <v>85.9</v>
      </c>
      <c r="S108" s="267">
        <v>85.9</v>
      </c>
      <c r="T108" s="267">
        <v>85.9</v>
      </c>
      <c r="U108" s="267">
        <v>85.9</v>
      </c>
      <c r="V108" s="267">
        <v>105.9</v>
      </c>
      <c r="W108" s="267">
        <v>105.9</v>
      </c>
      <c r="X108" s="267">
        <v>105.9</v>
      </c>
      <c r="Y108" s="267">
        <v>105.9</v>
      </c>
      <c r="Z108" s="267">
        <v>105.9</v>
      </c>
      <c r="AA108" s="267">
        <v>105.9</v>
      </c>
      <c r="AB108" s="267">
        <v>105.9</v>
      </c>
      <c r="AC108" s="267">
        <v>100.9</v>
      </c>
      <c r="AD108" s="267">
        <v>100.9</v>
      </c>
      <c r="AE108" s="267">
        <v>100.9</v>
      </c>
      <c r="AF108" s="267">
        <v>100.9</v>
      </c>
      <c r="AG108" s="267">
        <v>100.9</v>
      </c>
      <c r="AH108" s="267">
        <v>100.9</v>
      </c>
      <c r="AI108" s="267">
        <v>95.9</v>
      </c>
      <c r="AJ108" s="267">
        <v>95.7</v>
      </c>
      <c r="AK108" s="267">
        <v>95.7</v>
      </c>
      <c r="AL108" s="267">
        <v>121.9</v>
      </c>
      <c r="AM108" s="267">
        <v>121.9</v>
      </c>
      <c r="AN108" s="267">
        <v>121.9</v>
      </c>
      <c r="AO108" s="267">
        <v>116.9</v>
      </c>
      <c r="AP108" s="267">
        <v>116.4</v>
      </c>
      <c r="AQ108" s="267">
        <v>116.4</v>
      </c>
      <c r="AR108" s="267">
        <v>116.4</v>
      </c>
      <c r="AS108" s="267">
        <v>116.4</v>
      </c>
      <c r="AT108" s="267">
        <v>116.4</v>
      </c>
      <c r="AU108" s="267">
        <v>211.3</v>
      </c>
      <c r="AV108" s="267">
        <v>210.7</v>
      </c>
      <c r="AW108" s="267">
        <v>210.7</v>
      </c>
      <c r="AX108" s="267">
        <v>210.7</v>
      </c>
      <c r="AY108" s="267">
        <v>222.7</v>
      </c>
      <c r="AZ108" s="267">
        <v>222.7</v>
      </c>
      <c r="BA108" s="267">
        <v>217.7</v>
      </c>
      <c r="BB108" s="267">
        <v>217.1</v>
      </c>
      <c r="BC108" s="267">
        <v>217.1</v>
      </c>
      <c r="BD108" s="267">
        <v>217.1</v>
      </c>
      <c r="BE108" s="267">
        <v>217.1</v>
      </c>
      <c r="BF108" s="267">
        <v>230.1</v>
      </c>
      <c r="BG108" s="267">
        <v>225.1</v>
      </c>
      <c r="BH108" s="267">
        <v>224.5</v>
      </c>
      <c r="BI108" s="267">
        <v>224.5</v>
      </c>
      <c r="BJ108" s="267">
        <v>224.5</v>
      </c>
      <c r="BK108" s="267">
        <v>224.5</v>
      </c>
      <c r="BL108" s="267">
        <v>224.5</v>
      </c>
      <c r="BM108" s="267">
        <v>219.5</v>
      </c>
      <c r="BN108" s="267">
        <v>218.9</v>
      </c>
      <c r="BO108" s="267">
        <v>218.9</v>
      </c>
      <c r="BP108" s="267">
        <v>218.9</v>
      </c>
      <c r="BQ108" s="267">
        <v>218.9</v>
      </c>
      <c r="BR108" s="267">
        <v>218.9</v>
      </c>
      <c r="BS108" s="267">
        <v>213.9</v>
      </c>
      <c r="BT108" s="267">
        <v>213</v>
      </c>
      <c r="BU108" s="267">
        <v>229</v>
      </c>
      <c r="BV108" s="267">
        <v>229</v>
      </c>
      <c r="BW108" s="267">
        <v>235.7</v>
      </c>
      <c r="BX108" s="267">
        <v>235.7</v>
      </c>
      <c r="BY108" s="267">
        <v>230.7</v>
      </c>
      <c r="BZ108" s="267">
        <v>229.4</v>
      </c>
      <c r="CA108" s="267">
        <v>229.4</v>
      </c>
      <c r="CB108" s="267">
        <v>229.4</v>
      </c>
      <c r="CC108" s="267">
        <v>229.4</v>
      </c>
      <c r="CD108" s="267">
        <v>229.4</v>
      </c>
      <c r="CE108" s="267">
        <v>224.4</v>
      </c>
      <c r="CF108" s="267">
        <v>222.5</v>
      </c>
      <c r="CG108" s="267">
        <v>222.5</v>
      </c>
      <c r="CH108" s="267">
        <v>222.5</v>
      </c>
      <c r="CI108" s="267">
        <v>222.5</v>
      </c>
      <c r="CJ108" s="267">
        <v>222.5</v>
      </c>
      <c r="CK108" s="325"/>
    </row>
    <row r="109" spans="1:90" x14ac:dyDescent="0.3">
      <c r="A109" s="38"/>
      <c r="B109" s="28"/>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64"/>
      <c r="AZ109" s="364"/>
      <c r="BA109" s="364"/>
      <c r="BB109" s="364"/>
      <c r="BC109" s="364"/>
      <c r="BD109" s="364"/>
      <c r="BE109" s="364"/>
      <c r="BF109" s="364"/>
      <c r="BG109" s="364"/>
      <c r="BH109" s="364"/>
      <c r="BI109" s="364"/>
      <c r="BJ109" s="364"/>
      <c r="BK109" s="364"/>
      <c r="BL109" s="364"/>
      <c r="BM109" s="364"/>
      <c r="BN109" s="364"/>
      <c r="BO109" s="364"/>
      <c r="BP109" s="364"/>
      <c r="BQ109" s="364"/>
      <c r="BR109" s="364"/>
      <c r="BS109" s="364"/>
      <c r="BT109" s="364"/>
      <c r="BU109" s="364"/>
      <c r="BV109" s="364"/>
      <c r="BW109" s="364"/>
      <c r="BX109" s="364"/>
      <c r="BY109" s="364"/>
      <c r="BZ109" s="364"/>
      <c r="CA109" s="364"/>
      <c r="CB109" s="364"/>
      <c r="CC109" s="364"/>
      <c r="CD109" s="364"/>
      <c r="CE109" s="364"/>
      <c r="CF109" s="364"/>
      <c r="CG109" s="364"/>
      <c r="CH109" s="364"/>
      <c r="CI109" s="364"/>
      <c r="CJ109" s="364"/>
      <c r="CK109" s="322"/>
    </row>
    <row r="110" spans="1:90" x14ac:dyDescent="0.3">
      <c r="A110" s="38"/>
      <c r="B110" s="52" t="s">
        <v>34</v>
      </c>
      <c r="C110" s="267">
        <f t="shared" ref="C110:U110" si="239">+SUM(C111:C112)</f>
        <v>6833</v>
      </c>
      <c r="D110" s="267">
        <f t="shared" si="239"/>
        <v>6813</v>
      </c>
      <c r="E110" s="267">
        <f t="shared" si="239"/>
        <v>6869.8</v>
      </c>
      <c r="F110" s="267">
        <f t="shared" si="239"/>
        <v>6854.5</v>
      </c>
      <c r="G110" s="267">
        <f t="shared" si="239"/>
        <v>5275.4</v>
      </c>
      <c r="H110" s="267">
        <f t="shared" si="239"/>
        <v>5320.5</v>
      </c>
      <c r="I110" s="267">
        <f t="shared" si="239"/>
        <v>5213.5</v>
      </c>
      <c r="J110" s="267">
        <f t="shared" si="239"/>
        <v>5269.1</v>
      </c>
      <c r="K110" s="267">
        <f t="shared" si="239"/>
        <v>5289.4</v>
      </c>
      <c r="L110" s="267">
        <f t="shared" si="239"/>
        <v>5344.3</v>
      </c>
      <c r="M110" s="267">
        <f t="shared" si="239"/>
        <v>5334.6</v>
      </c>
      <c r="N110" s="267">
        <f t="shared" si="239"/>
        <v>5398.1</v>
      </c>
      <c r="O110" s="267">
        <f t="shared" si="239"/>
        <v>5289.3</v>
      </c>
      <c r="P110" s="267">
        <f t="shared" si="239"/>
        <v>5284.3</v>
      </c>
      <c r="Q110" s="267">
        <f t="shared" si="239"/>
        <v>5284.5</v>
      </c>
      <c r="R110" s="267">
        <f t="shared" si="239"/>
        <v>5283.8</v>
      </c>
      <c r="S110" s="267">
        <f t="shared" si="239"/>
        <v>5461</v>
      </c>
      <c r="T110" s="267">
        <f t="shared" si="239"/>
        <v>5474</v>
      </c>
      <c r="U110" s="267">
        <f t="shared" si="239"/>
        <v>5393.5</v>
      </c>
      <c r="V110" s="267">
        <f t="shared" ref="V110" si="240">+SUM(V111:V112)</f>
        <v>5410.1</v>
      </c>
      <c r="W110" s="267">
        <f t="shared" ref="W110:AA110" si="241">+SUM(W111:W112)</f>
        <v>5391.9</v>
      </c>
      <c r="X110" s="267">
        <f t="shared" si="241"/>
        <v>5371</v>
      </c>
      <c r="Y110" s="267">
        <f t="shared" si="241"/>
        <v>5398</v>
      </c>
      <c r="Z110" s="267">
        <f t="shared" si="241"/>
        <v>5487.7999999999993</v>
      </c>
      <c r="AA110" s="267">
        <f t="shared" si="241"/>
        <v>5307.3</v>
      </c>
      <c r="AB110" s="267">
        <f t="shared" ref="AB110:AT110" si="242">+SUM(AB111:AB112)</f>
        <v>5289.1</v>
      </c>
      <c r="AC110" s="267">
        <f t="shared" si="242"/>
        <v>5238.7999999999993</v>
      </c>
      <c r="AD110" s="267">
        <f t="shared" si="242"/>
        <v>5079.8</v>
      </c>
      <c r="AE110" s="267">
        <f t="shared" si="242"/>
        <v>5091.5</v>
      </c>
      <c r="AF110" s="267">
        <f t="shared" si="242"/>
        <v>5053.3</v>
      </c>
      <c r="AG110" s="267">
        <f t="shared" si="242"/>
        <v>4670.8</v>
      </c>
      <c r="AH110" s="267">
        <f t="shared" si="242"/>
        <v>4669.7999999999993</v>
      </c>
      <c r="AI110" s="267">
        <f t="shared" si="242"/>
        <v>4647.3999999999996</v>
      </c>
      <c r="AJ110" s="267">
        <f t="shared" si="242"/>
        <v>4684.5</v>
      </c>
      <c r="AK110" s="267">
        <f t="shared" si="242"/>
        <v>4699.1000000000004</v>
      </c>
      <c r="AL110" s="267">
        <f t="shared" si="242"/>
        <v>4709.8999999999996</v>
      </c>
      <c r="AM110" s="267">
        <f t="shared" si="242"/>
        <v>4534.6000000000004</v>
      </c>
      <c r="AN110" s="267">
        <f t="shared" si="242"/>
        <v>4361.2</v>
      </c>
      <c r="AO110" s="267">
        <f t="shared" si="242"/>
        <v>4350.5</v>
      </c>
      <c r="AP110" s="267">
        <f t="shared" si="242"/>
        <v>4288.8</v>
      </c>
      <c r="AQ110" s="267">
        <f t="shared" si="242"/>
        <v>4301.6000000000004</v>
      </c>
      <c r="AR110" s="267">
        <f t="shared" si="242"/>
        <v>4298.7000000000007</v>
      </c>
      <c r="AS110" s="267">
        <f t="shared" si="242"/>
        <v>4121.1000000000004</v>
      </c>
      <c r="AT110" s="267">
        <f t="shared" si="242"/>
        <v>4118</v>
      </c>
      <c r="AU110" s="267">
        <f t="shared" ref="AU110" si="243">+SUM(AU111:AU112)</f>
        <v>4117.7999999999993</v>
      </c>
      <c r="AV110" s="267">
        <f t="shared" ref="AV110:BA110" si="244">+SUM(AV111:AV112)</f>
        <v>4732.2</v>
      </c>
      <c r="AW110" s="267">
        <f t="shared" si="244"/>
        <v>4846</v>
      </c>
      <c r="AX110" s="267">
        <f t="shared" si="244"/>
        <v>5049.3999999999996</v>
      </c>
      <c r="AY110" s="267">
        <f t="shared" si="244"/>
        <v>5100.8999999999996</v>
      </c>
      <c r="AZ110" s="267">
        <f t="shared" si="244"/>
        <v>5064.2</v>
      </c>
      <c r="BA110" s="267">
        <f t="shared" si="244"/>
        <v>4959.5</v>
      </c>
      <c r="BB110" s="267">
        <f t="shared" ref="BB110:BI110" si="245">+SUM(BB111:BB112)</f>
        <v>4963.3</v>
      </c>
      <c r="BC110" s="267">
        <f t="shared" si="245"/>
        <v>4919.5</v>
      </c>
      <c r="BD110" s="267">
        <f t="shared" si="245"/>
        <v>5019.6000000000004</v>
      </c>
      <c r="BE110" s="267">
        <f t="shared" si="245"/>
        <v>4828.7</v>
      </c>
      <c r="BF110" s="267">
        <f t="shared" si="245"/>
        <v>4804.7</v>
      </c>
      <c r="BG110" s="267">
        <f t="shared" si="245"/>
        <v>4768.2</v>
      </c>
      <c r="BH110" s="267">
        <f t="shared" si="245"/>
        <v>4602.6000000000004</v>
      </c>
      <c r="BI110" s="267">
        <f t="shared" si="245"/>
        <v>4638.3</v>
      </c>
      <c r="BJ110" s="267">
        <f t="shared" ref="BJ110:BO110" si="246">+SUM(BJ111:BJ112)</f>
        <v>4671.5</v>
      </c>
      <c r="BK110" s="267">
        <f t="shared" si="246"/>
        <v>4424.3</v>
      </c>
      <c r="BL110" s="267">
        <f t="shared" si="246"/>
        <v>4413.3</v>
      </c>
      <c r="BM110" s="267">
        <f t="shared" si="246"/>
        <v>4231.2000000000007</v>
      </c>
      <c r="BN110" s="267">
        <f t="shared" si="246"/>
        <v>4204.2</v>
      </c>
      <c r="BO110" s="267">
        <f t="shared" si="246"/>
        <v>4216.2</v>
      </c>
      <c r="BP110" s="267">
        <f t="shared" ref="BP110:CJ110" si="247">+SUM(BP111:BP112)</f>
        <v>4201.1000000000004</v>
      </c>
      <c r="BQ110" s="267">
        <f t="shared" ref="BQ110:CI110" si="248">+SUM(BQ111:BQ112)</f>
        <v>4015.6</v>
      </c>
      <c r="BR110" s="267">
        <f t="shared" si="248"/>
        <v>4039.7</v>
      </c>
      <c r="BS110" s="267">
        <f t="shared" si="248"/>
        <v>3869.2</v>
      </c>
      <c r="BT110" s="267">
        <f t="shared" si="248"/>
        <v>3842.1</v>
      </c>
      <c r="BU110" s="267">
        <f t="shared" si="248"/>
        <v>3822.5</v>
      </c>
      <c r="BV110" s="267">
        <f t="shared" si="248"/>
        <v>3794.5</v>
      </c>
      <c r="BW110" s="267">
        <f t="shared" si="248"/>
        <v>3584.8</v>
      </c>
      <c r="BX110" s="267">
        <f t="shared" si="248"/>
        <v>3594.8</v>
      </c>
      <c r="BY110" s="267">
        <f t="shared" si="248"/>
        <v>3418.9</v>
      </c>
      <c r="BZ110" s="267">
        <f t="shared" si="248"/>
        <v>3459.8</v>
      </c>
      <c r="CA110" s="267">
        <f t="shared" si="248"/>
        <v>3456.2000000000003</v>
      </c>
      <c r="CB110" s="267">
        <f t="shared" si="248"/>
        <v>3480</v>
      </c>
      <c r="CC110" s="267">
        <f t="shared" si="248"/>
        <v>3237.2</v>
      </c>
      <c r="CD110" s="267">
        <f t="shared" si="248"/>
        <v>3263.2</v>
      </c>
      <c r="CE110" s="267">
        <f t="shared" si="248"/>
        <v>3051.8</v>
      </c>
      <c r="CF110" s="267">
        <f t="shared" si="248"/>
        <v>3030.8</v>
      </c>
      <c r="CG110" s="267">
        <f t="shared" si="248"/>
        <v>3073.7</v>
      </c>
      <c r="CH110" s="267">
        <f t="shared" si="248"/>
        <v>3229</v>
      </c>
      <c r="CI110" s="267">
        <f t="shared" si="248"/>
        <v>3006.6000000000004</v>
      </c>
      <c r="CJ110" s="267">
        <f t="shared" si="247"/>
        <v>3000.2</v>
      </c>
      <c r="CK110" s="325">
        <f>+CJ110/$CJ$10</f>
        <v>6.3545424642586093E-3</v>
      </c>
    </row>
    <row r="111" spans="1:90" x14ac:dyDescent="0.3">
      <c r="A111" s="38"/>
      <c r="B111" s="45" t="s">
        <v>341</v>
      </c>
      <c r="C111" s="267">
        <v>3607</v>
      </c>
      <c r="D111" s="267">
        <v>3576.5</v>
      </c>
      <c r="E111" s="267">
        <v>3558.3</v>
      </c>
      <c r="F111" s="267">
        <v>3549.1</v>
      </c>
      <c r="G111" s="267">
        <v>1935</v>
      </c>
      <c r="H111" s="267">
        <v>1955.6</v>
      </c>
      <c r="I111" s="267">
        <v>1926.9</v>
      </c>
      <c r="J111" s="267">
        <v>1930.7</v>
      </c>
      <c r="K111" s="267">
        <v>1915.2</v>
      </c>
      <c r="L111" s="267">
        <v>1936.7</v>
      </c>
      <c r="M111" s="267">
        <v>1918.3</v>
      </c>
      <c r="N111" s="267">
        <v>1941.3</v>
      </c>
      <c r="O111" s="267">
        <v>1933.2</v>
      </c>
      <c r="P111" s="267">
        <v>1928.7</v>
      </c>
      <c r="Q111" s="267">
        <v>1930.8</v>
      </c>
      <c r="R111" s="267">
        <v>1926.3</v>
      </c>
      <c r="S111" s="267">
        <v>2110.5</v>
      </c>
      <c r="T111" s="267">
        <v>2123.1999999999998</v>
      </c>
      <c r="U111" s="267">
        <v>2184.4</v>
      </c>
      <c r="V111" s="267">
        <v>2200.1</v>
      </c>
      <c r="W111" s="267">
        <v>2180.6</v>
      </c>
      <c r="X111" s="267">
        <v>2179.1</v>
      </c>
      <c r="Y111" s="267">
        <v>2206.6999999999998</v>
      </c>
      <c r="Z111" s="267">
        <v>2240.1999999999998</v>
      </c>
      <c r="AA111" s="267">
        <v>2225.5</v>
      </c>
      <c r="AB111" s="267">
        <v>2208.6999999999998</v>
      </c>
      <c r="AC111" s="267">
        <v>2155.6</v>
      </c>
      <c r="AD111" s="267">
        <v>2009.5</v>
      </c>
      <c r="AE111" s="267">
        <v>2027</v>
      </c>
      <c r="AF111" s="267">
        <v>1987.7</v>
      </c>
      <c r="AG111" s="267">
        <v>1768.9</v>
      </c>
      <c r="AH111" s="267">
        <v>1762.1</v>
      </c>
      <c r="AI111" s="267">
        <v>1739.9</v>
      </c>
      <c r="AJ111" s="267">
        <v>1731.2</v>
      </c>
      <c r="AK111" s="267">
        <v>1717.6</v>
      </c>
      <c r="AL111" s="267">
        <v>1714.1</v>
      </c>
      <c r="AM111" s="267">
        <v>1703</v>
      </c>
      <c r="AN111" s="267">
        <v>1515</v>
      </c>
      <c r="AO111" s="267">
        <v>1486.2</v>
      </c>
      <c r="AP111" s="267">
        <v>1428.3</v>
      </c>
      <c r="AQ111" s="267">
        <v>1444.3</v>
      </c>
      <c r="AR111" s="267">
        <v>1412.9</v>
      </c>
      <c r="AS111" s="267">
        <v>1402.5</v>
      </c>
      <c r="AT111" s="267">
        <v>1377.5</v>
      </c>
      <c r="AU111" s="267">
        <v>1348.6</v>
      </c>
      <c r="AV111" s="267">
        <v>1954</v>
      </c>
      <c r="AW111" s="267">
        <v>2038</v>
      </c>
      <c r="AX111" s="267">
        <v>1927.6</v>
      </c>
      <c r="AY111" s="267">
        <v>1945.5</v>
      </c>
      <c r="AZ111" s="267">
        <v>1899.8</v>
      </c>
      <c r="BA111" s="267">
        <v>1772.5</v>
      </c>
      <c r="BB111" s="267">
        <v>1779.5</v>
      </c>
      <c r="BC111" s="267">
        <v>1744.4</v>
      </c>
      <c r="BD111" s="267">
        <v>1751.6</v>
      </c>
      <c r="BE111" s="267">
        <v>1765.8</v>
      </c>
      <c r="BF111" s="267">
        <v>1744.8</v>
      </c>
      <c r="BG111" s="267">
        <v>1711.3</v>
      </c>
      <c r="BH111" s="267">
        <v>1549.6</v>
      </c>
      <c r="BI111" s="267">
        <v>1582.3</v>
      </c>
      <c r="BJ111" s="267">
        <v>1613</v>
      </c>
      <c r="BK111" s="267">
        <v>1581.9</v>
      </c>
      <c r="BL111" s="267">
        <v>1572</v>
      </c>
      <c r="BM111" s="267">
        <v>1390.9</v>
      </c>
      <c r="BN111" s="267">
        <v>1370</v>
      </c>
      <c r="BO111" s="267">
        <v>1384.2</v>
      </c>
      <c r="BP111" s="267">
        <v>1370.7</v>
      </c>
      <c r="BQ111" s="267">
        <v>1396.9</v>
      </c>
      <c r="BR111" s="267">
        <v>1421</v>
      </c>
      <c r="BS111" s="267">
        <v>1249.7</v>
      </c>
      <c r="BT111" s="267">
        <v>1221</v>
      </c>
      <c r="BU111" s="267">
        <v>1206.7</v>
      </c>
      <c r="BV111" s="267">
        <v>1181.0999999999999</v>
      </c>
      <c r="BW111" s="267">
        <v>1184.3</v>
      </c>
      <c r="BX111" s="267">
        <v>1192.3</v>
      </c>
      <c r="BY111" s="267">
        <v>1014</v>
      </c>
      <c r="BZ111" s="267">
        <v>1051</v>
      </c>
      <c r="CA111" s="267">
        <v>1051.4000000000001</v>
      </c>
      <c r="CB111" s="267">
        <v>1073.0999999999999</v>
      </c>
      <c r="CC111" s="267">
        <v>1045.8</v>
      </c>
      <c r="CD111" s="267">
        <v>1064</v>
      </c>
      <c r="CE111" s="267">
        <v>850.3</v>
      </c>
      <c r="CF111" s="267">
        <v>836.8</v>
      </c>
      <c r="CG111" s="267">
        <v>837.1</v>
      </c>
      <c r="CH111" s="267">
        <v>842.8</v>
      </c>
      <c r="CI111" s="267">
        <v>849.8</v>
      </c>
      <c r="CJ111" s="267">
        <v>847.8</v>
      </c>
      <c r="CK111" s="325"/>
    </row>
    <row r="112" spans="1:90" x14ac:dyDescent="0.3">
      <c r="A112" s="38"/>
      <c r="B112" s="45" t="s">
        <v>165</v>
      </c>
      <c r="C112" s="267">
        <v>3226</v>
      </c>
      <c r="D112" s="267">
        <v>3236.5</v>
      </c>
      <c r="E112" s="267">
        <v>3311.5</v>
      </c>
      <c r="F112" s="267">
        <v>3305.4</v>
      </c>
      <c r="G112" s="267">
        <v>3340.4</v>
      </c>
      <c r="H112" s="267">
        <v>3364.9</v>
      </c>
      <c r="I112" s="267">
        <v>3286.6</v>
      </c>
      <c r="J112" s="267">
        <v>3338.4</v>
      </c>
      <c r="K112" s="267">
        <v>3374.2</v>
      </c>
      <c r="L112" s="267">
        <v>3407.6</v>
      </c>
      <c r="M112" s="267">
        <v>3416.3</v>
      </c>
      <c r="N112" s="267">
        <v>3456.8</v>
      </c>
      <c r="O112" s="267">
        <v>3356.1</v>
      </c>
      <c r="P112" s="267">
        <v>3355.6</v>
      </c>
      <c r="Q112" s="267">
        <v>3353.7</v>
      </c>
      <c r="R112" s="267">
        <v>3357.5</v>
      </c>
      <c r="S112" s="267">
        <v>3350.5</v>
      </c>
      <c r="T112" s="267">
        <v>3350.8</v>
      </c>
      <c r="U112" s="267">
        <v>3209.1</v>
      </c>
      <c r="V112" s="267">
        <v>3210</v>
      </c>
      <c r="W112" s="267">
        <v>3211.3</v>
      </c>
      <c r="X112" s="267">
        <v>3191.9</v>
      </c>
      <c r="Y112" s="267">
        <v>3191.3</v>
      </c>
      <c r="Z112" s="267">
        <v>3247.6</v>
      </c>
      <c r="AA112" s="267">
        <v>3081.8</v>
      </c>
      <c r="AB112" s="267">
        <v>3080.4</v>
      </c>
      <c r="AC112" s="267">
        <v>3083.2</v>
      </c>
      <c r="AD112" s="267">
        <v>3070.3</v>
      </c>
      <c r="AE112" s="267">
        <v>3064.5</v>
      </c>
      <c r="AF112" s="267">
        <v>3065.6</v>
      </c>
      <c r="AG112" s="267">
        <v>2901.9</v>
      </c>
      <c r="AH112" s="267">
        <v>2907.7</v>
      </c>
      <c r="AI112" s="267">
        <v>2907.5</v>
      </c>
      <c r="AJ112" s="267">
        <v>2953.3</v>
      </c>
      <c r="AK112" s="267">
        <v>2981.5</v>
      </c>
      <c r="AL112" s="267">
        <v>2995.8</v>
      </c>
      <c r="AM112" s="267">
        <v>2831.6</v>
      </c>
      <c r="AN112" s="267">
        <v>2846.2</v>
      </c>
      <c r="AO112" s="267">
        <v>2864.3</v>
      </c>
      <c r="AP112" s="267">
        <v>2860.5</v>
      </c>
      <c r="AQ112" s="267">
        <v>2857.3</v>
      </c>
      <c r="AR112" s="267">
        <v>2885.8</v>
      </c>
      <c r="AS112" s="267">
        <v>2718.6</v>
      </c>
      <c r="AT112" s="267">
        <v>2740.5</v>
      </c>
      <c r="AU112" s="267">
        <v>2769.2</v>
      </c>
      <c r="AV112" s="267">
        <v>2778.2</v>
      </c>
      <c r="AW112" s="267">
        <v>2808</v>
      </c>
      <c r="AX112" s="267">
        <v>3121.8</v>
      </c>
      <c r="AY112" s="267">
        <v>3155.4</v>
      </c>
      <c r="AZ112" s="267">
        <v>3164.4</v>
      </c>
      <c r="BA112" s="267">
        <v>3187</v>
      </c>
      <c r="BB112" s="267">
        <v>3183.8</v>
      </c>
      <c r="BC112" s="267">
        <v>3175.1</v>
      </c>
      <c r="BD112" s="267">
        <v>3268</v>
      </c>
      <c r="BE112" s="267">
        <v>3062.9</v>
      </c>
      <c r="BF112" s="267">
        <v>3059.9</v>
      </c>
      <c r="BG112" s="267">
        <v>3056.9</v>
      </c>
      <c r="BH112" s="267">
        <v>3053</v>
      </c>
      <c r="BI112" s="267">
        <v>3056</v>
      </c>
      <c r="BJ112" s="267">
        <v>3058.5</v>
      </c>
      <c r="BK112" s="267">
        <v>2842.4</v>
      </c>
      <c r="BL112" s="267">
        <v>2841.3</v>
      </c>
      <c r="BM112" s="267">
        <v>2840.3</v>
      </c>
      <c r="BN112" s="267">
        <v>2834.2</v>
      </c>
      <c r="BO112" s="267">
        <v>2832</v>
      </c>
      <c r="BP112" s="267">
        <v>2830.4</v>
      </c>
      <c r="BQ112" s="267">
        <v>2618.6999999999998</v>
      </c>
      <c r="BR112" s="267">
        <v>2618.6999999999998</v>
      </c>
      <c r="BS112" s="267">
        <v>2619.5</v>
      </c>
      <c r="BT112" s="267">
        <v>2621.1</v>
      </c>
      <c r="BU112" s="267">
        <v>2615.8000000000002</v>
      </c>
      <c r="BV112" s="267">
        <v>2613.4</v>
      </c>
      <c r="BW112" s="267">
        <v>2400.5</v>
      </c>
      <c r="BX112" s="267">
        <v>2402.5</v>
      </c>
      <c r="BY112" s="267">
        <v>2404.9</v>
      </c>
      <c r="BZ112" s="267">
        <v>2408.8000000000002</v>
      </c>
      <c r="CA112" s="267">
        <v>2404.8000000000002</v>
      </c>
      <c r="CB112" s="267">
        <v>2406.9</v>
      </c>
      <c r="CC112" s="267">
        <v>2191.4</v>
      </c>
      <c r="CD112" s="267">
        <v>2199.1999999999998</v>
      </c>
      <c r="CE112" s="267">
        <v>2201.5</v>
      </c>
      <c r="CF112" s="267">
        <v>2194</v>
      </c>
      <c r="CG112" s="267">
        <v>2236.6</v>
      </c>
      <c r="CH112" s="267">
        <v>2386.1999999999998</v>
      </c>
      <c r="CI112" s="267">
        <v>2156.8000000000002</v>
      </c>
      <c r="CJ112" s="267">
        <v>2152.4</v>
      </c>
      <c r="CK112" s="325"/>
    </row>
    <row r="113" spans="1:90" x14ac:dyDescent="0.3">
      <c r="A113" s="38"/>
      <c r="B113" s="52"/>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23"/>
    </row>
    <row r="114" spans="1:90" x14ac:dyDescent="0.3">
      <c r="A114" s="38"/>
      <c r="B114" s="53" t="s">
        <v>35</v>
      </c>
      <c r="C114" s="267">
        <v>1219.0999999999999</v>
      </c>
      <c r="D114" s="267">
        <v>1258.5</v>
      </c>
      <c r="E114" s="267">
        <v>1140.9000000000001</v>
      </c>
      <c r="F114" s="267">
        <v>1147.0999999999999</v>
      </c>
      <c r="G114" s="267">
        <v>1127.2</v>
      </c>
      <c r="H114" s="267">
        <v>1187.0999999999999</v>
      </c>
      <c r="I114" s="267">
        <v>1211.5</v>
      </c>
      <c r="J114" s="267">
        <v>945.5</v>
      </c>
      <c r="K114" s="267">
        <v>972</v>
      </c>
      <c r="L114" s="267">
        <v>948.1</v>
      </c>
      <c r="M114" s="267">
        <v>1026</v>
      </c>
      <c r="N114" s="267">
        <v>2284</v>
      </c>
      <c r="O114" s="267">
        <v>2267.8000000000002</v>
      </c>
      <c r="P114" s="267">
        <v>2127.3000000000002</v>
      </c>
      <c r="Q114" s="267">
        <v>2064.4</v>
      </c>
      <c r="R114" s="267">
        <v>2025.6000000000001</v>
      </c>
      <c r="S114" s="267">
        <v>1988.7</v>
      </c>
      <c r="T114" s="267">
        <v>1934</v>
      </c>
      <c r="U114" s="267">
        <v>1906.8</v>
      </c>
      <c r="V114" s="267">
        <v>1879.2</v>
      </c>
      <c r="W114" s="267">
        <v>1899.2</v>
      </c>
      <c r="X114" s="267">
        <v>1860.7</v>
      </c>
      <c r="Y114" s="267">
        <v>1820.8</v>
      </c>
      <c r="Z114" s="267">
        <v>2028.8</v>
      </c>
      <c r="AA114" s="267">
        <v>1982</v>
      </c>
      <c r="AB114" s="267">
        <v>1940.5</v>
      </c>
      <c r="AC114" s="267">
        <v>1895.8999999999999</v>
      </c>
      <c r="AD114" s="267">
        <v>1894.5</v>
      </c>
      <c r="AE114" s="267">
        <v>1862.2</v>
      </c>
      <c r="AF114" s="267">
        <v>1835.2</v>
      </c>
      <c r="AG114" s="267">
        <v>1857</v>
      </c>
      <c r="AH114" s="267">
        <v>1839.8</v>
      </c>
      <c r="AI114" s="267">
        <v>1818.2</v>
      </c>
      <c r="AJ114" s="267">
        <v>2605.8000000000002</v>
      </c>
      <c r="AK114" s="267">
        <v>2554.9</v>
      </c>
      <c r="AL114" s="267">
        <v>2530.1</v>
      </c>
      <c r="AM114" s="267">
        <v>2486</v>
      </c>
      <c r="AN114" s="267">
        <v>2447</v>
      </c>
      <c r="AO114" s="267">
        <v>2378.1</v>
      </c>
      <c r="AP114" s="267">
        <v>2279.9</v>
      </c>
      <c r="AQ114" s="267">
        <v>2192.7999999999997</v>
      </c>
      <c r="AR114" s="267">
        <v>2114.1</v>
      </c>
      <c r="AS114" s="267">
        <v>2032.6999999999998</v>
      </c>
      <c r="AT114" s="267">
        <v>1937.1000000000001</v>
      </c>
      <c r="AU114" s="267">
        <v>1838.4</v>
      </c>
      <c r="AV114" s="267">
        <v>2401.3000000000002</v>
      </c>
      <c r="AW114" s="267">
        <v>2276.4</v>
      </c>
      <c r="AX114" s="267">
        <v>2745.2</v>
      </c>
      <c r="AY114" s="267">
        <v>2628.8</v>
      </c>
      <c r="AZ114" s="267">
        <v>2502</v>
      </c>
      <c r="BA114" s="267">
        <v>2394.1</v>
      </c>
      <c r="BB114" s="267">
        <v>2273.1999999999998</v>
      </c>
      <c r="BC114" s="267">
        <v>2108.1</v>
      </c>
      <c r="BD114" s="267">
        <v>1997</v>
      </c>
      <c r="BE114" s="267">
        <v>1891.1</v>
      </c>
      <c r="BF114" s="267">
        <v>1561.5</v>
      </c>
      <c r="BG114" s="267">
        <v>1552</v>
      </c>
      <c r="BH114" s="267">
        <v>1745.7</v>
      </c>
      <c r="BI114" s="267">
        <v>1691.2</v>
      </c>
      <c r="BJ114" s="267">
        <v>1195.5</v>
      </c>
      <c r="BK114" s="267">
        <v>1169.5</v>
      </c>
      <c r="BL114" s="267">
        <v>1150.8999999999999</v>
      </c>
      <c r="BM114" s="267">
        <v>1136.4000000000001</v>
      </c>
      <c r="BN114" s="267">
        <v>1107</v>
      </c>
      <c r="BO114" s="267">
        <v>1072.9000000000001</v>
      </c>
      <c r="BP114" s="267">
        <v>1052.9000000000001</v>
      </c>
      <c r="BQ114" s="267">
        <v>1037.7</v>
      </c>
      <c r="BR114" s="267">
        <v>1025.9000000000001</v>
      </c>
      <c r="BS114" s="267">
        <v>1014.5999999999999</v>
      </c>
      <c r="BT114" s="267">
        <v>986.5</v>
      </c>
      <c r="BU114" s="267">
        <v>962.3</v>
      </c>
      <c r="BV114" s="267">
        <v>919.1</v>
      </c>
      <c r="BW114" s="267">
        <v>905.7</v>
      </c>
      <c r="BX114" s="267">
        <v>897.4</v>
      </c>
      <c r="BY114" s="267">
        <v>901.80000000000007</v>
      </c>
      <c r="BZ114" s="267">
        <v>852.5</v>
      </c>
      <c r="CA114" s="267">
        <v>818.19999999999993</v>
      </c>
      <c r="CB114" s="267">
        <v>825.6</v>
      </c>
      <c r="CC114" s="267">
        <v>750</v>
      </c>
      <c r="CD114" s="267">
        <v>763.80000000000007</v>
      </c>
      <c r="CE114" s="267">
        <v>748.5</v>
      </c>
      <c r="CF114" s="267">
        <v>1749.7</v>
      </c>
      <c r="CG114" s="267">
        <v>1742.1000000000001</v>
      </c>
      <c r="CH114" s="267">
        <v>682.59999999999991</v>
      </c>
      <c r="CI114" s="267">
        <v>688.3</v>
      </c>
      <c r="CJ114" s="267">
        <v>697.5</v>
      </c>
      <c r="CK114" s="325">
        <f>+CJ114/$CJ$10</f>
        <v>1.4773326340978537E-3</v>
      </c>
    </row>
    <row r="115" spans="1:90" x14ac:dyDescent="0.3">
      <c r="A115" s="38"/>
      <c r="B115" s="51"/>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64"/>
      <c r="AZ115" s="364"/>
      <c r="BA115" s="364"/>
      <c r="BB115" s="364"/>
      <c r="BC115" s="364"/>
      <c r="BD115" s="364"/>
      <c r="BE115" s="364"/>
      <c r="BF115" s="364"/>
      <c r="BG115" s="364"/>
      <c r="BH115" s="364"/>
      <c r="BI115" s="364"/>
      <c r="BJ115" s="364"/>
      <c r="BK115" s="364"/>
      <c r="BL115" s="364"/>
      <c r="BM115" s="364"/>
      <c r="BN115" s="364"/>
      <c r="BO115" s="364"/>
      <c r="BP115" s="364"/>
      <c r="BQ115" s="364"/>
      <c r="BR115" s="364"/>
      <c r="BS115" s="364"/>
      <c r="BT115" s="364"/>
      <c r="BU115" s="364"/>
      <c r="BV115" s="364"/>
      <c r="BW115" s="364"/>
      <c r="BX115" s="364"/>
      <c r="BY115" s="364"/>
      <c r="BZ115" s="364"/>
      <c r="CA115" s="364"/>
      <c r="CB115" s="364"/>
      <c r="CC115" s="364"/>
      <c r="CD115" s="364"/>
      <c r="CE115" s="364"/>
      <c r="CF115" s="364"/>
      <c r="CG115" s="364"/>
      <c r="CH115" s="364"/>
      <c r="CI115" s="364"/>
      <c r="CJ115" s="364"/>
      <c r="CK115" s="322"/>
    </row>
    <row r="116" spans="1:90" s="50" customFormat="1" x14ac:dyDescent="0.3">
      <c r="A116" s="38"/>
      <c r="B116" s="52" t="s">
        <v>36</v>
      </c>
      <c r="C116" s="266">
        <f t="shared" ref="C116:U116" si="249">+SUM(C117:C119)</f>
        <v>521.9</v>
      </c>
      <c r="D116" s="266">
        <f t="shared" si="249"/>
        <v>492.4</v>
      </c>
      <c r="E116" s="266">
        <f t="shared" si="249"/>
        <v>345.70000000000005</v>
      </c>
      <c r="F116" s="266">
        <f t="shared" si="249"/>
        <v>354</v>
      </c>
      <c r="G116" s="266">
        <f t="shared" si="249"/>
        <v>360.8</v>
      </c>
      <c r="H116" s="266">
        <f t="shared" si="249"/>
        <v>390.6</v>
      </c>
      <c r="I116" s="266">
        <f t="shared" si="249"/>
        <v>387.8</v>
      </c>
      <c r="J116" s="266">
        <f t="shared" si="249"/>
        <v>289.09999999999997</v>
      </c>
      <c r="K116" s="266">
        <f t="shared" si="249"/>
        <v>304.79999999999995</v>
      </c>
      <c r="L116" s="266">
        <f t="shared" si="249"/>
        <v>308.29999999999995</v>
      </c>
      <c r="M116" s="266">
        <f t="shared" si="249"/>
        <v>320.7</v>
      </c>
      <c r="N116" s="266">
        <f t="shared" si="249"/>
        <v>332.2</v>
      </c>
      <c r="O116" s="266">
        <f t="shared" si="249"/>
        <v>341.20000000000005</v>
      </c>
      <c r="P116" s="266">
        <f t="shared" si="249"/>
        <v>327.7</v>
      </c>
      <c r="Q116" s="266">
        <f t="shared" si="249"/>
        <v>323.09999999999997</v>
      </c>
      <c r="R116" s="266">
        <f t="shared" si="249"/>
        <v>319.89999999999998</v>
      </c>
      <c r="S116" s="266">
        <f t="shared" si="249"/>
        <v>319.5</v>
      </c>
      <c r="T116" s="266">
        <f t="shared" si="249"/>
        <v>315.39999999999998</v>
      </c>
      <c r="U116" s="266">
        <f t="shared" si="249"/>
        <v>311.79999999999995</v>
      </c>
      <c r="V116" s="266">
        <f t="shared" ref="V116" si="250">+SUM(V117:V119)</f>
        <v>310.2</v>
      </c>
      <c r="W116" s="266">
        <f t="shared" ref="W116" si="251">+SUM(W117:W119)</f>
        <v>308.89999999999998</v>
      </c>
      <c r="X116" s="266">
        <f t="shared" ref="X116:AT116" si="252">+SUM(X117:X119)</f>
        <v>308.89999999999998</v>
      </c>
      <c r="Y116" s="266">
        <f t="shared" si="252"/>
        <v>307.29999999999995</v>
      </c>
      <c r="Z116" s="266">
        <f t="shared" si="252"/>
        <v>306.2</v>
      </c>
      <c r="AA116" s="266">
        <f t="shared" si="252"/>
        <v>305.8</v>
      </c>
      <c r="AB116" s="266">
        <f t="shared" si="252"/>
        <v>308.5</v>
      </c>
      <c r="AC116" s="266">
        <f t="shared" si="252"/>
        <v>313.3</v>
      </c>
      <c r="AD116" s="266">
        <f t="shared" si="252"/>
        <v>320.7</v>
      </c>
      <c r="AE116" s="266">
        <f t="shared" si="252"/>
        <v>331.2</v>
      </c>
      <c r="AF116" s="266">
        <f t="shared" si="252"/>
        <v>338.2</v>
      </c>
      <c r="AG116" s="266">
        <f t="shared" si="252"/>
        <v>345.9</v>
      </c>
      <c r="AH116" s="266">
        <f t="shared" si="252"/>
        <v>352.8</v>
      </c>
      <c r="AI116" s="266">
        <f t="shared" si="252"/>
        <v>358.7</v>
      </c>
      <c r="AJ116" s="266">
        <f t="shared" si="252"/>
        <v>366</v>
      </c>
      <c r="AK116" s="266">
        <f t="shared" si="252"/>
        <v>374.1</v>
      </c>
      <c r="AL116" s="266">
        <f t="shared" si="252"/>
        <v>378.6</v>
      </c>
      <c r="AM116" s="266">
        <f t="shared" si="252"/>
        <v>382.2</v>
      </c>
      <c r="AN116" s="266">
        <f t="shared" si="252"/>
        <v>387.2</v>
      </c>
      <c r="AO116" s="266">
        <f t="shared" si="252"/>
        <v>391.8</v>
      </c>
      <c r="AP116" s="266">
        <f t="shared" si="252"/>
        <v>398.2</v>
      </c>
      <c r="AQ116" s="266">
        <f t="shared" si="252"/>
        <v>406.8</v>
      </c>
      <c r="AR116" s="266">
        <f t="shared" si="252"/>
        <v>411.6</v>
      </c>
      <c r="AS116" s="266">
        <f t="shared" si="252"/>
        <v>413.6</v>
      </c>
      <c r="AT116" s="266">
        <f t="shared" si="252"/>
        <v>416.2</v>
      </c>
      <c r="AU116" s="266">
        <f t="shared" ref="AU116" si="253">+SUM(AU117:AU119)</f>
        <v>419.6</v>
      </c>
      <c r="AV116" s="266">
        <f t="shared" ref="AV116:BA116" si="254">+SUM(AV117:AV119)</f>
        <v>420.4</v>
      </c>
      <c r="AW116" s="266">
        <f t="shared" si="254"/>
        <v>418.6</v>
      </c>
      <c r="AX116" s="266">
        <f t="shared" si="254"/>
        <v>417.7</v>
      </c>
      <c r="AY116" s="367">
        <f t="shared" si="254"/>
        <v>415.8</v>
      </c>
      <c r="AZ116" s="367">
        <f t="shared" si="254"/>
        <v>414.7</v>
      </c>
      <c r="BA116" s="367">
        <f t="shared" si="254"/>
        <v>417.2</v>
      </c>
      <c r="BB116" s="367">
        <f t="shared" ref="BB116:BI116" si="255">+SUM(BB117:BB119)</f>
        <v>419.3</v>
      </c>
      <c r="BC116" s="367">
        <f t="shared" si="255"/>
        <v>421.9</v>
      </c>
      <c r="BD116" s="367">
        <f t="shared" si="255"/>
        <v>424.7</v>
      </c>
      <c r="BE116" s="367">
        <f t="shared" si="255"/>
        <v>423.7</v>
      </c>
      <c r="BF116" s="367">
        <f t="shared" si="255"/>
        <v>353.7</v>
      </c>
      <c r="BG116" s="367">
        <f t="shared" si="255"/>
        <v>386.3</v>
      </c>
      <c r="BH116" s="367">
        <f t="shared" si="255"/>
        <v>435.7</v>
      </c>
      <c r="BI116" s="367">
        <f t="shared" si="255"/>
        <v>466.4</v>
      </c>
      <c r="BJ116" s="367">
        <f t="shared" ref="BJ116:BO116" si="256">+SUM(BJ117:BJ119)</f>
        <v>230.3</v>
      </c>
      <c r="BK116" s="367">
        <f t="shared" si="256"/>
        <v>268.60000000000002</v>
      </c>
      <c r="BL116" s="367">
        <f t="shared" si="256"/>
        <v>321.89999999999998</v>
      </c>
      <c r="BM116" s="367">
        <f t="shared" si="256"/>
        <v>371.4</v>
      </c>
      <c r="BN116" s="367">
        <f t="shared" si="256"/>
        <v>406.3</v>
      </c>
      <c r="BO116" s="367">
        <f t="shared" si="256"/>
        <v>437.9</v>
      </c>
      <c r="BP116" s="367">
        <f t="shared" ref="BP116" si="257">+SUM(BP117:BP119)</f>
        <v>457.2</v>
      </c>
      <c r="BQ116" s="367">
        <f t="shared" ref="BQ116:CE116" si="258">+SUM(BQ117:BQ119)</f>
        <v>466.9</v>
      </c>
      <c r="BR116" s="367">
        <f t="shared" si="258"/>
        <v>476.6</v>
      </c>
      <c r="BS116" s="367">
        <f t="shared" si="258"/>
        <v>486.6</v>
      </c>
      <c r="BT116" s="367">
        <f t="shared" si="258"/>
        <v>495.5</v>
      </c>
      <c r="BU116" s="367">
        <f t="shared" si="258"/>
        <v>500</v>
      </c>
      <c r="BV116" s="367">
        <f t="shared" si="258"/>
        <v>502.6</v>
      </c>
      <c r="BW116" s="367">
        <f t="shared" si="258"/>
        <v>505.2</v>
      </c>
      <c r="BX116" s="367">
        <f t="shared" si="258"/>
        <v>511.7</v>
      </c>
      <c r="BY116" s="367">
        <f t="shared" si="258"/>
        <v>519.4</v>
      </c>
      <c r="BZ116" s="367">
        <f t="shared" si="258"/>
        <v>490.2</v>
      </c>
      <c r="CA116" s="367">
        <f t="shared" si="258"/>
        <v>496.5</v>
      </c>
      <c r="CB116" s="367">
        <f t="shared" si="258"/>
        <v>507.5</v>
      </c>
      <c r="CC116" s="367">
        <f t="shared" si="258"/>
        <v>455.3</v>
      </c>
      <c r="CD116" s="367">
        <f t="shared" si="258"/>
        <v>473.1</v>
      </c>
      <c r="CE116" s="367">
        <f t="shared" si="258"/>
        <v>466.9</v>
      </c>
      <c r="CF116" s="367">
        <f>+SUM(CF117:CF119)</f>
        <v>451.2</v>
      </c>
      <c r="CG116" s="367">
        <f>+SUM(CG117:CG119)</f>
        <v>458.5</v>
      </c>
      <c r="CH116" s="367">
        <f>+SUM(CH117:CH119)</f>
        <v>466.9</v>
      </c>
      <c r="CI116" s="367">
        <f>+SUM(CI117:CI119)</f>
        <v>483.1</v>
      </c>
      <c r="CJ116" s="367">
        <f>+SUM(CJ117:CJ119)</f>
        <v>509.8</v>
      </c>
      <c r="CK116" s="323">
        <f>+CJ116/$CJ$10</f>
        <v>1.0797765976531695E-3</v>
      </c>
      <c r="CL116" s="10"/>
    </row>
    <row r="117" spans="1:90" s="50" customFormat="1" x14ac:dyDescent="0.3">
      <c r="A117" s="38"/>
      <c r="B117" s="45" t="s">
        <v>37</v>
      </c>
      <c r="C117" s="267">
        <v>130.19999999999999</v>
      </c>
      <c r="D117" s="267">
        <v>123.6</v>
      </c>
      <c r="E117" s="267">
        <v>0</v>
      </c>
      <c r="F117" s="267">
        <v>0</v>
      </c>
      <c r="G117" s="267">
        <v>0</v>
      </c>
      <c r="H117" s="267">
        <v>0</v>
      </c>
      <c r="I117" s="267">
        <v>0</v>
      </c>
      <c r="J117" s="267">
        <v>0</v>
      </c>
      <c r="K117" s="267">
        <v>0</v>
      </c>
      <c r="L117" s="267">
        <v>0</v>
      </c>
      <c r="M117" s="267">
        <v>0</v>
      </c>
      <c r="N117" s="267">
        <v>0</v>
      </c>
      <c r="O117" s="267">
        <v>0</v>
      </c>
      <c r="P117" s="267">
        <v>0</v>
      </c>
      <c r="Q117" s="267">
        <v>0</v>
      </c>
      <c r="R117" s="267">
        <v>0</v>
      </c>
      <c r="S117" s="267">
        <v>0</v>
      </c>
      <c r="T117" s="267">
        <v>0</v>
      </c>
      <c r="U117" s="267">
        <v>0</v>
      </c>
      <c r="V117" s="267">
        <v>0</v>
      </c>
      <c r="W117" s="267">
        <v>0</v>
      </c>
      <c r="X117" s="267">
        <v>0</v>
      </c>
      <c r="Y117" s="267">
        <v>0</v>
      </c>
      <c r="Z117" s="267">
        <v>0</v>
      </c>
      <c r="AA117" s="267">
        <v>0</v>
      </c>
      <c r="AB117" s="267">
        <v>0</v>
      </c>
      <c r="AC117" s="267">
        <v>0</v>
      </c>
      <c r="AD117" s="267">
        <v>0</v>
      </c>
      <c r="AE117" s="267">
        <v>0</v>
      </c>
      <c r="AF117" s="267">
        <v>0</v>
      </c>
      <c r="AG117" s="267">
        <v>0</v>
      </c>
      <c r="AH117" s="267">
        <v>0</v>
      </c>
      <c r="AI117" s="267">
        <v>0</v>
      </c>
      <c r="AJ117" s="267">
        <v>0</v>
      </c>
      <c r="AK117" s="267">
        <v>0</v>
      </c>
      <c r="AL117" s="267">
        <v>0</v>
      </c>
      <c r="AM117" s="267">
        <v>0</v>
      </c>
      <c r="AN117" s="267">
        <v>0</v>
      </c>
      <c r="AO117" s="267">
        <v>0</v>
      </c>
      <c r="AP117" s="267">
        <v>0</v>
      </c>
      <c r="AQ117" s="267">
        <v>0</v>
      </c>
      <c r="AR117" s="267">
        <v>0</v>
      </c>
      <c r="AS117" s="267">
        <v>0</v>
      </c>
      <c r="AT117" s="267">
        <v>0</v>
      </c>
      <c r="AU117" s="267">
        <v>0</v>
      </c>
      <c r="AV117" s="267">
        <v>0</v>
      </c>
      <c r="AW117" s="267">
        <v>0</v>
      </c>
      <c r="AX117" s="267">
        <v>0</v>
      </c>
      <c r="AY117" s="267">
        <v>0</v>
      </c>
      <c r="AZ117" s="267">
        <v>0</v>
      </c>
      <c r="BA117" s="267">
        <v>0</v>
      </c>
      <c r="BB117" s="267">
        <v>0</v>
      </c>
      <c r="BC117" s="267">
        <v>0</v>
      </c>
      <c r="BD117" s="267">
        <v>0</v>
      </c>
      <c r="BE117" s="267">
        <v>0</v>
      </c>
      <c r="BF117" s="267">
        <v>0</v>
      </c>
      <c r="BG117" s="267">
        <v>0</v>
      </c>
      <c r="BH117" s="267">
        <v>0</v>
      </c>
      <c r="BI117" s="267">
        <v>0</v>
      </c>
      <c r="BJ117" s="267">
        <v>0</v>
      </c>
      <c r="BK117" s="267">
        <v>0</v>
      </c>
      <c r="BL117" s="267">
        <v>0</v>
      </c>
      <c r="BM117" s="267">
        <v>0</v>
      </c>
      <c r="BN117" s="267">
        <v>0</v>
      </c>
      <c r="BO117" s="267">
        <v>0</v>
      </c>
      <c r="BP117" s="267">
        <v>0</v>
      </c>
      <c r="BQ117" s="267">
        <v>0</v>
      </c>
      <c r="BR117" s="267">
        <v>0</v>
      </c>
      <c r="BS117" s="267">
        <v>0</v>
      </c>
      <c r="BT117" s="267">
        <v>0</v>
      </c>
      <c r="BU117" s="267">
        <v>0</v>
      </c>
      <c r="BV117" s="267">
        <v>0</v>
      </c>
      <c r="BW117" s="267">
        <v>0</v>
      </c>
      <c r="BX117" s="267">
        <v>0</v>
      </c>
      <c r="BY117" s="267">
        <v>0</v>
      </c>
      <c r="BZ117" s="267">
        <v>0</v>
      </c>
      <c r="CA117" s="267">
        <v>0</v>
      </c>
      <c r="CB117" s="267">
        <v>0</v>
      </c>
      <c r="CC117" s="267">
        <v>0</v>
      </c>
      <c r="CD117" s="267">
        <v>0</v>
      </c>
      <c r="CE117" s="267">
        <v>0</v>
      </c>
      <c r="CF117" s="267">
        <v>0</v>
      </c>
      <c r="CG117" s="267">
        <v>0</v>
      </c>
      <c r="CH117" s="267">
        <v>0</v>
      </c>
      <c r="CI117" s="267">
        <v>0</v>
      </c>
      <c r="CJ117" s="267">
        <v>0</v>
      </c>
      <c r="CK117" s="325"/>
      <c r="CL117" s="10"/>
    </row>
    <row r="118" spans="1:90" s="50" customFormat="1" x14ac:dyDescent="0.3">
      <c r="A118" s="38"/>
      <c r="B118" s="45" t="s">
        <v>56</v>
      </c>
      <c r="C118" s="267">
        <v>46.6</v>
      </c>
      <c r="D118" s="267">
        <v>32.6</v>
      </c>
      <c r="E118" s="267">
        <v>32.6</v>
      </c>
      <c r="F118" s="267">
        <v>32.6</v>
      </c>
      <c r="G118" s="267">
        <v>32.6</v>
      </c>
      <c r="H118" s="267">
        <v>32.6</v>
      </c>
      <c r="I118" s="267">
        <v>31.3</v>
      </c>
      <c r="J118" s="267">
        <v>17.899999999999999</v>
      </c>
      <c r="K118" s="267">
        <v>17.899999999999999</v>
      </c>
      <c r="L118" s="267">
        <v>17.899999999999999</v>
      </c>
      <c r="M118" s="267">
        <v>17.899999999999999</v>
      </c>
      <c r="N118" s="267">
        <v>17.899999999999999</v>
      </c>
      <c r="O118" s="267">
        <v>16.600000000000001</v>
      </c>
      <c r="P118" s="267">
        <v>3.7</v>
      </c>
      <c r="Q118" s="267">
        <v>3.7</v>
      </c>
      <c r="R118" s="267">
        <v>3.7</v>
      </c>
      <c r="S118" s="267">
        <v>3.7</v>
      </c>
      <c r="T118" s="267">
        <v>3.7</v>
      </c>
      <c r="U118" s="267">
        <v>2.4</v>
      </c>
      <c r="V118" s="267">
        <v>2.4</v>
      </c>
      <c r="W118" s="267">
        <v>2.4</v>
      </c>
      <c r="X118" s="267">
        <v>2.4</v>
      </c>
      <c r="Y118" s="267">
        <v>2.4</v>
      </c>
      <c r="Z118" s="267">
        <v>1.2</v>
      </c>
      <c r="AA118" s="267">
        <v>1.2</v>
      </c>
      <c r="AB118" s="267">
        <v>1.2</v>
      </c>
      <c r="AC118" s="267">
        <v>1.2</v>
      </c>
      <c r="AD118" s="267">
        <v>1.2</v>
      </c>
      <c r="AE118" s="267">
        <v>1.2</v>
      </c>
      <c r="AF118" s="267">
        <v>0</v>
      </c>
      <c r="AG118" s="267">
        <v>0</v>
      </c>
      <c r="AH118" s="267">
        <v>0</v>
      </c>
      <c r="AI118" s="267">
        <v>0</v>
      </c>
      <c r="AJ118" s="267">
        <v>0</v>
      </c>
      <c r="AK118" s="267">
        <v>0</v>
      </c>
      <c r="AL118" s="267">
        <v>0</v>
      </c>
      <c r="AM118" s="267">
        <v>0</v>
      </c>
      <c r="AN118" s="267">
        <v>0</v>
      </c>
      <c r="AO118" s="267">
        <v>0</v>
      </c>
      <c r="AP118" s="267">
        <v>0</v>
      </c>
      <c r="AQ118" s="267">
        <v>0</v>
      </c>
      <c r="AR118" s="267">
        <v>0</v>
      </c>
      <c r="AS118" s="267">
        <v>0</v>
      </c>
      <c r="AT118" s="267">
        <v>0</v>
      </c>
      <c r="AU118" s="267">
        <v>0</v>
      </c>
      <c r="AV118" s="267">
        <v>0</v>
      </c>
      <c r="AW118" s="267">
        <v>0</v>
      </c>
      <c r="AX118" s="267">
        <v>0</v>
      </c>
      <c r="AY118" s="267">
        <v>0</v>
      </c>
      <c r="AZ118" s="267">
        <v>0</v>
      </c>
      <c r="BA118" s="267">
        <v>0</v>
      </c>
      <c r="BB118" s="267">
        <v>0</v>
      </c>
      <c r="BC118" s="267">
        <v>0</v>
      </c>
      <c r="BD118" s="267">
        <v>0</v>
      </c>
      <c r="BE118" s="267">
        <v>0</v>
      </c>
      <c r="BF118" s="267">
        <v>0</v>
      </c>
      <c r="BG118" s="267">
        <v>0</v>
      </c>
      <c r="BH118" s="267">
        <v>0</v>
      </c>
      <c r="BI118" s="267">
        <v>0</v>
      </c>
      <c r="BJ118" s="267">
        <v>0</v>
      </c>
      <c r="BK118" s="267">
        <v>0</v>
      </c>
      <c r="BL118" s="267">
        <v>0</v>
      </c>
      <c r="BM118" s="267">
        <v>0</v>
      </c>
      <c r="BN118" s="267">
        <v>0</v>
      </c>
      <c r="BO118" s="267">
        <v>0</v>
      </c>
      <c r="BP118" s="267">
        <v>0</v>
      </c>
      <c r="BQ118" s="267">
        <v>0</v>
      </c>
      <c r="BR118" s="267">
        <v>0</v>
      </c>
      <c r="BS118" s="267">
        <v>0</v>
      </c>
      <c r="BT118" s="267">
        <v>0</v>
      </c>
      <c r="BU118" s="267">
        <v>0</v>
      </c>
      <c r="BV118" s="267">
        <v>0</v>
      </c>
      <c r="BW118" s="267">
        <v>0</v>
      </c>
      <c r="BX118" s="267">
        <v>0</v>
      </c>
      <c r="BY118" s="267">
        <v>0</v>
      </c>
      <c r="BZ118" s="267">
        <v>0</v>
      </c>
      <c r="CA118" s="267">
        <v>0</v>
      </c>
      <c r="CB118" s="267">
        <v>0</v>
      </c>
      <c r="CC118" s="267">
        <v>0</v>
      </c>
      <c r="CD118" s="267">
        <v>0</v>
      </c>
      <c r="CE118" s="267">
        <v>0</v>
      </c>
      <c r="CF118" s="267">
        <v>0</v>
      </c>
      <c r="CG118" s="267">
        <v>0</v>
      </c>
      <c r="CH118" s="267">
        <v>0</v>
      </c>
      <c r="CI118" s="267">
        <v>0</v>
      </c>
      <c r="CJ118" s="267">
        <v>0</v>
      </c>
      <c r="CK118" s="325"/>
      <c r="CL118" s="10"/>
    </row>
    <row r="119" spans="1:90" s="50" customFormat="1" x14ac:dyDescent="0.3">
      <c r="A119" s="38"/>
      <c r="B119" s="45" t="s">
        <v>38</v>
      </c>
      <c r="C119" s="267">
        <v>345.1</v>
      </c>
      <c r="D119" s="267">
        <v>336.2</v>
      </c>
      <c r="E119" s="267">
        <v>313.10000000000002</v>
      </c>
      <c r="F119" s="267">
        <v>321.39999999999998</v>
      </c>
      <c r="G119" s="267">
        <v>328.2</v>
      </c>
      <c r="H119" s="267">
        <v>358</v>
      </c>
      <c r="I119" s="267">
        <v>356.5</v>
      </c>
      <c r="J119" s="267">
        <v>271.2</v>
      </c>
      <c r="K119" s="267">
        <v>286.89999999999998</v>
      </c>
      <c r="L119" s="267">
        <v>290.39999999999998</v>
      </c>
      <c r="M119" s="267">
        <v>302.8</v>
      </c>
      <c r="N119" s="267">
        <v>314.3</v>
      </c>
      <c r="O119" s="267">
        <v>324.60000000000002</v>
      </c>
      <c r="P119" s="267">
        <v>324</v>
      </c>
      <c r="Q119" s="267">
        <v>319.39999999999998</v>
      </c>
      <c r="R119" s="267">
        <v>316.2</v>
      </c>
      <c r="S119" s="267">
        <v>315.8</v>
      </c>
      <c r="T119" s="267">
        <v>311.7</v>
      </c>
      <c r="U119" s="267">
        <v>309.39999999999998</v>
      </c>
      <c r="V119" s="267">
        <v>307.8</v>
      </c>
      <c r="W119" s="267">
        <v>306.5</v>
      </c>
      <c r="X119" s="267">
        <v>306.5</v>
      </c>
      <c r="Y119" s="267">
        <v>304.89999999999998</v>
      </c>
      <c r="Z119" s="267">
        <v>305</v>
      </c>
      <c r="AA119" s="267">
        <v>304.60000000000002</v>
      </c>
      <c r="AB119" s="267">
        <v>307.3</v>
      </c>
      <c r="AC119" s="267">
        <v>312.10000000000002</v>
      </c>
      <c r="AD119" s="267">
        <v>319.5</v>
      </c>
      <c r="AE119" s="267">
        <v>330</v>
      </c>
      <c r="AF119" s="267">
        <v>338.2</v>
      </c>
      <c r="AG119" s="267">
        <v>345.9</v>
      </c>
      <c r="AH119" s="267">
        <v>352.8</v>
      </c>
      <c r="AI119" s="267">
        <v>358.7</v>
      </c>
      <c r="AJ119" s="267">
        <v>366</v>
      </c>
      <c r="AK119" s="267">
        <v>374.1</v>
      </c>
      <c r="AL119" s="267">
        <v>378.6</v>
      </c>
      <c r="AM119" s="267">
        <v>382.2</v>
      </c>
      <c r="AN119" s="267">
        <v>387.2</v>
      </c>
      <c r="AO119" s="267">
        <v>391.8</v>
      </c>
      <c r="AP119" s="267">
        <v>398.2</v>
      </c>
      <c r="AQ119" s="267">
        <v>406.8</v>
      </c>
      <c r="AR119" s="267">
        <v>411.6</v>
      </c>
      <c r="AS119" s="267">
        <v>413.6</v>
      </c>
      <c r="AT119" s="267">
        <v>416.2</v>
      </c>
      <c r="AU119" s="267">
        <v>419.6</v>
      </c>
      <c r="AV119" s="267">
        <v>420.4</v>
      </c>
      <c r="AW119" s="267">
        <v>418.6</v>
      </c>
      <c r="AX119" s="267">
        <v>417.7</v>
      </c>
      <c r="AY119" s="267">
        <v>415.8</v>
      </c>
      <c r="AZ119" s="267">
        <v>414.7</v>
      </c>
      <c r="BA119" s="267">
        <v>417.2</v>
      </c>
      <c r="BB119" s="267">
        <v>419.3</v>
      </c>
      <c r="BC119" s="267">
        <v>421.9</v>
      </c>
      <c r="BD119" s="267">
        <v>424.7</v>
      </c>
      <c r="BE119" s="267">
        <v>423.7</v>
      </c>
      <c r="BF119" s="267">
        <v>353.7</v>
      </c>
      <c r="BG119" s="267">
        <v>386.3</v>
      </c>
      <c r="BH119" s="267">
        <v>435.7</v>
      </c>
      <c r="BI119" s="267">
        <v>466.4</v>
      </c>
      <c r="BJ119" s="267">
        <v>230.3</v>
      </c>
      <c r="BK119" s="267">
        <v>268.60000000000002</v>
      </c>
      <c r="BL119" s="267">
        <v>321.89999999999998</v>
      </c>
      <c r="BM119" s="267">
        <v>371.4</v>
      </c>
      <c r="BN119" s="267">
        <v>406.3</v>
      </c>
      <c r="BO119" s="267">
        <v>437.9</v>
      </c>
      <c r="BP119" s="267">
        <v>457.2</v>
      </c>
      <c r="BQ119" s="267">
        <v>466.9</v>
      </c>
      <c r="BR119" s="267">
        <v>476.6</v>
      </c>
      <c r="BS119" s="267">
        <v>486.6</v>
      </c>
      <c r="BT119" s="267">
        <v>495.5</v>
      </c>
      <c r="BU119" s="267">
        <v>500</v>
      </c>
      <c r="BV119" s="267">
        <v>502.6</v>
      </c>
      <c r="BW119" s="267">
        <v>505.2</v>
      </c>
      <c r="BX119" s="267">
        <v>511.7</v>
      </c>
      <c r="BY119" s="267">
        <v>519.4</v>
      </c>
      <c r="BZ119" s="267">
        <v>490.2</v>
      </c>
      <c r="CA119" s="267">
        <v>496.5</v>
      </c>
      <c r="CB119" s="267">
        <v>507.5</v>
      </c>
      <c r="CC119" s="267">
        <v>455.3</v>
      </c>
      <c r="CD119" s="267">
        <v>473.1</v>
      </c>
      <c r="CE119" s="267">
        <v>466.9</v>
      </c>
      <c r="CF119" s="267">
        <v>451.2</v>
      </c>
      <c r="CG119" s="267">
        <v>458.5</v>
      </c>
      <c r="CH119" s="267">
        <v>466.9</v>
      </c>
      <c r="CI119" s="267">
        <v>483.1</v>
      </c>
      <c r="CJ119" s="267">
        <v>509.8</v>
      </c>
      <c r="CK119" s="325"/>
      <c r="CL119" s="10"/>
    </row>
    <row r="120" spans="1:90" x14ac:dyDescent="0.3">
      <c r="A120" s="38"/>
      <c r="B120" s="28"/>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64"/>
      <c r="AZ120" s="364"/>
      <c r="BA120" s="364"/>
      <c r="BB120" s="364"/>
      <c r="BC120" s="364"/>
      <c r="BD120" s="364"/>
      <c r="BE120" s="364"/>
      <c r="BF120" s="364"/>
      <c r="BG120" s="364"/>
      <c r="BH120" s="364"/>
      <c r="BI120" s="364"/>
      <c r="BJ120" s="364"/>
      <c r="BK120" s="364"/>
      <c r="BL120" s="364"/>
      <c r="BM120" s="364"/>
      <c r="BN120" s="364"/>
      <c r="BO120" s="364"/>
      <c r="BP120" s="364"/>
      <c r="BQ120" s="364"/>
      <c r="BR120" s="364"/>
      <c r="BS120" s="364"/>
      <c r="BT120" s="364"/>
      <c r="BU120" s="364"/>
      <c r="BV120" s="364"/>
      <c r="BW120" s="364"/>
      <c r="BX120" s="364"/>
      <c r="BY120" s="364"/>
      <c r="BZ120" s="364"/>
      <c r="CA120" s="364"/>
      <c r="CB120" s="364"/>
      <c r="CC120" s="364"/>
      <c r="CD120" s="364"/>
      <c r="CE120" s="364"/>
      <c r="CF120" s="364"/>
      <c r="CG120" s="364"/>
      <c r="CH120" s="364"/>
      <c r="CI120" s="364"/>
      <c r="CJ120" s="364"/>
      <c r="CK120" s="322"/>
    </row>
    <row r="121" spans="1:90" x14ac:dyDescent="0.3">
      <c r="A121" s="38"/>
      <c r="B121" s="52" t="s">
        <v>39</v>
      </c>
      <c r="C121" s="267">
        <v>923.9</v>
      </c>
      <c r="D121" s="267">
        <v>902.6</v>
      </c>
      <c r="E121" s="267">
        <v>871.6</v>
      </c>
      <c r="F121" s="267">
        <v>857.6</v>
      </c>
      <c r="G121" s="267">
        <v>843</v>
      </c>
      <c r="H121" s="267">
        <v>831.2</v>
      </c>
      <c r="I121" s="267">
        <v>860.6</v>
      </c>
      <c r="J121" s="267">
        <v>827.3</v>
      </c>
      <c r="K121" s="267">
        <v>811.5</v>
      </c>
      <c r="L121" s="267">
        <v>2395.3000000000002</v>
      </c>
      <c r="M121" s="267">
        <v>2394</v>
      </c>
      <c r="N121" s="267">
        <v>2397.1</v>
      </c>
      <c r="O121" s="267">
        <v>2373.1</v>
      </c>
      <c r="P121" s="267">
        <v>2343.6999999999998</v>
      </c>
      <c r="Q121" s="267">
        <v>2306.6999999999998</v>
      </c>
      <c r="R121" s="267">
        <v>2278</v>
      </c>
      <c r="S121" s="267">
        <v>2257.8000000000002</v>
      </c>
      <c r="T121" s="267">
        <v>2231.6</v>
      </c>
      <c r="U121" s="267">
        <v>2215.4</v>
      </c>
      <c r="V121" s="267">
        <v>2191.4</v>
      </c>
      <c r="W121" s="267">
        <v>2161.3000000000002</v>
      </c>
      <c r="X121" s="267">
        <v>2138.3000000000002</v>
      </c>
      <c r="Y121" s="267">
        <v>1931.8</v>
      </c>
      <c r="Z121" s="267">
        <v>1920</v>
      </c>
      <c r="AA121" s="267">
        <v>1896.3</v>
      </c>
      <c r="AB121" s="267">
        <v>1876.2</v>
      </c>
      <c r="AC121" s="267">
        <v>1859.9</v>
      </c>
      <c r="AD121" s="267">
        <v>1836.3</v>
      </c>
      <c r="AE121" s="267">
        <v>1827.1</v>
      </c>
      <c r="AF121" s="267">
        <v>1806.6</v>
      </c>
      <c r="AG121" s="267">
        <v>1789.1</v>
      </c>
      <c r="AH121" s="267">
        <v>1735</v>
      </c>
      <c r="AI121" s="267">
        <v>1726.7</v>
      </c>
      <c r="AJ121" s="267">
        <v>1693</v>
      </c>
      <c r="AK121" s="267">
        <v>1667.4</v>
      </c>
      <c r="AL121" s="267">
        <v>1667.1</v>
      </c>
      <c r="AM121" s="267">
        <v>1775.1</v>
      </c>
      <c r="AN121" s="267">
        <v>1758.2</v>
      </c>
      <c r="AO121" s="267">
        <v>1734</v>
      </c>
      <c r="AP121" s="267">
        <v>1643.4</v>
      </c>
      <c r="AQ121" s="267">
        <v>1625.9</v>
      </c>
      <c r="AR121" s="267">
        <v>1585.4</v>
      </c>
      <c r="AS121" s="267">
        <v>1692.2</v>
      </c>
      <c r="AT121" s="267">
        <v>1671</v>
      </c>
      <c r="AU121" s="267">
        <v>1514.6</v>
      </c>
      <c r="AV121" s="267">
        <v>1486.9</v>
      </c>
      <c r="AW121" s="267">
        <v>1456</v>
      </c>
      <c r="AX121" s="267">
        <v>1428.9</v>
      </c>
      <c r="AY121" s="267">
        <v>1418.6</v>
      </c>
      <c r="AZ121" s="267">
        <v>1398</v>
      </c>
      <c r="BA121" s="267">
        <v>1381.3</v>
      </c>
      <c r="BB121" s="267">
        <v>1370.3</v>
      </c>
      <c r="BC121" s="267">
        <v>1366.6</v>
      </c>
      <c r="BD121" s="267">
        <v>1386.1</v>
      </c>
      <c r="BE121" s="267">
        <v>1529.4</v>
      </c>
      <c r="BF121" s="267">
        <v>1510.7</v>
      </c>
      <c r="BG121" s="267">
        <v>1496.2</v>
      </c>
      <c r="BH121" s="267">
        <v>1496.9</v>
      </c>
      <c r="BI121" s="267">
        <v>1490.9</v>
      </c>
      <c r="BJ121" s="267">
        <v>1470.3</v>
      </c>
      <c r="BK121" s="267">
        <v>1465.8</v>
      </c>
      <c r="BL121" s="267">
        <v>1459.8</v>
      </c>
      <c r="BM121" s="267">
        <v>1456.7</v>
      </c>
      <c r="BN121" s="267">
        <v>1445.7</v>
      </c>
      <c r="BO121" s="267">
        <v>1438.5</v>
      </c>
      <c r="BP121" s="267">
        <v>1435.8</v>
      </c>
      <c r="BQ121" s="267">
        <v>1418</v>
      </c>
      <c r="BR121" s="267">
        <v>1415.9</v>
      </c>
      <c r="BS121" s="267">
        <v>1404.1</v>
      </c>
      <c r="BT121" s="267">
        <v>1448.1</v>
      </c>
      <c r="BU121" s="267">
        <v>1447.3</v>
      </c>
      <c r="BV121" s="267">
        <v>1453.2</v>
      </c>
      <c r="BW121" s="267">
        <v>1452.8</v>
      </c>
      <c r="BX121" s="267">
        <v>1452.5</v>
      </c>
      <c r="BY121" s="267">
        <v>1452.8</v>
      </c>
      <c r="BZ121" s="267">
        <v>1453.2</v>
      </c>
      <c r="CA121" s="267">
        <v>1452.9</v>
      </c>
      <c r="CB121" s="267">
        <v>1453.3</v>
      </c>
      <c r="CC121" s="267">
        <v>1452.3</v>
      </c>
      <c r="CD121" s="267">
        <v>1466.3</v>
      </c>
      <c r="CE121" s="267">
        <v>1450.8</v>
      </c>
      <c r="CF121" s="267">
        <v>1418.6</v>
      </c>
      <c r="CG121" s="267">
        <v>1411.6</v>
      </c>
      <c r="CH121" s="267">
        <v>1422</v>
      </c>
      <c r="CI121" s="267">
        <v>1414.9</v>
      </c>
      <c r="CJ121" s="267">
        <v>1407.6</v>
      </c>
      <c r="CK121" s="325">
        <f>+CJ121/$CJ$10</f>
        <v>2.9813525673923133E-3</v>
      </c>
    </row>
    <row r="122" spans="1:90" x14ac:dyDescent="0.3">
      <c r="A122" s="38"/>
      <c r="B122" s="52"/>
      <c r="C122" s="267"/>
      <c r="D122" s="267"/>
      <c r="E122" s="267"/>
      <c r="F122" s="267"/>
      <c r="G122" s="267"/>
      <c r="H122" s="267"/>
      <c r="I122" s="267"/>
      <c r="J122" s="267"/>
      <c r="K122" s="267"/>
      <c r="L122" s="267"/>
      <c r="M122" s="267"/>
      <c r="N122" s="267"/>
      <c r="O122" s="267"/>
      <c r="P122" s="267"/>
      <c r="Q122" s="267"/>
      <c r="R122" s="267"/>
      <c r="S122" s="267"/>
      <c r="T122" s="267"/>
      <c r="U122" s="267"/>
      <c r="V122" s="267"/>
      <c r="W122" s="267"/>
      <c r="X122" s="267"/>
      <c r="Y122" s="267"/>
      <c r="Z122" s="267"/>
      <c r="AA122" s="267"/>
      <c r="AB122" s="267"/>
      <c r="AC122" s="267"/>
      <c r="AD122" s="267"/>
      <c r="AE122" s="267"/>
      <c r="AF122" s="267"/>
      <c r="AG122" s="267"/>
      <c r="AH122" s="267"/>
      <c r="AI122" s="267"/>
      <c r="AJ122" s="267"/>
      <c r="AK122" s="267"/>
      <c r="AL122" s="267"/>
      <c r="AM122" s="267"/>
      <c r="AN122" s="267"/>
      <c r="AO122" s="267"/>
      <c r="AP122" s="267"/>
      <c r="AQ122" s="267"/>
      <c r="AR122" s="267"/>
      <c r="AS122" s="267"/>
      <c r="AT122" s="267"/>
      <c r="AU122" s="267"/>
      <c r="AV122" s="267"/>
      <c r="AW122" s="267"/>
      <c r="AX122" s="267"/>
      <c r="AY122" s="267"/>
      <c r="AZ122" s="267"/>
      <c r="BA122" s="267"/>
      <c r="BB122" s="267"/>
      <c r="BC122" s="267"/>
      <c r="BD122" s="267"/>
      <c r="BE122" s="267"/>
      <c r="BF122" s="267"/>
      <c r="BG122" s="267"/>
      <c r="BH122" s="267"/>
      <c r="BI122" s="267"/>
      <c r="BJ122" s="267"/>
      <c r="BK122" s="267"/>
      <c r="BL122" s="267"/>
      <c r="BM122" s="267"/>
      <c r="BN122" s="267"/>
      <c r="BO122" s="267"/>
      <c r="BP122" s="267"/>
      <c r="BQ122" s="267"/>
      <c r="BR122" s="267"/>
      <c r="BS122" s="267"/>
      <c r="BT122" s="267"/>
      <c r="BU122" s="267"/>
      <c r="BV122" s="267"/>
      <c r="BW122" s="267"/>
      <c r="BX122" s="267"/>
      <c r="BY122" s="267"/>
      <c r="BZ122" s="267"/>
      <c r="CA122" s="267"/>
      <c r="CB122" s="267"/>
      <c r="CC122" s="267"/>
      <c r="CD122" s="267"/>
      <c r="CE122" s="267"/>
      <c r="CF122" s="267"/>
      <c r="CG122" s="267"/>
      <c r="CH122" s="267"/>
      <c r="CI122" s="267"/>
      <c r="CJ122" s="267"/>
      <c r="CK122" s="325"/>
    </row>
    <row r="123" spans="1:90" ht="16.2" x14ac:dyDescent="0.3">
      <c r="A123" s="38"/>
      <c r="B123" s="33" t="s">
        <v>40</v>
      </c>
      <c r="C123" s="34">
        <v>2476</v>
      </c>
      <c r="D123" s="34">
        <v>2261.6</v>
      </c>
      <c r="E123" s="34">
        <v>1840.7</v>
      </c>
      <c r="F123" s="34">
        <v>1692.8</v>
      </c>
      <c r="G123" s="34">
        <v>1421.9</v>
      </c>
      <c r="H123" s="34">
        <v>1088.4000000000001</v>
      </c>
      <c r="I123" s="34">
        <v>848</v>
      </c>
      <c r="J123" s="34">
        <v>629.70000000000005</v>
      </c>
      <c r="K123" s="34">
        <v>585.5</v>
      </c>
      <c r="L123" s="34">
        <v>493.9</v>
      </c>
      <c r="M123" s="34">
        <v>359.2</v>
      </c>
      <c r="N123" s="34">
        <v>4841.8</v>
      </c>
      <c r="O123" s="34">
        <v>4840</v>
      </c>
      <c r="P123" s="34">
        <v>6180.9</v>
      </c>
      <c r="Q123" s="34">
        <v>7577.2</v>
      </c>
      <c r="R123" s="34">
        <v>7511.8</v>
      </c>
      <c r="S123" s="34">
        <v>7685.9</v>
      </c>
      <c r="T123" s="34">
        <v>7476.4</v>
      </c>
      <c r="U123" s="34">
        <v>7284.1</v>
      </c>
      <c r="V123" s="34">
        <v>7640.7</v>
      </c>
      <c r="W123" s="34">
        <v>8030.9</v>
      </c>
      <c r="X123" s="34">
        <v>7101.5</v>
      </c>
      <c r="Y123" s="34">
        <v>6842.2</v>
      </c>
      <c r="Z123" s="34">
        <v>6610.6</v>
      </c>
      <c r="AA123" s="34">
        <v>6371.8</v>
      </c>
      <c r="AB123" s="34">
        <v>6192.6</v>
      </c>
      <c r="AC123" s="34">
        <v>6047.2</v>
      </c>
      <c r="AD123" s="34">
        <v>5945.7</v>
      </c>
      <c r="AE123" s="34">
        <v>5874.7</v>
      </c>
      <c r="AF123" s="34">
        <v>5810.8</v>
      </c>
      <c r="AG123" s="34">
        <v>5753.2</v>
      </c>
      <c r="AH123" s="34">
        <v>5690.4</v>
      </c>
      <c r="AI123" s="34">
        <v>5246.4</v>
      </c>
      <c r="AJ123" s="34">
        <v>5194.5</v>
      </c>
      <c r="AK123" s="34">
        <v>5132.5</v>
      </c>
      <c r="AL123" s="34">
        <v>7863.7</v>
      </c>
      <c r="AM123" s="34">
        <v>8475</v>
      </c>
      <c r="AN123" s="34">
        <v>8283.6</v>
      </c>
      <c r="AO123" s="34">
        <v>8019.6</v>
      </c>
      <c r="AP123" s="34">
        <v>7718.2</v>
      </c>
      <c r="AQ123" s="34">
        <v>8488.6</v>
      </c>
      <c r="AR123" s="34">
        <v>8146</v>
      </c>
      <c r="AS123" s="34">
        <v>8611.1</v>
      </c>
      <c r="AT123" s="34">
        <v>8146.3</v>
      </c>
      <c r="AU123" s="34">
        <v>7670.6</v>
      </c>
      <c r="AV123" s="34">
        <v>7202.3</v>
      </c>
      <c r="AW123" s="34">
        <v>6756.2</v>
      </c>
      <c r="AX123" s="34">
        <v>6379.6</v>
      </c>
      <c r="AY123" s="34">
        <v>6046.8</v>
      </c>
      <c r="AZ123" s="34">
        <v>5731.6</v>
      </c>
      <c r="BA123" s="34">
        <v>5407</v>
      </c>
      <c r="BB123" s="34">
        <v>5076.8999999999996</v>
      </c>
      <c r="BC123" s="34">
        <v>4721.6000000000004</v>
      </c>
      <c r="BD123" s="34">
        <v>5953.1</v>
      </c>
      <c r="BE123" s="34">
        <v>7058.2</v>
      </c>
      <c r="BF123" s="34">
        <v>5065.8</v>
      </c>
      <c r="BG123" s="34">
        <v>5066</v>
      </c>
      <c r="BH123" s="34">
        <v>5066.6000000000004</v>
      </c>
      <c r="BI123" s="34">
        <v>4918.8999999999996</v>
      </c>
      <c r="BJ123" s="34">
        <v>2193.1999999999998</v>
      </c>
      <c r="BK123" s="34">
        <v>2012.9</v>
      </c>
      <c r="BL123" s="34">
        <v>1974.6</v>
      </c>
      <c r="BM123" s="34">
        <v>1939.7</v>
      </c>
      <c r="BN123" s="34">
        <v>1896.9</v>
      </c>
      <c r="BO123" s="34">
        <v>1712.5</v>
      </c>
      <c r="BP123" s="34">
        <v>1560.9</v>
      </c>
      <c r="BQ123" s="34">
        <v>1523.6</v>
      </c>
      <c r="BR123" s="34">
        <v>1400.2</v>
      </c>
      <c r="BS123" s="34">
        <v>1267</v>
      </c>
      <c r="BT123" s="34">
        <v>1241.5999999999999</v>
      </c>
      <c r="BU123" s="34">
        <v>1215.8</v>
      </c>
      <c r="BV123" s="34">
        <v>525.1</v>
      </c>
      <c r="BW123" s="34">
        <v>42.8</v>
      </c>
      <c r="BX123" s="34">
        <v>4.8</v>
      </c>
      <c r="BY123" s="34">
        <v>4.8</v>
      </c>
      <c r="BZ123" s="34">
        <v>4.4000000000000004</v>
      </c>
      <c r="CA123" s="34">
        <v>0</v>
      </c>
      <c r="CB123" s="34">
        <v>0</v>
      </c>
      <c r="CC123" s="34">
        <v>0</v>
      </c>
      <c r="CD123" s="34">
        <v>0</v>
      </c>
      <c r="CE123" s="34">
        <v>0</v>
      </c>
      <c r="CF123" s="34">
        <v>0</v>
      </c>
      <c r="CG123" s="34">
        <v>0</v>
      </c>
      <c r="CH123" s="34">
        <v>0</v>
      </c>
      <c r="CI123" s="34">
        <v>0</v>
      </c>
      <c r="CJ123" s="34">
        <v>0</v>
      </c>
      <c r="CK123" s="321">
        <f>+CJ123/$CJ$10</f>
        <v>0</v>
      </c>
    </row>
    <row r="124" spans="1:90" x14ac:dyDescent="0.3">
      <c r="A124" s="38"/>
      <c r="B124" s="52"/>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c r="BU124" s="54"/>
      <c r="BV124" s="54"/>
      <c r="BW124" s="54"/>
      <c r="BX124" s="54"/>
      <c r="BY124" s="54"/>
      <c r="BZ124" s="54"/>
      <c r="CA124" s="54"/>
      <c r="CB124" s="54"/>
      <c r="CC124" s="54"/>
      <c r="CD124" s="54"/>
      <c r="CE124" s="54"/>
      <c r="CF124" s="54"/>
      <c r="CG124" s="54"/>
      <c r="CH124" s="54"/>
      <c r="CI124" s="54"/>
      <c r="CJ124" s="54"/>
      <c r="CK124" s="328"/>
    </row>
    <row r="125" spans="1:90" x14ac:dyDescent="0.3">
      <c r="A125" s="38"/>
      <c r="B125" s="259" t="s">
        <v>207</v>
      </c>
      <c r="C125" s="260">
        <f>+C127+C136+C138+C129+C131</f>
        <v>39654.500000000015</v>
      </c>
      <c r="D125" s="260">
        <f>+D127+D136+D138+D129+D131</f>
        <v>36097.200000000012</v>
      </c>
      <c r="E125" s="260">
        <f t="shared" ref="E125:K125" si="259">+E127+E136+E138</f>
        <v>34101.800000000003</v>
      </c>
      <c r="F125" s="260">
        <f t="shared" si="259"/>
        <v>33361.899999999994</v>
      </c>
      <c r="G125" s="260">
        <f t="shared" si="259"/>
        <v>32477.1</v>
      </c>
      <c r="H125" s="260">
        <f t="shared" si="259"/>
        <v>33844.5</v>
      </c>
      <c r="I125" s="260">
        <f t="shared" si="259"/>
        <v>35568.800000000003</v>
      </c>
      <c r="J125" s="260">
        <f t="shared" si="259"/>
        <v>14318.1</v>
      </c>
      <c r="K125" s="260">
        <f t="shared" si="259"/>
        <v>15238.8</v>
      </c>
      <c r="L125" s="260">
        <v>15549.1</v>
      </c>
      <c r="M125" s="260">
        <v>17006.8</v>
      </c>
      <c r="N125" s="260">
        <v>19364.7</v>
      </c>
      <c r="O125" s="260">
        <f t="shared" ref="O125:AI125" si="260">+O127+O136+O138+O129+O131</f>
        <v>19714.699999999997</v>
      </c>
      <c r="P125" s="260">
        <f t="shared" si="260"/>
        <v>18805.399999999998</v>
      </c>
      <c r="Q125" s="260">
        <f t="shared" si="260"/>
        <v>17340.7</v>
      </c>
      <c r="R125" s="260">
        <f t="shared" si="260"/>
        <v>21679.4</v>
      </c>
      <c r="S125" s="260">
        <f t="shared" si="260"/>
        <v>22061.9</v>
      </c>
      <c r="T125" s="260">
        <f t="shared" si="260"/>
        <v>23268.1</v>
      </c>
      <c r="U125" s="260">
        <f t="shared" si="260"/>
        <v>25202.799999999999</v>
      </c>
      <c r="V125" s="260">
        <f t="shared" si="260"/>
        <v>25977.799999999996</v>
      </c>
      <c r="W125" s="260">
        <f t="shared" si="260"/>
        <v>25871.4</v>
      </c>
      <c r="X125" s="260">
        <f t="shared" si="260"/>
        <v>24983.1</v>
      </c>
      <c r="Y125" s="260">
        <f t="shared" si="260"/>
        <v>23202.1</v>
      </c>
      <c r="Z125" s="260">
        <f t="shared" si="260"/>
        <v>22614.3</v>
      </c>
      <c r="AA125" s="260">
        <f t="shared" si="260"/>
        <v>22346.5</v>
      </c>
      <c r="AB125" s="260">
        <f t="shared" si="260"/>
        <v>21529.1</v>
      </c>
      <c r="AC125" s="260">
        <f t="shared" si="260"/>
        <v>22713</v>
      </c>
      <c r="AD125" s="260">
        <f t="shared" si="260"/>
        <v>22177.7</v>
      </c>
      <c r="AE125" s="260">
        <f t="shared" si="260"/>
        <v>21574.6</v>
      </c>
      <c r="AF125" s="260">
        <f t="shared" si="260"/>
        <v>22997.7</v>
      </c>
      <c r="AG125" s="260">
        <f t="shared" si="260"/>
        <v>25397</v>
      </c>
      <c r="AH125" s="260">
        <f t="shared" si="260"/>
        <v>26958.2</v>
      </c>
      <c r="AI125" s="260">
        <f t="shared" si="260"/>
        <v>23888</v>
      </c>
      <c r="AJ125" s="260">
        <f>+AJ127+AJ136+AJ138+AJ129+AJ131+AJ134</f>
        <v>27493.4</v>
      </c>
      <c r="AK125" s="260">
        <f t="shared" ref="AK125:AM125" si="261">+AK127+AK136+AK138+AK129+AK131+AK134</f>
        <v>29777.800000000003</v>
      </c>
      <c r="AL125" s="260">
        <f t="shared" si="261"/>
        <v>34921.1</v>
      </c>
      <c r="AM125" s="260">
        <f t="shared" si="261"/>
        <v>36868.800000000003</v>
      </c>
      <c r="AN125" s="260">
        <f t="shared" ref="AN125:AT125" si="262">+AN127+AN136+AN138+AN129+AN131+AN134</f>
        <v>36810.9</v>
      </c>
      <c r="AO125" s="260">
        <f t="shared" si="262"/>
        <v>39125.300000000003</v>
      </c>
      <c r="AP125" s="260">
        <f t="shared" si="262"/>
        <v>37711.4</v>
      </c>
      <c r="AQ125" s="260">
        <f t="shared" si="262"/>
        <v>34944.5</v>
      </c>
      <c r="AR125" s="260">
        <f t="shared" si="262"/>
        <v>37956.100000000006</v>
      </c>
      <c r="AS125" s="260">
        <f t="shared" si="262"/>
        <v>40509.4</v>
      </c>
      <c r="AT125" s="260">
        <f t="shared" si="262"/>
        <v>44223.7</v>
      </c>
      <c r="AU125" s="260">
        <f t="shared" ref="AU125" si="263">+AU127+AU136+AU138+AU129+AU131+AU134</f>
        <v>45846.899999999994</v>
      </c>
      <c r="AV125" s="260">
        <f t="shared" ref="AV125:BA125" si="264">+AV127+AV136+AV138+AV129+AV131+AV134</f>
        <v>44774.200000000004</v>
      </c>
      <c r="AW125" s="260">
        <f t="shared" si="264"/>
        <v>45067.9</v>
      </c>
      <c r="AX125" s="260">
        <f t="shared" si="264"/>
        <v>48686.999999999993</v>
      </c>
      <c r="AY125" s="260">
        <f t="shared" si="264"/>
        <v>50575.099999999991</v>
      </c>
      <c r="AZ125" s="260">
        <f t="shared" si="264"/>
        <v>50328</v>
      </c>
      <c r="BA125" s="260">
        <f t="shared" si="264"/>
        <v>35885.5</v>
      </c>
      <c r="BB125" s="260">
        <f t="shared" ref="BB125:BI125" si="265">+BB127+BB136+BB138+BB129+BB131+BB134</f>
        <v>34669.399999999994</v>
      </c>
      <c r="BC125" s="260">
        <f t="shared" si="265"/>
        <v>35889.300000000003</v>
      </c>
      <c r="BD125" s="260">
        <f t="shared" si="265"/>
        <v>21737.3</v>
      </c>
      <c r="BE125" s="260">
        <f t="shared" si="265"/>
        <v>21095.8</v>
      </c>
      <c r="BF125" s="260">
        <f t="shared" si="265"/>
        <v>18898.8</v>
      </c>
      <c r="BG125" s="260">
        <f t="shared" si="265"/>
        <v>21808.700000000004</v>
      </c>
      <c r="BH125" s="260">
        <f t="shared" si="265"/>
        <v>21335</v>
      </c>
      <c r="BI125" s="260">
        <f t="shared" si="265"/>
        <v>20152.099999999999</v>
      </c>
      <c r="BJ125" s="260">
        <f t="shared" ref="BJ125:BO125" si="266">+BJ127+BJ136+BJ138+BJ129+BJ131+BJ134</f>
        <v>15663.199999999999</v>
      </c>
      <c r="BK125" s="260">
        <f t="shared" si="266"/>
        <v>15005.2</v>
      </c>
      <c r="BL125" s="260">
        <f t="shared" si="266"/>
        <v>13268.2</v>
      </c>
      <c r="BM125" s="260">
        <f t="shared" si="266"/>
        <v>10402.300000000001</v>
      </c>
      <c r="BN125" s="260">
        <f t="shared" si="266"/>
        <v>14102.600000000002</v>
      </c>
      <c r="BO125" s="260">
        <f t="shared" si="266"/>
        <v>26561.899999999998</v>
      </c>
      <c r="BP125" s="260">
        <f t="shared" ref="BP125:CJ125" si="267">+BP127+BP136+BP138+BP129+BP131+BP134</f>
        <v>26801.399999999998</v>
      </c>
      <c r="BQ125" s="260">
        <f t="shared" ref="BQ125:CI125" si="268">+BQ127+BQ136+BQ138+BQ129+BQ131+BQ134</f>
        <v>56999.8</v>
      </c>
      <c r="BR125" s="260">
        <f t="shared" si="268"/>
        <v>61255.4</v>
      </c>
      <c r="BS125" s="260">
        <f t="shared" si="268"/>
        <v>59584.3</v>
      </c>
      <c r="BT125" s="260">
        <f t="shared" si="268"/>
        <v>60714.399999999994</v>
      </c>
      <c r="BU125" s="260">
        <f t="shared" si="268"/>
        <v>58072.899999999994</v>
      </c>
      <c r="BV125" s="260">
        <f t="shared" si="268"/>
        <v>58450.1</v>
      </c>
      <c r="BW125" s="260">
        <f t="shared" si="268"/>
        <v>56884.800000000003</v>
      </c>
      <c r="BX125" s="260">
        <f t="shared" si="268"/>
        <v>63930.9</v>
      </c>
      <c r="BY125" s="260">
        <f t="shared" si="268"/>
        <v>63166.2</v>
      </c>
      <c r="BZ125" s="260">
        <f t="shared" si="268"/>
        <v>55839.8</v>
      </c>
      <c r="CA125" s="260">
        <f t="shared" si="268"/>
        <v>56160.5</v>
      </c>
      <c r="CB125" s="260">
        <f t="shared" si="268"/>
        <v>59119.399999999994</v>
      </c>
      <c r="CC125" s="260">
        <f t="shared" si="268"/>
        <v>49885.2</v>
      </c>
      <c r="CD125" s="260">
        <f t="shared" si="268"/>
        <v>40943.599999999999</v>
      </c>
      <c r="CE125" s="260">
        <f t="shared" si="268"/>
        <v>40428.6</v>
      </c>
      <c r="CF125" s="260">
        <f t="shared" si="268"/>
        <v>40105.299999999996</v>
      </c>
      <c r="CG125" s="260">
        <f t="shared" si="268"/>
        <v>35232.9</v>
      </c>
      <c r="CH125" s="260">
        <f t="shared" si="268"/>
        <v>58095.299999999996</v>
      </c>
      <c r="CI125" s="260">
        <f t="shared" si="268"/>
        <v>64199.200000000004</v>
      </c>
      <c r="CJ125" s="260">
        <f t="shared" si="267"/>
        <v>61018.2</v>
      </c>
      <c r="CK125" s="329">
        <f>+CJ125/$CJ$10</f>
        <v>0.12923896506653712</v>
      </c>
    </row>
    <row r="126" spans="1:90" x14ac:dyDescent="0.3">
      <c r="A126" s="38"/>
      <c r="B126" s="51"/>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20"/>
    </row>
    <row r="127" spans="1:90" x14ac:dyDescent="0.3">
      <c r="A127" s="38"/>
      <c r="B127" s="52" t="s">
        <v>41</v>
      </c>
      <c r="C127" s="267">
        <v>11098.4</v>
      </c>
      <c r="D127" s="267">
        <v>10629.4</v>
      </c>
      <c r="E127" s="267">
        <v>9755.4</v>
      </c>
      <c r="F127" s="267">
        <v>9730.2999999999993</v>
      </c>
      <c r="G127" s="267">
        <v>9782.2999999999993</v>
      </c>
      <c r="H127" s="267">
        <v>10755</v>
      </c>
      <c r="I127" s="267">
        <v>10611.8</v>
      </c>
      <c r="J127" s="267">
        <v>7880.3</v>
      </c>
      <c r="K127" s="267">
        <v>8148.8</v>
      </c>
      <c r="L127" s="267">
        <v>7923.3</v>
      </c>
      <c r="M127" s="267">
        <v>9041.1</v>
      </c>
      <c r="N127" s="267">
        <v>9395.2999999999993</v>
      </c>
      <c r="O127" s="267">
        <v>9294.2000000000007</v>
      </c>
      <c r="P127" s="267">
        <v>9246.9</v>
      </c>
      <c r="Q127" s="267">
        <v>9248.2000000000007</v>
      </c>
      <c r="R127" s="267">
        <v>9915.2000000000007</v>
      </c>
      <c r="S127" s="267">
        <v>9308.7999999999993</v>
      </c>
      <c r="T127" s="267">
        <v>9055.1</v>
      </c>
      <c r="U127" s="267">
        <v>10481.6</v>
      </c>
      <c r="V127" s="267">
        <v>10218.799999999999</v>
      </c>
      <c r="W127" s="267">
        <v>10167.1</v>
      </c>
      <c r="X127" s="267">
        <v>8990.4</v>
      </c>
      <c r="Y127" s="267">
        <v>8662.1</v>
      </c>
      <c r="Z127" s="267">
        <v>8368.9</v>
      </c>
      <c r="AA127" s="267">
        <v>8066.6</v>
      </c>
      <c r="AB127" s="267">
        <v>7839.7</v>
      </c>
      <c r="AC127" s="267">
        <v>9123.2000000000007</v>
      </c>
      <c r="AD127" s="267">
        <v>9558</v>
      </c>
      <c r="AE127" s="267">
        <v>9443.9</v>
      </c>
      <c r="AF127" s="267">
        <v>9341.2000000000007</v>
      </c>
      <c r="AG127" s="267">
        <v>9248.6</v>
      </c>
      <c r="AH127" s="267">
        <v>9147.7000000000007</v>
      </c>
      <c r="AI127" s="267">
        <v>5115.2</v>
      </c>
      <c r="AJ127" s="267">
        <v>8423.9</v>
      </c>
      <c r="AK127" s="267">
        <v>9611.6</v>
      </c>
      <c r="AL127" s="267">
        <v>13285.2</v>
      </c>
      <c r="AM127" s="267">
        <v>13379.5</v>
      </c>
      <c r="AN127" s="267">
        <v>13077.3</v>
      </c>
      <c r="AO127" s="267">
        <v>12660.6</v>
      </c>
      <c r="AP127" s="267">
        <v>12878.6</v>
      </c>
      <c r="AQ127" s="267">
        <v>10078.9</v>
      </c>
      <c r="AR127" s="267">
        <v>12683</v>
      </c>
      <c r="AS127" s="267">
        <v>12749.7</v>
      </c>
      <c r="AT127" s="267">
        <v>11989.5</v>
      </c>
      <c r="AU127" s="267">
        <v>11289.4</v>
      </c>
      <c r="AV127" s="267">
        <v>10600.1</v>
      </c>
      <c r="AW127" s="267">
        <v>9943.5</v>
      </c>
      <c r="AX127" s="267">
        <v>9389.2000000000007</v>
      </c>
      <c r="AY127" s="267">
        <v>8899.5</v>
      </c>
      <c r="AZ127" s="267">
        <v>8435.6</v>
      </c>
      <c r="BA127" s="267">
        <v>8579.9</v>
      </c>
      <c r="BB127" s="267">
        <v>8505.4</v>
      </c>
      <c r="BC127" s="267">
        <v>9748.7000000000007</v>
      </c>
      <c r="BD127" s="267">
        <v>10219.5</v>
      </c>
      <c r="BE127" s="267">
        <v>9619.5</v>
      </c>
      <c r="BF127" s="267">
        <v>6622.5</v>
      </c>
      <c r="BG127" s="267">
        <v>6622.6</v>
      </c>
      <c r="BH127" s="267">
        <v>6623.4</v>
      </c>
      <c r="BI127" s="267">
        <v>6430.4</v>
      </c>
      <c r="BJ127" s="267">
        <v>2867.2</v>
      </c>
      <c r="BK127" s="267">
        <v>2938.5</v>
      </c>
      <c r="BL127" s="267">
        <v>2882.7</v>
      </c>
      <c r="BM127" s="267">
        <v>2831.7</v>
      </c>
      <c r="BN127" s="267">
        <v>2769.3</v>
      </c>
      <c r="BO127" s="267">
        <v>2857.3</v>
      </c>
      <c r="BP127" s="267">
        <v>2926.2</v>
      </c>
      <c r="BQ127" s="267">
        <v>2862.5</v>
      </c>
      <c r="BR127" s="267">
        <v>2893.4</v>
      </c>
      <c r="BS127" s="267">
        <v>2946.7</v>
      </c>
      <c r="BT127" s="267">
        <v>2887.7</v>
      </c>
      <c r="BU127" s="267">
        <v>2827.7</v>
      </c>
      <c r="BV127" s="267">
        <v>3437.3</v>
      </c>
      <c r="BW127" s="267">
        <v>3840.5</v>
      </c>
      <c r="BX127" s="267">
        <v>3838.8</v>
      </c>
      <c r="BY127" s="267">
        <v>3804.9</v>
      </c>
      <c r="BZ127" s="267">
        <v>3486.3</v>
      </c>
      <c r="CA127" s="267">
        <v>3422.6</v>
      </c>
      <c r="CB127" s="267">
        <v>3426.1</v>
      </c>
      <c r="CC127" s="267">
        <v>3026.3</v>
      </c>
      <c r="CD127" s="267">
        <v>3090.3</v>
      </c>
      <c r="CE127" s="267">
        <v>2993.7</v>
      </c>
      <c r="CF127" s="267">
        <v>2835.1</v>
      </c>
      <c r="CG127" s="267">
        <v>2820</v>
      </c>
      <c r="CH127" s="267">
        <v>2803.2</v>
      </c>
      <c r="CI127" s="267">
        <v>2826</v>
      </c>
      <c r="CJ127" s="267">
        <v>2903.6</v>
      </c>
      <c r="CK127" s="325">
        <f>+CJ127/$CJ$10</f>
        <v>6.1499398370846274E-3</v>
      </c>
    </row>
    <row r="128" spans="1:90" x14ac:dyDescent="0.3">
      <c r="A128" s="38"/>
      <c r="B128" s="52"/>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64"/>
      <c r="AZ128" s="364"/>
      <c r="BA128" s="364"/>
      <c r="BB128" s="364"/>
      <c r="BC128" s="364"/>
      <c r="BD128" s="364"/>
      <c r="BE128" s="364"/>
      <c r="BF128" s="364"/>
      <c r="BG128" s="364"/>
      <c r="BH128" s="364"/>
      <c r="BI128" s="364"/>
      <c r="BJ128" s="364"/>
      <c r="BK128" s="364"/>
      <c r="BL128" s="364"/>
      <c r="BM128" s="364"/>
      <c r="BN128" s="364"/>
      <c r="BO128" s="364"/>
      <c r="BP128" s="364"/>
      <c r="BQ128" s="364"/>
      <c r="BR128" s="364"/>
      <c r="BS128" s="364"/>
      <c r="BT128" s="364"/>
      <c r="BU128" s="364"/>
      <c r="BV128" s="364"/>
      <c r="BW128" s="364"/>
      <c r="BX128" s="364"/>
      <c r="BY128" s="364"/>
      <c r="BZ128" s="364"/>
      <c r="CA128" s="364"/>
      <c r="CB128" s="364"/>
      <c r="CC128" s="364"/>
      <c r="CD128" s="364"/>
      <c r="CE128" s="364"/>
      <c r="CF128" s="364"/>
      <c r="CG128" s="364"/>
      <c r="CH128" s="364"/>
      <c r="CI128" s="364"/>
      <c r="CJ128" s="364"/>
      <c r="CK128" s="322"/>
    </row>
    <row r="129" spans="1:90" x14ac:dyDescent="0.3">
      <c r="A129" s="38"/>
      <c r="B129" s="52" t="s">
        <v>35</v>
      </c>
      <c r="C129" s="35">
        <v>0</v>
      </c>
      <c r="D129" s="35">
        <v>0</v>
      </c>
      <c r="E129" s="35">
        <v>0</v>
      </c>
      <c r="F129" s="35">
        <v>0</v>
      </c>
      <c r="G129" s="35">
        <v>0</v>
      </c>
      <c r="H129" s="35">
        <v>0</v>
      </c>
      <c r="I129" s="35">
        <v>0</v>
      </c>
      <c r="J129" s="35">
        <v>0</v>
      </c>
      <c r="K129" s="35">
        <v>0</v>
      </c>
      <c r="L129" s="35">
        <v>502.3</v>
      </c>
      <c r="M129" s="35">
        <v>501.1</v>
      </c>
      <c r="N129" s="35">
        <v>500.9</v>
      </c>
      <c r="O129" s="35">
        <v>497.3</v>
      </c>
      <c r="P129" s="35">
        <v>482.3</v>
      </c>
      <c r="Q129" s="35">
        <v>465.3</v>
      </c>
      <c r="R129" s="35">
        <v>0</v>
      </c>
      <c r="S129" s="35">
        <v>0</v>
      </c>
      <c r="T129" s="35">
        <v>0</v>
      </c>
      <c r="U129" s="35">
        <v>0</v>
      </c>
      <c r="V129" s="35">
        <v>0</v>
      </c>
      <c r="W129" s="35">
        <v>0</v>
      </c>
      <c r="X129" s="35">
        <v>0</v>
      </c>
      <c r="Y129" s="35">
        <v>0</v>
      </c>
      <c r="Z129" s="35">
        <v>0</v>
      </c>
      <c r="AA129" s="35">
        <v>0</v>
      </c>
      <c r="AB129" s="35">
        <v>0</v>
      </c>
      <c r="AC129" s="35">
        <v>0</v>
      </c>
      <c r="AD129" s="35">
        <v>0</v>
      </c>
      <c r="AE129" s="35">
        <v>0</v>
      </c>
      <c r="AF129" s="35">
        <v>0</v>
      </c>
      <c r="AG129" s="35">
        <v>0</v>
      </c>
      <c r="AH129" s="35">
        <v>0</v>
      </c>
      <c r="AI129" s="35">
        <v>0</v>
      </c>
      <c r="AJ129" s="35">
        <v>0</v>
      </c>
      <c r="AK129" s="35">
        <v>0</v>
      </c>
      <c r="AL129" s="35">
        <v>0</v>
      </c>
      <c r="AM129" s="35">
        <v>0</v>
      </c>
      <c r="AN129" s="35">
        <v>0</v>
      </c>
      <c r="AO129" s="35">
        <v>0</v>
      </c>
      <c r="AP129" s="35">
        <v>0</v>
      </c>
      <c r="AQ129" s="35">
        <v>0</v>
      </c>
      <c r="AR129" s="35">
        <v>0</v>
      </c>
      <c r="AS129" s="35">
        <v>0</v>
      </c>
      <c r="AT129" s="35">
        <v>0</v>
      </c>
      <c r="AU129" s="35">
        <v>0</v>
      </c>
      <c r="AV129" s="35">
        <v>0</v>
      </c>
      <c r="AW129" s="35">
        <v>0</v>
      </c>
      <c r="AX129" s="35">
        <v>0</v>
      </c>
      <c r="AY129" s="364">
        <v>0</v>
      </c>
      <c r="AZ129" s="364">
        <v>0</v>
      </c>
      <c r="BA129" s="364">
        <v>0</v>
      </c>
      <c r="BB129" s="364">
        <v>0</v>
      </c>
      <c r="BC129" s="364">
        <v>0</v>
      </c>
      <c r="BD129" s="364">
        <v>0</v>
      </c>
      <c r="BE129" s="364">
        <v>0</v>
      </c>
      <c r="BF129" s="364">
        <v>0</v>
      </c>
      <c r="BG129" s="364">
        <v>0</v>
      </c>
      <c r="BH129" s="364">
        <v>0</v>
      </c>
      <c r="BI129" s="364">
        <v>0</v>
      </c>
      <c r="BJ129" s="364">
        <v>0</v>
      </c>
      <c r="BK129" s="364">
        <v>0</v>
      </c>
      <c r="BL129" s="364">
        <v>0</v>
      </c>
      <c r="BM129" s="364">
        <v>0</v>
      </c>
      <c r="BN129" s="364">
        <v>0</v>
      </c>
      <c r="BO129" s="364">
        <v>0</v>
      </c>
      <c r="BP129" s="364">
        <v>0</v>
      </c>
      <c r="BQ129" s="364">
        <v>0</v>
      </c>
      <c r="BR129" s="364">
        <v>0</v>
      </c>
      <c r="BS129" s="364">
        <v>0</v>
      </c>
      <c r="BT129" s="364">
        <v>504.7</v>
      </c>
      <c r="BU129" s="364">
        <v>494.2</v>
      </c>
      <c r="BV129" s="364">
        <v>0</v>
      </c>
      <c r="BW129" s="364">
        <v>0</v>
      </c>
      <c r="BX129" s="364">
        <v>0</v>
      </c>
      <c r="BY129" s="364">
        <v>0</v>
      </c>
      <c r="BZ129" s="364">
        <v>0</v>
      </c>
      <c r="CA129" s="364">
        <v>0</v>
      </c>
      <c r="CB129" s="364">
        <v>0</v>
      </c>
      <c r="CC129" s="364">
        <v>0</v>
      </c>
      <c r="CD129" s="364">
        <v>0</v>
      </c>
      <c r="CE129" s="364">
        <v>0</v>
      </c>
      <c r="CF129" s="364">
        <v>0</v>
      </c>
      <c r="CG129" s="364">
        <v>0</v>
      </c>
      <c r="CH129" s="364">
        <v>0</v>
      </c>
      <c r="CI129" s="364">
        <v>0</v>
      </c>
      <c r="CJ129" s="364">
        <v>0</v>
      </c>
      <c r="CK129" s="322">
        <f>+CJ129/$CJ$10</f>
        <v>0</v>
      </c>
    </row>
    <row r="130" spans="1:90" x14ac:dyDescent="0.3">
      <c r="A130" s="38"/>
      <c r="B130" s="52"/>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64"/>
      <c r="AZ130" s="364"/>
      <c r="BA130" s="364"/>
      <c r="BB130" s="364"/>
      <c r="BC130" s="364"/>
      <c r="BD130" s="364"/>
      <c r="BE130" s="364"/>
      <c r="BF130" s="364"/>
      <c r="BG130" s="364"/>
      <c r="BH130" s="364"/>
      <c r="BI130" s="364"/>
      <c r="BJ130" s="364"/>
      <c r="BK130" s="364"/>
      <c r="BL130" s="364"/>
      <c r="BM130" s="364"/>
      <c r="BN130" s="364"/>
      <c r="BO130" s="364"/>
      <c r="BP130" s="364"/>
      <c r="BQ130" s="364"/>
      <c r="BR130" s="364"/>
      <c r="BS130" s="364"/>
      <c r="BT130" s="364"/>
      <c r="BU130" s="364"/>
      <c r="BV130" s="364"/>
      <c r="BW130" s="364"/>
      <c r="BX130" s="364"/>
      <c r="BY130" s="364"/>
      <c r="BZ130" s="364"/>
      <c r="CA130" s="364"/>
      <c r="CB130" s="364"/>
      <c r="CC130" s="364"/>
      <c r="CD130" s="364"/>
      <c r="CE130" s="364"/>
      <c r="CF130" s="364"/>
      <c r="CG130" s="364"/>
      <c r="CH130" s="364"/>
      <c r="CI130" s="364"/>
      <c r="CJ130" s="364"/>
      <c r="CK130" s="322"/>
    </row>
    <row r="131" spans="1:90" x14ac:dyDescent="0.3">
      <c r="A131" s="38"/>
      <c r="B131" s="52" t="s">
        <v>36</v>
      </c>
      <c r="C131" s="267">
        <f>+C132</f>
        <v>1034.2000000000116</v>
      </c>
      <c r="D131" s="267">
        <f t="shared" ref="D131:W131" si="269">+D132</f>
        <v>982.20000000001164</v>
      </c>
      <c r="E131" s="267">
        <f t="shared" si="269"/>
        <v>0</v>
      </c>
      <c r="F131" s="267">
        <f t="shared" si="269"/>
        <v>0</v>
      </c>
      <c r="G131" s="267">
        <f t="shared" si="269"/>
        <v>0</v>
      </c>
      <c r="H131" s="267">
        <f t="shared" si="269"/>
        <v>0</v>
      </c>
      <c r="I131" s="267">
        <f t="shared" si="269"/>
        <v>0</v>
      </c>
      <c r="J131" s="267">
        <f t="shared" si="269"/>
        <v>0</v>
      </c>
      <c r="K131" s="267">
        <f t="shared" si="269"/>
        <v>0</v>
      </c>
      <c r="L131" s="267">
        <f t="shared" si="269"/>
        <v>0</v>
      </c>
      <c r="M131" s="267">
        <f t="shared" si="269"/>
        <v>0</v>
      </c>
      <c r="N131" s="267">
        <f t="shared" si="269"/>
        <v>1290.5999999999999</v>
      </c>
      <c r="O131" s="267">
        <f t="shared" si="269"/>
        <v>1281.3</v>
      </c>
      <c r="P131" s="267">
        <f t="shared" si="269"/>
        <v>1242.5999999999999</v>
      </c>
      <c r="Q131" s="267">
        <f t="shared" si="269"/>
        <v>0</v>
      </c>
      <c r="R131" s="267">
        <f t="shared" si="269"/>
        <v>0</v>
      </c>
      <c r="S131" s="267">
        <f t="shared" si="269"/>
        <v>0</v>
      </c>
      <c r="T131" s="267">
        <f t="shared" si="269"/>
        <v>0</v>
      </c>
      <c r="U131" s="267">
        <f t="shared" si="269"/>
        <v>0</v>
      </c>
      <c r="V131" s="267">
        <f t="shared" si="269"/>
        <v>0</v>
      </c>
      <c r="W131" s="267">
        <f t="shared" si="269"/>
        <v>0</v>
      </c>
      <c r="X131" s="267">
        <v>0</v>
      </c>
      <c r="Y131" s="267">
        <v>0</v>
      </c>
      <c r="Z131" s="267">
        <f t="shared" ref="Z131:CJ131" si="270">+Z132</f>
        <v>843.8</v>
      </c>
      <c r="AA131" s="267">
        <f t="shared" si="270"/>
        <v>813.3</v>
      </c>
      <c r="AB131" s="267">
        <f t="shared" si="270"/>
        <v>790.4</v>
      </c>
      <c r="AC131" s="267">
        <f t="shared" si="270"/>
        <v>0</v>
      </c>
      <c r="AD131" s="267">
        <f t="shared" si="270"/>
        <v>0</v>
      </c>
      <c r="AE131" s="267">
        <f t="shared" si="270"/>
        <v>0</v>
      </c>
      <c r="AF131" s="267">
        <f t="shared" si="270"/>
        <v>0</v>
      </c>
      <c r="AG131" s="267">
        <f t="shared" si="270"/>
        <v>0</v>
      </c>
      <c r="AH131" s="267">
        <f t="shared" si="270"/>
        <v>0</v>
      </c>
      <c r="AI131" s="267">
        <f t="shared" si="270"/>
        <v>0</v>
      </c>
      <c r="AJ131" s="267">
        <f t="shared" si="270"/>
        <v>0</v>
      </c>
      <c r="AK131" s="267">
        <f t="shared" si="270"/>
        <v>0</v>
      </c>
      <c r="AL131" s="267">
        <f t="shared" si="270"/>
        <v>827.3</v>
      </c>
      <c r="AM131" s="267">
        <f t="shared" si="270"/>
        <v>809.4</v>
      </c>
      <c r="AN131" s="267">
        <f t="shared" si="270"/>
        <v>791.1</v>
      </c>
      <c r="AO131" s="267">
        <f t="shared" si="270"/>
        <v>0</v>
      </c>
      <c r="AP131" s="267">
        <f t="shared" si="270"/>
        <v>0</v>
      </c>
      <c r="AQ131" s="267">
        <f t="shared" si="270"/>
        <v>0</v>
      </c>
      <c r="AR131" s="267">
        <f t="shared" si="270"/>
        <v>0</v>
      </c>
      <c r="AS131" s="267">
        <f t="shared" si="270"/>
        <v>0</v>
      </c>
      <c r="AT131" s="267">
        <f t="shared" si="270"/>
        <v>0</v>
      </c>
      <c r="AU131" s="267">
        <f t="shared" si="270"/>
        <v>0</v>
      </c>
      <c r="AV131" s="267">
        <f t="shared" si="270"/>
        <v>0</v>
      </c>
      <c r="AW131" s="267">
        <f t="shared" si="270"/>
        <v>0</v>
      </c>
      <c r="AX131" s="267">
        <f t="shared" si="270"/>
        <v>1016.2</v>
      </c>
      <c r="AY131" s="267">
        <f t="shared" si="270"/>
        <v>963.2</v>
      </c>
      <c r="AZ131" s="267">
        <f t="shared" si="270"/>
        <v>913</v>
      </c>
      <c r="BA131" s="267">
        <f t="shared" si="270"/>
        <v>0</v>
      </c>
      <c r="BB131" s="267">
        <f t="shared" si="270"/>
        <v>0</v>
      </c>
      <c r="BC131" s="267">
        <f t="shared" si="270"/>
        <v>0</v>
      </c>
      <c r="BD131" s="267">
        <f t="shared" si="270"/>
        <v>0</v>
      </c>
      <c r="BE131" s="267">
        <f t="shared" si="270"/>
        <v>0</v>
      </c>
      <c r="BF131" s="267">
        <f t="shared" si="270"/>
        <v>0</v>
      </c>
      <c r="BG131" s="267">
        <f t="shared" si="270"/>
        <v>0</v>
      </c>
      <c r="BH131" s="267">
        <f t="shared" si="270"/>
        <v>0</v>
      </c>
      <c r="BI131" s="267">
        <f t="shared" si="270"/>
        <v>0</v>
      </c>
      <c r="BJ131" s="267">
        <f t="shared" si="270"/>
        <v>0</v>
      </c>
      <c r="BK131" s="267">
        <f t="shared" si="270"/>
        <v>0</v>
      </c>
      <c r="BL131" s="267">
        <f t="shared" si="270"/>
        <v>0</v>
      </c>
      <c r="BM131" s="267">
        <f t="shared" si="270"/>
        <v>0</v>
      </c>
      <c r="BN131" s="267">
        <f t="shared" si="270"/>
        <v>0</v>
      </c>
      <c r="BO131" s="267">
        <f t="shared" si="270"/>
        <v>0</v>
      </c>
      <c r="BP131" s="267">
        <f t="shared" si="270"/>
        <v>0</v>
      </c>
      <c r="BQ131" s="267">
        <f t="shared" si="270"/>
        <v>0</v>
      </c>
      <c r="BR131" s="267">
        <f t="shared" si="270"/>
        <v>0</v>
      </c>
      <c r="BS131" s="267">
        <f t="shared" si="270"/>
        <v>0</v>
      </c>
      <c r="BT131" s="267">
        <f t="shared" si="270"/>
        <v>0</v>
      </c>
      <c r="BU131" s="267">
        <f t="shared" si="270"/>
        <v>0</v>
      </c>
      <c r="BV131" s="267">
        <f t="shared" si="270"/>
        <v>968.5</v>
      </c>
      <c r="BW131" s="267">
        <f t="shared" si="270"/>
        <v>949.2</v>
      </c>
      <c r="BX131" s="267">
        <f t="shared" si="270"/>
        <v>939.5</v>
      </c>
      <c r="BY131" s="267">
        <f t="shared" si="270"/>
        <v>0</v>
      </c>
      <c r="BZ131" s="267">
        <f t="shared" si="270"/>
        <v>0</v>
      </c>
      <c r="CA131" s="267">
        <f t="shared" si="270"/>
        <v>0</v>
      </c>
      <c r="CB131" s="267">
        <f t="shared" si="270"/>
        <v>0</v>
      </c>
      <c r="CC131" s="267">
        <f t="shared" si="270"/>
        <v>0</v>
      </c>
      <c r="CD131" s="267">
        <f t="shared" si="270"/>
        <v>0</v>
      </c>
      <c r="CE131" s="267">
        <f t="shared" si="270"/>
        <v>0</v>
      </c>
      <c r="CF131" s="267">
        <f t="shared" si="270"/>
        <v>0</v>
      </c>
      <c r="CG131" s="267">
        <f t="shared" si="270"/>
        <v>0</v>
      </c>
      <c r="CH131" s="267">
        <f t="shared" si="270"/>
        <v>0</v>
      </c>
      <c r="CI131" s="267">
        <f t="shared" si="270"/>
        <v>0</v>
      </c>
      <c r="CJ131" s="267">
        <f t="shared" si="270"/>
        <v>0</v>
      </c>
      <c r="CK131" s="325">
        <f>+CJ131/$CJ$10</f>
        <v>0</v>
      </c>
    </row>
    <row r="132" spans="1:90" x14ac:dyDescent="0.3">
      <c r="A132" s="38"/>
      <c r="B132" s="48" t="s">
        <v>198</v>
      </c>
      <c r="C132" s="269">
        <v>1034.2000000000116</v>
      </c>
      <c r="D132" s="269">
        <v>982.20000000001164</v>
      </c>
      <c r="E132" s="269">
        <v>0</v>
      </c>
      <c r="F132" s="269">
        <v>0</v>
      </c>
      <c r="G132" s="269">
        <v>0</v>
      </c>
      <c r="H132" s="269">
        <v>0</v>
      </c>
      <c r="I132" s="269">
        <v>0</v>
      </c>
      <c r="J132" s="269">
        <v>0</v>
      </c>
      <c r="K132" s="269">
        <v>0</v>
      </c>
      <c r="L132" s="269">
        <v>0</v>
      </c>
      <c r="M132" s="269">
        <v>0</v>
      </c>
      <c r="N132" s="269">
        <v>1290.5999999999999</v>
      </c>
      <c r="O132" s="269">
        <v>1281.3</v>
      </c>
      <c r="P132" s="269">
        <v>1242.5999999999999</v>
      </c>
      <c r="Q132" s="269">
        <v>0</v>
      </c>
      <c r="R132" s="269">
        <v>0</v>
      </c>
      <c r="S132" s="269">
        <v>0</v>
      </c>
      <c r="T132" s="269">
        <v>0</v>
      </c>
      <c r="U132" s="269">
        <v>0</v>
      </c>
      <c r="V132" s="269">
        <v>0</v>
      </c>
      <c r="W132" s="269">
        <v>0</v>
      </c>
      <c r="X132" s="269">
        <v>0</v>
      </c>
      <c r="Y132" s="269">
        <v>0</v>
      </c>
      <c r="Z132" s="269">
        <v>843.8</v>
      </c>
      <c r="AA132" s="269">
        <v>813.3</v>
      </c>
      <c r="AB132" s="269">
        <v>790.4</v>
      </c>
      <c r="AC132" s="269">
        <v>0</v>
      </c>
      <c r="AD132" s="269">
        <v>0</v>
      </c>
      <c r="AE132" s="269">
        <v>0</v>
      </c>
      <c r="AF132" s="269">
        <v>0</v>
      </c>
      <c r="AG132" s="269">
        <v>0</v>
      </c>
      <c r="AH132" s="269">
        <v>0</v>
      </c>
      <c r="AI132" s="269">
        <v>0</v>
      </c>
      <c r="AJ132" s="269">
        <v>0</v>
      </c>
      <c r="AK132" s="269">
        <v>0</v>
      </c>
      <c r="AL132" s="269">
        <v>827.3</v>
      </c>
      <c r="AM132" s="269">
        <v>809.4</v>
      </c>
      <c r="AN132" s="269">
        <v>791.1</v>
      </c>
      <c r="AO132" s="269">
        <v>0</v>
      </c>
      <c r="AP132" s="269">
        <v>0</v>
      </c>
      <c r="AQ132" s="269">
        <v>0</v>
      </c>
      <c r="AR132" s="269">
        <v>0</v>
      </c>
      <c r="AS132" s="269">
        <v>0</v>
      </c>
      <c r="AT132" s="269">
        <v>0</v>
      </c>
      <c r="AU132" s="269">
        <v>0</v>
      </c>
      <c r="AV132" s="269">
        <v>0</v>
      </c>
      <c r="AW132" s="269">
        <v>0</v>
      </c>
      <c r="AX132" s="269">
        <v>1016.2</v>
      </c>
      <c r="AY132" s="269">
        <v>963.2</v>
      </c>
      <c r="AZ132" s="269">
        <v>913</v>
      </c>
      <c r="BA132" s="269">
        <v>0</v>
      </c>
      <c r="BB132" s="269">
        <v>0</v>
      </c>
      <c r="BC132" s="269">
        <v>0</v>
      </c>
      <c r="BD132" s="269">
        <v>0</v>
      </c>
      <c r="BE132" s="269">
        <v>0</v>
      </c>
      <c r="BF132" s="269">
        <v>0</v>
      </c>
      <c r="BG132" s="269">
        <v>0</v>
      </c>
      <c r="BH132" s="269">
        <v>0</v>
      </c>
      <c r="BI132" s="269">
        <v>0</v>
      </c>
      <c r="BJ132" s="269">
        <v>0</v>
      </c>
      <c r="BK132" s="269">
        <v>0</v>
      </c>
      <c r="BL132" s="269">
        <v>0</v>
      </c>
      <c r="BM132" s="269">
        <v>0</v>
      </c>
      <c r="BN132" s="269">
        <v>0</v>
      </c>
      <c r="BO132" s="269">
        <v>0</v>
      </c>
      <c r="BP132" s="269">
        <v>0</v>
      </c>
      <c r="BQ132" s="269">
        <v>0</v>
      </c>
      <c r="BR132" s="269">
        <v>0</v>
      </c>
      <c r="BS132" s="269">
        <v>0</v>
      </c>
      <c r="BT132" s="269">
        <v>0</v>
      </c>
      <c r="BU132" s="269">
        <v>0</v>
      </c>
      <c r="BV132" s="269">
        <v>968.5</v>
      </c>
      <c r="BW132" s="269">
        <v>949.2</v>
      </c>
      <c r="BX132" s="269">
        <v>939.5</v>
      </c>
      <c r="BY132" s="269">
        <v>0</v>
      </c>
      <c r="BZ132" s="269">
        <v>0</v>
      </c>
      <c r="CA132" s="269">
        <v>0</v>
      </c>
      <c r="CB132" s="269">
        <v>0</v>
      </c>
      <c r="CC132" s="269">
        <v>0</v>
      </c>
      <c r="CD132" s="269">
        <v>0</v>
      </c>
      <c r="CE132" s="269">
        <v>0</v>
      </c>
      <c r="CF132" s="269">
        <v>0</v>
      </c>
      <c r="CG132" s="269">
        <v>0</v>
      </c>
      <c r="CH132" s="269">
        <v>0</v>
      </c>
      <c r="CI132" s="269">
        <v>0</v>
      </c>
      <c r="CJ132" s="269">
        <v>0</v>
      </c>
      <c r="CK132" s="326"/>
    </row>
    <row r="133" spans="1:90" x14ac:dyDescent="0.3">
      <c r="A133" s="38"/>
      <c r="B133" s="4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64"/>
      <c r="AZ133" s="364"/>
      <c r="BA133" s="364"/>
      <c r="BB133" s="364"/>
      <c r="BC133" s="364"/>
      <c r="BD133" s="364"/>
      <c r="BE133" s="364"/>
      <c r="BF133" s="364"/>
      <c r="BG133" s="364"/>
      <c r="BH133" s="364"/>
      <c r="BI133" s="364"/>
      <c r="BJ133" s="364"/>
      <c r="BK133" s="364"/>
      <c r="BL133" s="364"/>
      <c r="BM133" s="364"/>
      <c r="BN133" s="364"/>
      <c r="BO133" s="364"/>
      <c r="BP133" s="364"/>
      <c r="BQ133" s="364"/>
      <c r="BR133" s="364"/>
      <c r="BS133" s="364"/>
      <c r="BT133" s="364"/>
      <c r="BU133" s="364"/>
      <c r="BV133" s="364"/>
      <c r="BW133" s="364"/>
      <c r="BX133" s="364"/>
      <c r="BY133" s="364"/>
      <c r="BZ133" s="364"/>
      <c r="CA133" s="364"/>
      <c r="CB133" s="364"/>
      <c r="CC133" s="364"/>
      <c r="CD133" s="364"/>
      <c r="CE133" s="364"/>
      <c r="CF133" s="364"/>
      <c r="CG133" s="364"/>
      <c r="CH133" s="364"/>
      <c r="CI133" s="364"/>
      <c r="CJ133" s="364"/>
      <c r="CK133" s="322"/>
    </row>
    <row r="134" spans="1:90" x14ac:dyDescent="0.3">
      <c r="A134" s="38"/>
      <c r="B134" s="52" t="s">
        <v>39</v>
      </c>
      <c r="C134" s="267">
        <f t="shared" ref="C134:AB134" si="271">+C135</f>
        <v>0</v>
      </c>
      <c r="D134" s="267">
        <f t="shared" si="271"/>
        <v>0</v>
      </c>
      <c r="E134" s="267">
        <f t="shared" si="271"/>
        <v>0</v>
      </c>
      <c r="F134" s="267">
        <f t="shared" si="271"/>
        <v>0</v>
      </c>
      <c r="G134" s="267">
        <f t="shared" si="271"/>
        <v>0</v>
      </c>
      <c r="H134" s="267">
        <f t="shared" si="271"/>
        <v>0</v>
      </c>
      <c r="I134" s="267">
        <f t="shared" si="271"/>
        <v>0</v>
      </c>
      <c r="J134" s="267">
        <f t="shared" si="271"/>
        <v>0</v>
      </c>
      <c r="K134" s="267">
        <f t="shared" si="271"/>
        <v>0</v>
      </c>
      <c r="L134" s="267">
        <f t="shared" si="271"/>
        <v>0</v>
      </c>
      <c r="M134" s="267">
        <f t="shared" si="271"/>
        <v>0</v>
      </c>
      <c r="N134" s="267">
        <f t="shared" si="271"/>
        <v>0</v>
      </c>
      <c r="O134" s="267">
        <f t="shared" si="271"/>
        <v>0</v>
      </c>
      <c r="P134" s="267">
        <f t="shared" si="271"/>
        <v>0</v>
      </c>
      <c r="Q134" s="267">
        <f t="shared" si="271"/>
        <v>0</v>
      </c>
      <c r="R134" s="267">
        <f t="shared" si="271"/>
        <v>0</v>
      </c>
      <c r="S134" s="267">
        <f t="shared" si="271"/>
        <v>0</v>
      </c>
      <c r="T134" s="267">
        <f t="shared" si="271"/>
        <v>0</v>
      </c>
      <c r="U134" s="267">
        <f t="shared" si="271"/>
        <v>0</v>
      </c>
      <c r="V134" s="267">
        <f t="shared" si="271"/>
        <v>0</v>
      </c>
      <c r="W134" s="267">
        <f t="shared" si="271"/>
        <v>0</v>
      </c>
      <c r="X134" s="267">
        <f t="shared" si="271"/>
        <v>0</v>
      </c>
      <c r="Y134" s="267">
        <f t="shared" si="271"/>
        <v>0</v>
      </c>
      <c r="Z134" s="267">
        <f t="shared" si="271"/>
        <v>0</v>
      </c>
      <c r="AA134" s="267">
        <f t="shared" si="271"/>
        <v>0</v>
      </c>
      <c r="AB134" s="267">
        <f t="shared" si="271"/>
        <v>0</v>
      </c>
      <c r="AC134" s="267">
        <f t="shared" ref="AC134:AI134" si="272">+AC135</f>
        <v>0</v>
      </c>
      <c r="AD134" s="267">
        <f t="shared" si="272"/>
        <v>0</v>
      </c>
      <c r="AE134" s="267">
        <f t="shared" si="272"/>
        <v>0</v>
      </c>
      <c r="AF134" s="267">
        <f t="shared" si="272"/>
        <v>0</v>
      </c>
      <c r="AG134" s="267">
        <f t="shared" si="272"/>
        <v>0</v>
      </c>
      <c r="AH134" s="267">
        <f t="shared" si="272"/>
        <v>0</v>
      </c>
      <c r="AI134" s="267">
        <f t="shared" si="272"/>
        <v>0</v>
      </c>
      <c r="AJ134" s="267">
        <v>5</v>
      </c>
      <c r="AK134" s="267">
        <v>5</v>
      </c>
      <c r="AL134" s="267">
        <v>121.1</v>
      </c>
      <c r="AM134" s="267">
        <v>0</v>
      </c>
      <c r="AN134" s="267">
        <v>0</v>
      </c>
      <c r="AO134" s="267">
        <v>0</v>
      </c>
      <c r="AP134" s="267">
        <v>0</v>
      </c>
      <c r="AQ134" s="267">
        <v>0</v>
      </c>
      <c r="AR134" s="267">
        <v>0</v>
      </c>
      <c r="AS134" s="267">
        <v>0</v>
      </c>
      <c r="AT134" s="267">
        <v>0</v>
      </c>
      <c r="AU134" s="267">
        <v>0</v>
      </c>
      <c r="AV134" s="267">
        <v>0</v>
      </c>
      <c r="AW134" s="267">
        <v>0</v>
      </c>
      <c r="AX134" s="267">
        <v>0</v>
      </c>
      <c r="AY134" s="267">
        <v>0</v>
      </c>
      <c r="AZ134" s="267">
        <v>0</v>
      </c>
      <c r="BA134" s="267">
        <v>0</v>
      </c>
      <c r="BB134" s="267">
        <v>0</v>
      </c>
      <c r="BC134" s="267">
        <v>0</v>
      </c>
      <c r="BD134" s="267">
        <v>0</v>
      </c>
      <c r="BE134" s="267">
        <v>0</v>
      </c>
      <c r="BF134" s="267">
        <v>0</v>
      </c>
      <c r="BG134" s="267">
        <v>0</v>
      </c>
      <c r="BH134" s="267">
        <v>0</v>
      </c>
      <c r="BI134" s="267">
        <v>0</v>
      </c>
      <c r="BJ134" s="267">
        <v>0</v>
      </c>
      <c r="BK134" s="267">
        <v>0</v>
      </c>
      <c r="BL134" s="267">
        <v>0</v>
      </c>
      <c r="BM134" s="267">
        <v>0</v>
      </c>
      <c r="BN134" s="267">
        <v>0</v>
      </c>
      <c r="BO134" s="267">
        <v>0</v>
      </c>
      <c r="BP134" s="267">
        <v>0</v>
      </c>
      <c r="BQ134" s="267">
        <v>0</v>
      </c>
      <c r="BR134" s="267">
        <v>0</v>
      </c>
      <c r="BS134" s="267">
        <v>0</v>
      </c>
      <c r="BT134" s="267">
        <v>0</v>
      </c>
      <c r="BU134" s="267">
        <v>0</v>
      </c>
      <c r="BV134" s="267">
        <v>0</v>
      </c>
      <c r="BW134" s="267">
        <v>0</v>
      </c>
      <c r="BX134" s="267">
        <v>0</v>
      </c>
      <c r="BY134" s="267">
        <v>0</v>
      </c>
      <c r="BZ134" s="267">
        <v>0</v>
      </c>
      <c r="CA134" s="267">
        <v>0</v>
      </c>
      <c r="CB134" s="267">
        <v>0</v>
      </c>
      <c r="CC134" s="267">
        <v>0</v>
      </c>
      <c r="CD134" s="267">
        <v>0</v>
      </c>
      <c r="CE134" s="267">
        <v>0</v>
      </c>
      <c r="CF134" s="267">
        <v>13.9</v>
      </c>
      <c r="CG134" s="267">
        <v>13.9</v>
      </c>
      <c r="CH134" s="267">
        <v>13.9</v>
      </c>
      <c r="CI134" s="267">
        <v>13.9</v>
      </c>
      <c r="CJ134" s="267">
        <v>13.9</v>
      </c>
      <c r="CK134" s="325">
        <f>+CJ134/$CJ$10</f>
        <v>2.944075070101816E-5</v>
      </c>
    </row>
    <row r="135" spans="1:90" x14ac:dyDescent="0.3">
      <c r="A135" s="38"/>
      <c r="B135" s="4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64"/>
      <c r="AZ135" s="364"/>
      <c r="BA135" s="364"/>
      <c r="BB135" s="364"/>
      <c r="BC135" s="364"/>
      <c r="BD135" s="364"/>
      <c r="BE135" s="364"/>
      <c r="BF135" s="364"/>
      <c r="BG135" s="364"/>
      <c r="BH135" s="364"/>
      <c r="BI135" s="364"/>
      <c r="BJ135" s="364"/>
      <c r="BK135" s="364"/>
      <c r="BL135" s="364"/>
      <c r="BM135" s="364"/>
      <c r="BN135" s="364"/>
      <c r="BO135" s="364"/>
      <c r="BP135" s="364"/>
      <c r="BQ135" s="364"/>
      <c r="BR135" s="364"/>
      <c r="BS135" s="364"/>
      <c r="BT135" s="364"/>
      <c r="BU135" s="364"/>
      <c r="BV135" s="364"/>
      <c r="BW135" s="364"/>
      <c r="BX135" s="364"/>
      <c r="BY135" s="364"/>
      <c r="BZ135" s="364"/>
      <c r="CA135" s="364"/>
      <c r="CB135" s="364"/>
      <c r="CC135" s="364"/>
      <c r="CD135" s="364"/>
      <c r="CE135" s="364"/>
      <c r="CF135" s="364"/>
      <c r="CG135" s="364"/>
      <c r="CH135" s="364"/>
      <c r="CI135" s="364"/>
      <c r="CJ135" s="364"/>
      <c r="CK135" s="322"/>
    </row>
    <row r="136" spans="1:90" x14ac:dyDescent="0.3">
      <c r="A136" s="38"/>
      <c r="B136" s="52" t="s">
        <v>2</v>
      </c>
      <c r="C136" s="267">
        <v>4292.2</v>
      </c>
      <c r="D136" s="267">
        <v>2000</v>
      </c>
      <c r="E136" s="267">
        <v>2000</v>
      </c>
      <c r="F136" s="267">
        <v>2000</v>
      </c>
      <c r="G136" s="267">
        <v>1036.3</v>
      </c>
      <c r="H136" s="267">
        <v>0</v>
      </c>
      <c r="I136" s="267">
        <v>0</v>
      </c>
      <c r="J136" s="267">
        <v>0</v>
      </c>
      <c r="K136" s="267">
        <v>0</v>
      </c>
      <c r="L136" s="267">
        <v>0</v>
      </c>
      <c r="M136" s="267">
        <v>0</v>
      </c>
      <c r="N136" s="267">
        <v>0</v>
      </c>
      <c r="O136" s="267">
        <v>0</v>
      </c>
      <c r="P136" s="267">
        <v>0</v>
      </c>
      <c r="Q136" s="267">
        <v>0</v>
      </c>
      <c r="R136" s="267">
        <v>2162.4</v>
      </c>
      <c r="S136" s="267">
        <v>2275.1</v>
      </c>
      <c r="T136" s="267">
        <v>2359.9</v>
      </c>
      <c r="U136" s="267">
        <v>2626.3</v>
      </c>
      <c r="V136" s="267">
        <v>2612.8000000000002</v>
      </c>
      <c r="W136" s="267">
        <v>2601.9</v>
      </c>
      <c r="X136" s="267">
        <v>2714.3</v>
      </c>
      <c r="Y136" s="267">
        <v>2912.2</v>
      </c>
      <c r="Z136" s="267">
        <v>2842.3</v>
      </c>
      <c r="AA136" s="267">
        <v>2838.6</v>
      </c>
      <c r="AB136" s="267">
        <v>2863.3</v>
      </c>
      <c r="AC136" s="267">
        <v>2908</v>
      </c>
      <c r="AD136" s="267">
        <v>0</v>
      </c>
      <c r="AE136" s="267">
        <v>0</v>
      </c>
      <c r="AF136" s="267">
        <v>0</v>
      </c>
      <c r="AG136" s="267">
        <v>0</v>
      </c>
      <c r="AH136" s="267">
        <v>0</v>
      </c>
      <c r="AI136" s="267">
        <v>0</v>
      </c>
      <c r="AJ136" s="267">
        <v>0</v>
      </c>
      <c r="AK136" s="267">
        <v>0</v>
      </c>
      <c r="AL136" s="267">
        <v>0</v>
      </c>
      <c r="AM136" s="267">
        <v>0</v>
      </c>
      <c r="AN136" s="267">
        <v>0</v>
      </c>
      <c r="AO136" s="267">
        <v>0</v>
      </c>
      <c r="AP136" s="267">
        <v>0</v>
      </c>
      <c r="AQ136" s="267">
        <v>0</v>
      </c>
      <c r="AR136" s="267">
        <v>0</v>
      </c>
      <c r="AS136" s="267">
        <v>0</v>
      </c>
      <c r="AT136" s="267">
        <v>9765.4</v>
      </c>
      <c r="AU136" s="267">
        <v>9765.4</v>
      </c>
      <c r="AV136" s="267">
        <v>9765.4</v>
      </c>
      <c r="AW136" s="267">
        <v>14217</v>
      </c>
      <c r="AX136" s="267">
        <v>14300.5</v>
      </c>
      <c r="AY136" s="267">
        <v>17828</v>
      </c>
      <c r="AZ136" s="267">
        <v>17791.099999999999</v>
      </c>
      <c r="BA136" s="267">
        <v>14223.3</v>
      </c>
      <c r="BB136" s="267">
        <v>14185.3</v>
      </c>
      <c r="BC136" s="267">
        <v>14185.3</v>
      </c>
      <c r="BD136" s="267">
        <v>694.2</v>
      </c>
      <c r="BE136" s="267">
        <v>0</v>
      </c>
      <c r="BF136" s="267">
        <v>706.6</v>
      </c>
      <c r="BG136" s="267">
        <v>3550.8</v>
      </c>
      <c r="BH136" s="267">
        <v>6069.5</v>
      </c>
      <c r="BI136" s="267">
        <v>7710.7</v>
      </c>
      <c r="BJ136" s="267">
        <v>6525.3</v>
      </c>
      <c r="BK136" s="267">
        <v>6717.5</v>
      </c>
      <c r="BL136" s="267">
        <v>6985.3</v>
      </c>
      <c r="BM136" s="267">
        <v>3991.4</v>
      </c>
      <c r="BN136" s="267">
        <v>4116.1000000000004</v>
      </c>
      <c r="BO136" s="267">
        <v>3009.5</v>
      </c>
      <c r="BP136" s="267">
        <v>2731</v>
      </c>
      <c r="BQ136" s="267">
        <v>22139.7</v>
      </c>
      <c r="BR136" s="267">
        <v>22424.6</v>
      </c>
      <c r="BS136" s="267">
        <v>22993.1</v>
      </c>
      <c r="BT136" s="267">
        <v>23766.5</v>
      </c>
      <c r="BU136" s="267">
        <v>24174.1</v>
      </c>
      <c r="BV136" s="267">
        <v>24349.8</v>
      </c>
      <c r="BW136" s="267">
        <v>24519</v>
      </c>
      <c r="BX136" s="267">
        <v>25724.2</v>
      </c>
      <c r="BY136" s="267">
        <v>25616.799999999999</v>
      </c>
      <c r="BZ136" s="267">
        <v>24397.599999999999</v>
      </c>
      <c r="CA136" s="267">
        <v>23140.9</v>
      </c>
      <c r="CB136" s="267">
        <v>23721.599999999999</v>
      </c>
      <c r="CC136" s="267">
        <v>610.1</v>
      </c>
      <c r="CD136" s="267">
        <v>634</v>
      </c>
      <c r="CE136" s="267">
        <v>625.6</v>
      </c>
      <c r="CF136" s="267">
        <v>0</v>
      </c>
      <c r="CG136" s="267">
        <v>0</v>
      </c>
      <c r="CH136" s="267">
        <v>0</v>
      </c>
      <c r="CI136" s="267">
        <v>0</v>
      </c>
      <c r="CJ136" s="267">
        <v>0</v>
      </c>
      <c r="CK136" s="325">
        <f>+CJ136/$CJ$10</f>
        <v>0</v>
      </c>
    </row>
    <row r="137" spans="1:90" x14ac:dyDescent="0.3">
      <c r="A137" s="38"/>
      <c r="B137" s="52"/>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64"/>
      <c r="AZ137" s="364"/>
      <c r="BA137" s="364"/>
      <c r="BB137" s="364"/>
      <c r="BC137" s="364"/>
      <c r="BD137" s="364"/>
      <c r="BE137" s="364"/>
      <c r="BF137" s="364"/>
      <c r="BG137" s="364"/>
      <c r="BH137" s="364"/>
      <c r="BI137" s="364"/>
      <c r="BJ137" s="364"/>
      <c r="BK137" s="364"/>
      <c r="BL137" s="364"/>
      <c r="BM137" s="364"/>
      <c r="BN137" s="364"/>
      <c r="BO137" s="364"/>
      <c r="BP137" s="364"/>
      <c r="BQ137" s="364"/>
      <c r="BR137" s="364"/>
      <c r="BS137" s="364"/>
      <c r="BT137" s="364"/>
      <c r="BU137" s="364"/>
      <c r="BV137" s="364"/>
      <c r="BW137" s="364"/>
      <c r="BX137" s="364"/>
      <c r="BY137" s="364"/>
      <c r="BZ137" s="364"/>
      <c r="CA137" s="364"/>
      <c r="CB137" s="364"/>
      <c r="CC137" s="364"/>
      <c r="CD137" s="364"/>
      <c r="CE137" s="364"/>
      <c r="CF137" s="364"/>
      <c r="CG137" s="364"/>
      <c r="CH137" s="364"/>
      <c r="CI137" s="364"/>
      <c r="CJ137" s="364"/>
      <c r="CK137" s="322"/>
    </row>
    <row r="138" spans="1:90" x14ac:dyDescent="0.3">
      <c r="A138" s="38"/>
      <c r="B138" s="52" t="s">
        <v>31</v>
      </c>
      <c r="C138" s="37">
        <f t="shared" ref="C138:U138" si="273">+C139+C150</f>
        <v>23229.7</v>
      </c>
      <c r="D138" s="37">
        <f t="shared" si="273"/>
        <v>22485.599999999999</v>
      </c>
      <c r="E138" s="37">
        <f t="shared" si="273"/>
        <v>22346.400000000001</v>
      </c>
      <c r="F138" s="37">
        <f t="shared" si="273"/>
        <v>21631.599999999999</v>
      </c>
      <c r="G138" s="37">
        <f t="shared" si="273"/>
        <v>21658.5</v>
      </c>
      <c r="H138" s="37">
        <f t="shared" si="273"/>
        <v>23089.5</v>
      </c>
      <c r="I138" s="37">
        <f t="shared" si="273"/>
        <v>24957</v>
      </c>
      <c r="J138" s="37">
        <f t="shared" si="273"/>
        <v>6437.8</v>
      </c>
      <c r="K138" s="37">
        <f t="shared" si="273"/>
        <v>7090</v>
      </c>
      <c r="L138" s="37">
        <f t="shared" si="273"/>
        <v>7123.7</v>
      </c>
      <c r="M138" s="37">
        <f t="shared" si="273"/>
        <v>7464.4999999999991</v>
      </c>
      <c r="N138" s="37">
        <f t="shared" si="273"/>
        <v>8178.1</v>
      </c>
      <c r="O138" s="37">
        <f t="shared" si="273"/>
        <v>8641.9</v>
      </c>
      <c r="P138" s="37">
        <f t="shared" si="273"/>
        <v>7833.5999999999985</v>
      </c>
      <c r="Q138" s="37">
        <f t="shared" si="273"/>
        <v>7627.2</v>
      </c>
      <c r="R138" s="37">
        <f t="shared" si="273"/>
        <v>9601.8000000000011</v>
      </c>
      <c r="S138" s="37">
        <f t="shared" si="273"/>
        <v>10478</v>
      </c>
      <c r="T138" s="37">
        <f t="shared" si="273"/>
        <v>11853.099999999999</v>
      </c>
      <c r="U138" s="37">
        <f t="shared" si="273"/>
        <v>12094.899999999998</v>
      </c>
      <c r="V138" s="37">
        <f t="shared" ref="V138" si="274">+V139+V150</f>
        <v>13146.199999999997</v>
      </c>
      <c r="W138" s="37">
        <f t="shared" ref="W138:AT138" si="275">+W139+W150</f>
        <v>13102.4</v>
      </c>
      <c r="X138" s="37">
        <f t="shared" si="275"/>
        <v>13278.4</v>
      </c>
      <c r="Y138" s="37">
        <f t="shared" si="275"/>
        <v>11627.8</v>
      </c>
      <c r="Z138" s="37">
        <f t="shared" si="275"/>
        <v>10559.300000000001</v>
      </c>
      <c r="AA138" s="37">
        <f t="shared" si="275"/>
        <v>10628</v>
      </c>
      <c r="AB138" s="37">
        <f t="shared" si="275"/>
        <v>10035.699999999999</v>
      </c>
      <c r="AC138" s="37">
        <f t="shared" si="275"/>
        <v>10681.800000000001</v>
      </c>
      <c r="AD138" s="37">
        <f t="shared" si="275"/>
        <v>12619.7</v>
      </c>
      <c r="AE138" s="37">
        <f t="shared" si="275"/>
        <v>12130.7</v>
      </c>
      <c r="AF138" s="37">
        <f t="shared" si="275"/>
        <v>13656.5</v>
      </c>
      <c r="AG138" s="37">
        <f t="shared" si="275"/>
        <v>16148.400000000001</v>
      </c>
      <c r="AH138" s="37">
        <f t="shared" si="275"/>
        <v>17810.5</v>
      </c>
      <c r="AI138" s="37">
        <f t="shared" si="275"/>
        <v>18772.8</v>
      </c>
      <c r="AJ138" s="37">
        <f t="shared" si="275"/>
        <v>19064.5</v>
      </c>
      <c r="AK138" s="37">
        <f t="shared" si="275"/>
        <v>20161.2</v>
      </c>
      <c r="AL138" s="37">
        <f t="shared" si="275"/>
        <v>20687.499999999996</v>
      </c>
      <c r="AM138" s="37">
        <f t="shared" si="275"/>
        <v>22679.9</v>
      </c>
      <c r="AN138" s="37">
        <f t="shared" si="275"/>
        <v>22942.500000000004</v>
      </c>
      <c r="AO138" s="37">
        <f t="shared" si="275"/>
        <v>26464.7</v>
      </c>
      <c r="AP138" s="37">
        <f t="shared" si="275"/>
        <v>24832.799999999999</v>
      </c>
      <c r="AQ138" s="37">
        <f t="shared" si="275"/>
        <v>24865.599999999999</v>
      </c>
      <c r="AR138" s="37">
        <f t="shared" si="275"/>
        <v>25273.100000000002</v>
      </c>
      <c r="AS138" s="37">
        <f t="shared" si="275"/>
        <v>27759.7</v>
      </c>
      <c r="AT138" s="37">
        <f t="shared" si="275"/>
        <v>22468.799999999999</v>
      </c>
      <c r="AU138" s="37">
        <f t="shared" ref="AU138" si="276">+AU139+AU150</f>
        <v>24792.1</v>
      </c>
      <c r="AV138" s="37">
        <f t="shared" ref="AV138:BA138" si="277">+AV139+AV150</f>
        <v>24408.700000000004</v>
      </c>
      <c r="AW138" s="37">
        <f t="shared" si="277"/>
        <v>20907.400000000001</v>
      </c>
      <c r="AX138" s="37">
        <f t="shared" si="277"/>
        <v>23981.099999999995</v>
      </c>
      <c r="AY138" s="37">
        <f t="shared" si="277"/>
        <v>22884.399999999998</v>
      </c>
      <c r="AZ138" s="37">
        <f t="shared" si="277"/>
        <v>23188.3</v>
      </c>
      <c r="BA138" s="37">
        <f t="shared" si="277"/>
        <v>13082.3</v>
      </c>
      <c r="BB138" s="37">
        <f t="shared" ref="BB138:BI138" si="278">+BB139+BB150</f>
        <v>11978.699999999999</v>
      </c>
      <c r="BC138" s="37">
        <f t="shared" si="278"/>
        <v>11955.3</v>
      </c>
      <c r="BD138" s="37">
        <f t="shared" si="278"/>
        <v>10823.599999999999</v>
      </c>
      <c r="BE138" s="37">
        <f t="shared" si="278"/>
        <v>11476.3</v>
      </c>
      <c r="BF138" s="37">
        <f t="shared" si="278"/>
        <v>11569.699999999999</v>
      </c>
      <c r="BG138" s="37">
        <f t="shared" si="278"/>
        <v>11635.300000000001</v>
      </c>
      <c r="BH138" s="37">
        <f t="shared" si="278"/>
        <v>8642.1</v>
      </c>
      <c r="BI138" s="37">
        <f t="shared" si="278"/>
        <v>6011</v>
      </c>
      <c r="BJ138" s="37">
        <f t="shared" ref="BJ138:BO138" si="279">+BJ139+BJ150</f>
        <v>6270.6999999999989</v>
      </c>
      <c r="BK138" s="37">
        <f t="shared" si="279"/>
        <v>5349.2000000000007</v>
      </c>
      <c r="BL138" s="37">
        <f t="shared" si="279"/>
        <v>3400.2</v>
      </c>
      <c r="BM138" s="37">
        <f t="shared" si="279"/>
        <v>3579.2000000000003</v>
      </c>
      <c r="BN138" s="37">
        <f t="shared" si="279"/>
        <v>7217.2000000000007</v>
      </c>
      <c r="BO138" s="37">
        <f t="shared" si="279"/>
        <v>20695.099999999999</v>
      </c>
      <c r="BP138" s="37">
        <f t="shared" ref="BP138:CJ138" si="280">+BP139+BP150</f>
        <v>21144.199999999997</v>
      </c>
      <c r="BQ138" s="37">
        <f t="shared" ref="BQ138:CI138" si="281">+BQ139+BQ150</f>
        <v>31997.599999999999</v>
      </c>
      <c r="BR138" s="37">
        <f t="shared" si="281"/>
        <v>35937.4</v>
      </c>
      <c r="BS138" s="37">
        <f t="shared" si="281"/>
        <v>33644.5</v>
      </c>
      <c r="BT138" s="37">
        <f t="shared" si="281"/>
        <v>33555.5</v>
      </c>
      <c r="BU138" s="37">
        <f t="shared" si="281"/>
        <v>30576.9</v>
      </c>
      <c r="BV138" s="37">
        <f t="shared" si="281"/>
        <v>29694.5</v>
      </c>
      <c r="BW138" s="37">
        <f t="shared" si="281"/>
        <v>27576.100000000002</v>
      </c>
      <c r="BX138" s="37">
        <f t="shared" si="281"/>
        <v>33428.400000000001</v>
      </c>
      <c r="BY138" s="37">
        <f t="shared" si="281"/>
        <v>33744.5</v>
      </c>
      <c r="BZ138" s="37">
        <f t="shared" si="281"/>
        <v>27955.9</v>
      </c>
      <c r="CA138" s="37">
        <f t="shared" si="281"/>
        <v>29597</v>
      </c>
      <c r="CB138" s="37">
        <f t="shared" si="281"/>
        <v>31971.7</v>
      </c>
      <c r="CC138" s="37">
        <f t="shared" si="281"/>
        <v>46248.799999999996</v>
      </c>
      <c r="CD138" s="37">
        <f t="shared" si="281"/>
        <v>37219.299999999996</v>
      </c>
      <c r="CE138" s="37">
        <f t="shared" si="281"/>
        <v>36809.299999999996</v>
      </c>
      <c r="CF138" s="37">
        <f t="shared" si="281"/>
        <v>37256.299999999996</v>
      </c>
      <c r="CG138" s="37">
        <f t="shared" si="281"/>
        <v>32399</v>
      </c>
      <c r="CH138" s="37">
        <f t="shared" si="281"/>
        <v>55278.2</v>
      </c>
      <c r="CI138" s="37">
        <f t="shared" si="281"/>
        <v>61359.3</v>
      </c>
      <c r="CJ138" s="37">
        <f t="shared" si="280"/>
        <v>58100.7</v>
      </c>
      <c r="CK138" s="323">
        <f>+CJ138/$CJ$10</f>
        <v>0.12305958447875148</v>
      </c>
      <c r="CL138" s="66"/>
    </row>
    <row r="139" spans="1:90" x14ac:dyDescent="0.3">
      <c r="A139" s="38"/>
      <c r="B139" s="49" t="s">
        <v>3</v>
      </c>
      <c r="C139" s="268">
        <f t="shared" ref="C139:U139" si="282">+SUM(C140:C148)</f>
        <v>10684.2</v>
      </c>
      <c r="D139" s="268">
        <f t="shared" si="282"/>
        <v>9968.2999999999993</v>
      </c>
      <c r="E139" s="268">
        <f t="shared" si="282"/>
        <v>9908.6</v>
      </c>
      <c r="F139" s="268">
        <f t="shared" si="282"/>
        <v>10025.5</v>
      </c>
      <c r="G139" s="268">
        <f t="shared" si="282"/>
        <v>10368.400000000001</v>
      </c>
      <c r="H139" s="268">
        <f t="shared" si="282"/>
        <v>10952.5</v>
      </c>
      <c r="I139" s="268">
        <f t="shared" si="282"/>
        <v>11367.7</v>
      </c>
      <c r="J139" s="268">
        <f t="shared" si="282"/>
        <v>6437.8</v>
      </c>
      <c r="K139" s="268">
        <f t="shared" si="282"/>
        <v>6815</v>
      </c>
      <c r="L139" s="268">
        <f t="shared" si="282"/>
        <v>6611.8</v>
      </c>
      <c r="M139" s="268">
        <f t="shared" si="282"/>
        <v>6563.7999999999993</v>
      </c>
      <c r="N139" s="268">
        <f t="shared" si="282"/>
        <v>7072</v>
      </c>
      <c r="O139" s="268">
        <f t="shared" si="282"/>
        <v>7535.8</v>
      </c>
      <c r="P139" s="268">
        <f t="shared" si="282"/>
        <v>6727.4999999999991</v>
      </c>
      <c r="Q139" s="268">
        <f t="shared" si="282"/>
        <v>6588.7</v>
      </c>
      <c r="R139" s="268">
        <f t="shared" si="282"/>
        <v>8558.7000000000007</v>
      </c>
      <c r="S139" s="268">
        <f t="shared" si="282"/>
        <v>9429.7000000000007</v>
      </c>
      <c r="T139" s="268">
        <f t="shared" si="282"/>
        <v>10804.8</v>
      </c>
      <c r="U139" s="268">
        <f t="shared" si="282"/>
        <v>11046.599999999999</v>
      </c>
      <c r="V139" s="268">
        <f t="shared" ref="V139" si="283">+SUM(V140:V148)</f>
        <v>12097.899999999998</v>
      </c>
      <c r="W139" s="268">
        <f t="shared" ref="W139:AA139" si="284">+SUM(W140:W148)</f>
        <v>12054.1</v>
      </c>
      <c r="X139" s="268">
        <f>+SUM(X140:X148)</f>
        <v>12217</v>
      </c>
      <c r="Y139" s="268">
        <f t="shared" si="284"/>
        <v>10566.4</v>
      </c>
      <c r="Z139" s="268">
        <f t="shared" si="284"/>
        <v>9497.9000000000015</v>
      </c>
      <c r="AA139" s="268">
        <f t="shared" si="284"/>
        <v>9566.6</v>
      </c>
      <c r="AB139" s="268">
        <f t="shared" ref="AB139:AM139" si="285">+SUM(AB140:AB148)</f>
        <v>8974.2999999999993</v>
      </c>
      <c r="AC139" s="268">
        <f t="shared" si="285"/>
        <v>9616.8000000000011</v>
      </c>
      <c r="AD139" s="268">
        <f t="shared" si="285"/>
        <v>11540.2</v>
      </c>
      <c r="AE139" s="268">
        <f t="shared" si="285"/>
        <v>11051.2</v>
      </c>
      <c r="AF139" s="268">
        <f t="shared" si="285"/>
        <v>12577</v>
      </c>
      <c r="AG139" s="268">
        <f t="shared" si="285"/>
        <v>15068.900000000001</v>
      </c>
      <c r="AH139" s="268">
        <f t="shared" si="285"/>
        <v>16731</v>
      </c>
      <c r="AI139" s="268">
        <f t="shared" si="285"/>
        <v>17689.7</v>
      </c>
      <c r="AJ139" s="268">
        <f t="shared" si="285"/>
        <v>17968.3</v>
      </c>
      <c r="AK139" s="268">
        <f t="shared" si="285"/>
        <v>19065</v>
      </c>
      <c r="AL139" s="268">
        <f t="shared" si="285"/>
        <v>19591.299999999996</v>
      </c>
      <c r="AM139" s="268">
        <f t="shared" si="285"/>
        <v>21583.7</v>
      </c>
      <c r="AN139" s="268">
        <f t="shared" ref="AN139:AT139" si="286">+SUM(AN140:AN148)</f>
        <v>21846.300000000003</v>
      </c>
      <c r="AO139" s="268">
        <f t="shared" si="286"/>
        <v>25349.7</v>
      </c>
      <c r="AP139" s="268">
        <f t="shared" si="286"/>
        <v>23717.8</v>
      </c>
      <c r="AQ139" s="268">
        <f t="shared" si="286"/>
        <v>23750.6</v>
      </c>
      <c r="AR139" s="268">
        <f t="shared" si="286"/>
        <v>24158.100000000002</v>
      </c>
      <c r="AS139" s="268">
        <f t="shared" si="286"/>
        <v>26644.7</v>
      </c>
      <c r="AT139" s="268">
        <f t="shared" si="286"/>
        <v>21353.8</v>
      </c>
      <c r="AU139" s="268">
        <f t="shared" ref="AU139" si="287">+SUM(AU140:AU148)</f>
        <v>23657.8</v>
      </c>
      <c r="AV139" s="268">
        <f t="shared" ref="AV139:BA139" si="288">+SUM(AV140:AV148)</f>
        <v>23274.400000000005</v>
      </c>
      <c r="AW139" s="268">
        <f t="shared" si="288"/>
        <v>19773.100000000002</v>
      </c>
      <c r="AX139" s="268">
        <f t="shared" si="288"/>
        <v>22846.799999999996</v>
      </c>
      <c r="AY139" s="366">
        <f t="shared" si="288"/>
        <v>21750.1</v>
      </c>
      <c r="AZ139" s="366">
        <f t="shared" si="288"/>
        <v>22054</v>
      </c>
      <c r="BA139" s="366">
        <f t="shared" si="288"/>
        <v>11928.5</v>
      </c>
      <c r="BB139" s="366">
        <f t="shared" ref="BB139:BI139" si="289">+SUM(BB140:BB148)</f>
        <v>10824.9</v>
      </c>
      <c r="BC139" s="366">
        <f t="shared" si="289"/>
        <v>10801.5</v>
      </c>
      <c r="BD139" s="366">
        <f t="shared" si="289"/>
        <v>9669.7999999999993</v>
      </c>
      <c r="BE139" s="366">
        <f t="shared" si="289"/>
        <v>10322.5</v>
      </c>
      <c r="BF139" s="366">
        <f t="shared" si="289"/>
        <v>10396.099999999999</v>
      </c>
      <c r="BG139" s="366">
        <f t="shared" si="289"/>
        <v>10461.700000000001</v>
      </c>
      <c r="BH139" s="366">
        <f t="shared" si="289"/>
        <v>7468.5</v>
      </c>
      <c r="BI139" s="366">
        <f t="shared" si="289"/>
        <v>4837.3999999999996</v>
      </c>
      <c r="BJ139" s="366">
        <f t="shared" ref="BJ139:BO139" si="290">+SUM(BJ140:BJ148)</f>
        <v>5097.0999999999995</v>
      </c>
      <c r="BK139" s="366">
        <f t="shared" si="290"/>
        <v>4175.6000000000004</v>
      </c>
      <c r="BL139" s="366">
        <f t="shared" si="290"/>
        <v>2212.1</v>
      </c>
      <c r="BM139" s="366">
        <f t="shared" si="290"/>
        <v>2391.1000000000004</v>
      </c>
      <c r="BN139" s="366">
        <f t="shared" si="290"/>
        <v>6029.1</v>
      </c>
      <c r="BO139" s="366">
        <f t="shared" si="290"/>
        <v>19507</v>
      </c>
      <c r="BP139" s="366">
        <f t="shared" ref="BP139" si="291">+SUM(BP140:BP148)</f>
        <v>19956.099999999999</v>
      </c>
      <c r="BQ139" s="366">
        <f t="shared" ref="BQ139:CD139" si="292">+SUM(BQ140:BQ148)</f>
        <v>30809.5</v>
      </c>
      <c r="BR139" s="366">
        <f t="shared" si="292"/>
        <v>34740.5</v>
      </c>
      <c r="BS139" s="366">
        <f t="shared" si="292"/>
        <v>32447.599999999999</v>
      </c>
      <c r="BT139" s="366">
        <f t="shared" si="292"/>
        <v>32358.6</v>
      </c>
      <c r="BU139" s="366">
        <f t="shared" si="292"/>
        <v>29380</v>
      </c>
      <c r="BV139" s="366">
        <f t="shared" si="292"/>
        <v>28497.599999999999</v>
      </c>
      <c r="BW139" s="366">
        <f t="shared" si="292"/>
        <v>26379.200000000001</v>
      </c>
      <c r="BX139" s="366">
        <f t="shared" si="292"/>
        <v>32213.7</v>
      </c>
      <c r="BY139" s="366">
        <f t="shared" si="292"/>
        <v>32529.8</v>
      </c>
      <c r="BZ139" s="366">
        <f t="shared" si="292"/>
        <v>26741.200000000001</v>
      </c>
      <c r="CA139" s="366">
        <f t="shared" si="292"/>
        <v>28382.3</v>
      </c>
      <c r="CB139" s="366">
        <f t="shared" si="292"/>
        <v>30762</v>
      </c>
      <c r="CC139" s="366">
        <f t="shared" si="292"/>
        <v>45039.1</v>
      </c>
      <c r="CD139" s="366">
        <f t="shared" si="292"/>
        <v>36009.599999999999</v>
      </c>
      <c r="CE139" s="366">
        <f t="shared" ref="CE139:CJ139" si="293">+SUM(CE140:CE148)</f>
        <v>35599.599999999999</v>
      </c>
      <c r="CF139" s="366">
        <f t="shared" si="293"/>
        <v>36046.6</v>
      </c>
      <c r="CG139" s="366">
        <f t="shared" si="293"/>
        <v>31189.3</v>
      </c>
      <c r="CH139" s="366">
        <f t="shared" si="293"/>
        <v>54068.5</v>
      </c>
      <c r="CI139" s="366">
        <f t="shared" si="293"/>
        <v>60149.600000000006</v>
      </c>
      <c r="CJ139" s="366">
        <f t="shared" si="293"/>
        <v>58100.7</v>
      </c>
      <c r="CK139" s="325">
        <f>+CJ139/$CJ$10</f>
        <v>0.12305958447875148</v>
      </c>
    </row>
    <row r="140" spans="1:90" x14ac:dyDescent="0.3">
      <c r="A140" s="38"/>
      <c r="B140" s="45" t="s">
        <v>50</v>
      </c>
      <c r="C140" s="269">
        <v>17.2</v>
      </c>
      <c r="D140" s="269">
        <v>16.3</v>
      </c>
      <c r="E140" s="269">
        <v>14.7</v>
      </c>
      <c r="F140" s="269">
        <v>14.5</v>
      </c>
      <c r="G140" s="269">
        <v>17.899999999999999</v>
      </c>
      <c r="H140" s="269">
        <v>18.899999999999999</v>
      </c>
      <c r="I140" s="269">
        <v>18.3</v>
      </c>
      <c r="J140" s="269">
        <v>13.6</v>
      </c>
      <c r="K140" s="269">
        <v>14</v>
      </c>
      <c r="L140" s="269">
        <v>13.5</v>
      </c>
      <c r="M140" s="269">
        <v>0</v>
      </c>
      <c r="N140" s="269">
        <v>0</v>
      </c>
      <c r="O140" s="269">
        <v>16.899999999999999</v>
      </c>
      <c r="P140" s="269">
        <v>18.100000000000001</v>
      </c>
      <c r="Q140" s="269">
        <v>17.5</v>
      </c>
      <c r="R140" s="269">
        <v>16.899999999999999</v>
      </c>
      <c r="S140" s="269">
        <v>17.5</v>
      </c>
      <c r="T140" s="269">
        <v>17</v>
      </c>
      <c r="U140" s="269">
        <v>16.7</v>
      </c>
      <c r="V140" s="269">
        <v>17.5</v>
      </c>
      <c r="W140" s="269">
        <v>17</v>
      </c>
      <c r="X140" s="269">
        <v>17.7</v>
      </c>
      <c r="Y140" s="269">
        <v>17</v>
      </c>
      <c r="Z140" s="269">
        <v>16.5</v>
      </c>
      <c r="AA140" s="269">
        <v>16.8</v>
      </c>
      <c r="AB140" s="269">
        <v>16.3</v>
      </c>
      <c r="AC140" s="269">
        <v>16</v>
      </c>
      <c r="AD140" s="269">
        <v>16.899999999999999</v>
      </c>
      <c r="AE140" s="269">
        <v>16.7</v>
      </c>
      <c r="AF140" s="269">
        <v>16.5</v>
      </c>
      <c r="AG140" s="269">
        <v>17.7</v>
      </c>
      <c r="AH140" s="269">
        <v>17.5</v>
      </c>
      <c r="AI140" s="269">
        <v>17.3</v>
      </c>
      <c r="AJ140" s="269">
        <v>18.5</v>
      </c>
      <c r="AK140" s="269">
        <v>18.3</v>
      </c>
      <c r="AL140" s="269">
        <v>18</v>
      </c>
      <c r="AM140" s="269">
        <v>19</v>
      </c>
      <c r="AN140" s="269">
        <v>18.600000000000001</v>
      </c>
      <c r="AO140" s="269">
        <v>18</v>
      </c>
      <c r="AP140" s="269">
        <v>18.8</v>
      </c>
      <c r="AQ140" s="269">
        <v>18</v>
      </c>
      <c r="AR140" s="269">
        <v>17.3</v>
      </c>
      <c r="AS140" s="269">
        <v>18.2</v>
      </c>
      <c r="AT140" s="269">
        <v>17.3</v>
      </c>
      <c r="AU140" s="269">
        <v>18.399999999999999</v>
      </c>
      <c r="AV140" s="269">
        <v>17.3</v>
      </c>
      <c r="AW140" s="269">
        <v>16.2</v>
      </c>
      <c r="AX140" s="269">
        <v>17.5</v>
      </c>
      <c r="AY140" s="269">
        <v>16.600000000000001</v>
      </c>
      <c r="AZ140" s="269">
        <v>15.8</v>
      </c>
      <c r="BA140" s="269">
        <v>17.3</v>
      </c>
      <c r="BB140" s="269">
        <v>16.3</v>
      </c>
      <c r="BC140" s="269">
        <v>15.1</v>
      </c>
      <c r="BD140" s="269">
        <v>16.5</v>
      </c>
      <c r="BE140" s="269">
        <v>15.4</v>
      </c>
      <c r="BF140" s="269">
        <v>12.1</v>
      </c>
      <c r="BG140" s="269">
        <v>5.2</v>
      </c>
      <c r="BH140" s="269">
        <v>5.2</v>
      </c>
      <c r="BI140" s="269">
        <v>5</v>
      </c>
      <c r="BJ140" s="269">
        <v>2.8</v>
      </c>
      <c r="BK140" s="269">
        <v>2.7</v>
      </c>
      <c r="BL140" s="269">
        <v>2.7</v>
      </c>
      <c r="BM140" s="269">
        <v>2.6</v>
      </c>
      <c r="BN140" s="269">
        <v>2.6</v>
      </c>
      <c r="BO140" s="269">
        <v>2.5</v>
      </c>
      <c r="BP140" s="269">
        <v>0</v>
      </c>
      <c r="BQ140" s="269">
        <v>0</v>
      </c>
      <c r="BR140" s="269">
        <v>0</v>
      </c>
      <c r="BS140" s="269">
        <v>0</v>
      </c>
      <c r="BT140" s="269">
        <v>0</v>
      </c>
      <c r="BU140" s="269">
        <v>0</v>
      </c>
      <c r="BV140" s="269">
        <v>0</v>
      </c>
      <c r="BW140" s="269">
        <v>0</v>
      </c>
      <c r="BX140" s="269">
        <v>0</v>
      </c>
      <c r="BY140" s="269">
        <v>0</v>
      </c>
      <c r="BZ140" s="269">
        <v>0</v>
      </c>
      <c r="CA140" s="269">
        <v>0</v>
      </c>
      <c r="CB140" s="269">
        <v>0</v>
      </c>
      <c r="CC140" s="269">
        <v>0</v>
      </c>
      <c r="CD140" s="269">
        <v>0</v>
      </c>
      <c r="CE140" s="269">
        <v>0</v>
      </c>
      <c r="CF140" s="269">
        <v>0</v>
      </c>
      <c r="CG140" s="269">
        <v>0</v>
      </c>
      <c r="CH140" s="269">
        <v>0</v>
      </c>
      <c r="CI140" s="269">
        <v>0</v>
      </c>
      <c r="CJ140" s="269">
        <v>0</v>
      </c>
      <c r="CK140" s="326"/>
    </row>
    <row r="141" spans="1:90" x14ac:dyDescent="0.3">
      <c r="A141" s="38"/>
      <c r="B141" s="45" t="s">
        <v>51</v>
      </c>
      <c r="C141" s="269">
        <v>179.8</v>
      </c>
      <c r="D141" s="269">
        <v>170.8</v>
      </c>
      <c r="E141" s="269">
        <v>153.6</v>
      </c>
      <c r="F141" s="269">
        <v>151.30000000000001</v>
      </c>
      <c r="G141" s="269">
        <v>148.4</v>
      </c>
      <c r="H141" s="269">
        <v>156.9</v>
      </c>
      <c r="I141" s="269">
        <v>151.80000000000001</v>
      </c>
      <c r="J141" s="269">
        <v>112.7</v>
      </c>
      <c r="K141" s="269">
        <v>115.7</v>
      </c>
      <c r="L141" s="269">
        <v>106.5</v>
      </c>
      <c r="M141" s="269">
        <v>106.2</v>
      </c>
      <c r="N141" s="269">
        <v>106.2</v>
      </c>
      <c r="O141" s="269">
        <v>139.19999999999999</v>
      </c>
      <c r="P141" s="269">
        <v>136.5</v>
      </c>
      <c r="Q141" s="269">
        <v>133.9</v>
      </c>
      <c r="R141" s="269">
        <v>136.19999999999999</v>
      </c>
      <c r="S141" s="269">
        <v>132.80000000000001</v>
      </c>
      <c r="T141" s="269">
        <v>129.19999999999999</v>
      </c>
      <c r="U141" s="269">
        <v>33.200000000000003</v>
      </c>
      <c r="V141" s="269">
        <v>32.4</v>
      </c>
      <c r="W141" s="269">
        <v>31.1</v>
      </c>
      <c r="X141" s="269">
        <v>0</v>
      </c>
      <c r="Y141" s="269">
        <v>0</v>
      </c>
      <c r="Z141" s="269">
        <v>0</v>
      </c>
      <c r="AA141" s="269">
        <v>0</v>
      </c>
      <c r="AB141" s="269">
        <v>0</v>
      </c>
      <c r="AC141" s="269">
        <v>0</v>
      </c>
      <c r="AD141" s="269">
        <v>0</v>
      </c>
      <c r="AE141" s="269">
        <v>0</v>
      </c>
      <c r="AF141" s="269">
        <v>0</v>
      </c>
      <c r="AG141" s="269">
        <v>0</v>
      </c>
      <c r="AH141" s="269">
        <v>0</v>
      </c>
      <c r="AI141" s="269">
        <v>0</v>
      </c>
      <c r="AJ141" s="269">
        <v>0</v>
      </c>
      <c r="AK141" s="269">
        <v>0</v>
      </c>
      <c r="AL141" s="269">
        <v>0</v>
      </c>
      <c r="AM141" s="269">
        <v>0</v>
      </c>
      <c r="AN141" s="269">
        <v>0</v>
      </c>
      <c r="AO141" s="269">
        <v>0</v>
      </c>
      <c r="AP141" s="269">
        <v>0</v>
      </c>
      <c r="AQ141" s="269">
        <v>0</v>
      </c>
      <c r="AR141" s="269">
        <v>0</v>
      </c>
      <c r="AS141" s="269">
        <v>0</v>
      </c>
      <c r="AT141" s="269">
        <v>0</v>
      </c>
      <c r="AU141" s="269">
        <v>0</v>
      </c>
      <c r="AV141" s="269">
        <v>0</v>
      </c>
      <c r="AW141" s="269">
        <v>0</v>
      </c>
      <c r="AX141" s="269">
        <v>0</v>
      </c>
      <c r="AY141" s="269">
        <v>0</v>
      </c>
      <c r="AZ141" s="269">
        <v>0</v>
      </c>
      <c r="BA141" s="269">
        <v>0</v>
      </c>
      <c r="BB141" s="269">
        <v>0</v>
      </c>
      <c r="BC141" s="269">
        <v>0</v>
      </c>
      <c r="BD141" s="269">
        <v>0</v>
      </c>
      <c r="BE141" s="269">
        <v>0</v>
      </c>
      <c r="BF141" s="269">
        <v>0</v>
      </c>
      <c r="BG141" s="269">
        <v>0</v>
      </c>
      <c r="BH141" s="269">
        <v>0</v>
      </c>
      <c r="BI141" s="269">
        <v>0</v>
      </c>
      <c r="BJ141" s="269">
        <v>0</v>
      </c>
      <c r="BK141" s="269">
        <v>0</v>
      </c>
      <c r="BL141" s="269">
        <v>0</v>
      </c>
      <c r="BM141" s="269">
        <v>0</v>
      </c>
      <c r="BN141" s="269">
        <v>0</v>
      </c>
      <c r="BO141" s="269">
        <v>0</v>
      </c>
      <c r="BP141" s="269">
        <v>0</v>
      </c>
      <c r="BQ141" s="269">
        <v>0</v>
      </c>
      <c r="BR141" s="269">
        <v>0</v>
      </c>
      <c r="BS141" s="269">
        <v>0</v>
      </c>
      <c r="BT141" s="269">
        <v>0</v>
      </c>
      <c r="BU141" s="269">
        <v>0</v>
      </c>
      <c r="BV141" s="269">
        <v>0</v>
      </c>
      <c r="BW141" s="269">
        <v>0</v>
      </c>
      <c r="BX141" s="269">
        <v>0</v>
      </c>
      <c r="BY141" s="269">
        <v>0</v>
      </c>
      <c r="BZ141" s="269">
        <v>0</v>
      </c>
      <c r="CA141" s="269">
        <v>0</v>
      </c>
      <c r="CB141" s="269">
        <v>0</v>
      </c>
      <c r="CC141" s="269">
        <v>0</v>
      </c>
      <c r="CD141" s="269">
        <v>0</v>
      </c>
      <c r="CE141" s="269">
        <v>0</v>
      </c>
      <c r="CF141" s="269">
        <v>0</v>
      </c>
      <c r="CG141" s="269">
        <v>0</v>
      </c>
      <c r="CH141" s="269">
        <v>0</v>
      </c>
      <c r="CI141" s="269">
        <v>0</v>
      </c>
      <c r="CJ141" s="269">
        <v>0</v>
      </c>
      <c r="CK141" s="326"/>
    </row>
    <row r="142" spans="1:90" x14ac:dyDescent="0.3">
      <c r="A142" s="38"/>
      <c r="B142" s="45" t="s">
        <v>52</v>
      </c>
      <c r="C142" s="269">
        <v>2.2000000000000002</v>
      </c>
      <c r="D142" s="269">
        <v>2.1</v>
      </c>
      <c r="E142" s="269">
        <v>1.9</v>
      </c>
      <c r="F142" s="269">
        <v>1.9</v>
      </c>
      <c r="G142" s="269">
        <v>1.9</v>
      </c>
      <c r="H142" s="269">
        <v>2</v>
      </c>
      <c r="I142" s="269">
        <v>1.9</v>
      </c>
      <c r="J142" s="269">
        <v>1.4</v>
      </c>
      <c r="K142" s="269">
        <v>1.4</v>
      </c>
      <c r="L142" s="269">
        <v>1.4</v>
      </c>
      <c r="M142" s="269">
        <v>1.4</v>
      </c>
      <c r="N142" s="269">
        <v>1.4</v>
      </c>
      <c r="O142" s="269">
        <v>5.0999999999999996</v>
      </c>
      <c r="P142" s="269">
        <v>4.9000000000000004</v>
      </c>
      <c r="Q142" s="269">
        <v>4.7</v>
      </c>
      <c r="R142" s="269">
        <v>4.5999999999999996</v>
      </c>
      <c r="S142" s="269">
        <v>4.7</v>
      </c>
      <c r="T142" s="269">
        <v>4.5999999999999996</v>
      </c>
      <c r="U142" s="269">
        <v>4.4000000000000004</v>
      </c>
      <c r="V142" s="269">
        <v>4.5</v>
      </c>
      <c r="W142" s="269">
        <v>4.4000000000000004</v>
      </c>
      <c r="X142" s="269">
        <v>4.5</v>
      </c>
      <c r="Y142" s="269">
        <v>4.4000000000000004</v>
      </c>
      <c r="Z142" s="269">
        <v>4.2</v>
      </c>
      <c r="AA142" s="269">
        <v>4.3</v>
      </c>
      <c r="AB142" s="269">
        <v>4.2</v>
      </c>
      <c r="AC142" s="269">
        <v>4.0999999999999996</v>
      </c>
      <c r="AD142" s="269">
        <v>4.3</v>
      </c>
      <c r="AE142" s="269">
        <v>4.3</v>
      </c>
      <c r="AF142" s="269">
        <v>4.2</v>
      </c>
      <c r="AG142" s="269">
        <v>4.5</v>
      </c>
      <c r="AH142" s="269">
        <v>4.5</v>
      </c>
      <c r="AI142" s="269">
        <v>4.4000000000000004</v>
      </c>
      <c r="AJ142" s="269">
        <v>4.8</v>
      </c>
      <c r="AK142" s="269">
        <v>4.7</v>
      </c>
      <c r="AL142" s="269">
        <v>4.5999999999999996</v>
      </c>
      <c r="AM142" s="269">
        <v>4.9000000000000004</v>
      </c>
      <c r="AN142" s="269">
        <v>4.8</v>
      </c>
      <c r="AO142" s="269">
        <v>4.5999999999999996</v>
      </c>
      <c r="AP142" s="269">
        <v>4.8</v>
      </c>
      <c r="AQ142" s="269">
        <v>4.5999999999999996</v>
      </c>
      <c r="AR142" s="269">
        <v>4.4000000000000004</v>
      </c>
      <c r="AS142" s="269">
        <v>4.7</v>
      </c>
      <c r="AT142" s="269">
        <v>4.4000000000000004</v>
      </c>
      <c r="AU142" s="269">
        <v>4.7</v>
      </c>
      <c r="AV142" s="269">
        <v>4.4000000000000004</v>
      </c>
      <c r="AW142" s="269">
        <v>4.2</v>
      </c>
      <c r="AX142" s="269">
        <v>4.5</v>
      </c>
      <c r="AY142" s="269">
        <v>4.3</v>
      </c>
      <c r="AZ142" s="269">
        <v>4.0999999999999996</v>
      </c>
      <c r="BA142" s="269">
        <v>4.5</v>
      </c>
      <c r="BB142" s="269">
        <v>4.2</v>
      </c>
      <c r="BC142" s="269">
        <v>4</v>
      </c>
      <c r="BD142" s="269">
        <v>4.3</v>
      </c>
      <c r="BE142" s="269">
        <v>4</v>
      </c>
      <c r="BF142" s="269">
        <v>3.2</v>
      </c>
      <c r="BG142" s="269">
        <v>4</v>
      </c>
      <c r="BH142" s="269">
        <v>4</v>
      </c>
      <c r="BI142" s="269">
        <v>3.9</v>
      </c>
      <c r="BJ142" s="269">
        <v>1.9</v>
      </c>
      <c r="BK142" s="269">
        <v>1.9</v>
      </c>
      <c r="BL142" s="269">
        <v>1.8</v>
      </c>
      <c r="BM142" s="269">
        <v>0.8</v>
      </c>
      <c r="BN142" s="269">
        <v>0.8</v>
      </c>
      <c r="BO142" s="269">
        <v>0.7</v>
      </c>
      <c r="BP142" s="269">
        <v>0</v>
      </c>
      <c r="BQ142" s="269">
        <v>0</v>
      </c>
      <c r="BR142" s="269">
        <v>0</v>
      </c>
      <c r="BS142" s="269">
        <v>0</v>
      </c>
      <c r="BT142" s="269">
        <v>0</v>
      </c>
      <c r="BU142" s="269">
        <v>0</v>
      </c>
      <c r="BV142" s="269">
        <v>0</v>
      </c>
      <c r="BW142" s="269">
        <v>0</v>
      </c>
      <c r="BX142" s="269">
        <v>0</v>
      </c>
      <c r="BY142" s="269">
        <v>0</v>
      </c>
      <c r="BZ142" s="269">
        <v>0</v>
      </c>
      <c r="CA142" s="269">
        <v>0</v>
      </c>
      <c r="CB142" s="269">
        <v>0</v>
      </c>
      <c r="CC142" s="269">
        <v>0</v>
      </c>
      <c r="CD142" s="269">
        <v>0</v>
      </c>
      <c r="CE142" s="269">
        <v>0</v>
      </c>
      <c r="CF142" s="269">
        <v>0</v>
      </c>
      <c r="CG142" s="269">
        <v>0</v>
      </c>
      <c r="CH142" s="269">
        <v>0</v>
      </c>
      <c r="CI142" s="269">
        <v>0</v>
      </c>
      <c r="CJ142" s="269">
        <v>0</v>
      </c>
      <c r="CK142" s="326"/>
    </row>
    <row r="143" spans="1:90" x14ac:dyDescent="0.3">
      <c r="A143" s="38"/>
      <c r="B143" s="45" t="s">
        <v>53</v>
      </c>
      <c r="C143" s="269">
        <v>2592.1</v>
      </c>
      <c r="D143" s="269">
        <v>2461.6</v>
      </c>
      <c r="E143" s="269">
        <v>2099</v>
      </c>
      <c r="F143" s="269">
        <v>2067.6999999999998</v>
      </c>
      <c r="G143" s="269">
        <v>1961.2</v>
      </c>
      <c r="H143" s="269">
        <v>1861.1</v>
      </c>
      <c r="I143" s="269">
        <v>1800.8</v>
      </c>
      <c r="J143" s="269">
        <v>998.7</v>
      </c>
      <c r="K143" s="269">
        <v>1025</v>
      </c>
      <c r="L143" s="269">
        <v>831.7</v>
      </c>
      <c r="M143" s="269">
        <v>829.8</v>
      </c>
      <c r="N143" s="269">
        <v>0</v>
      </c>
      <c r="O143" s="269">
        <v>0</v>
      </c>
      <c r="P143" s="269">
        <v>0</v>
      </c>
      <c r="Q143" s="269">
        <v>0</v>
      </c>
      <c r="R143" s="269">
        <v>0</v>
      </c>
      <c r="S143" s="269">
        <v>0</v>
      </c>
      <c r="T143" s="269">
        <v>0</v>
      </c>
      <c r="U143" s="269">
        <v>0</v>
      </c>
      <c r="V143" s="269">
        <v>0</v>
      </c>
      <c r="W143" s="269">
        <v>0</v>
      </c>
      <c r="X143" s="269">
        <v>0</v>
      </c>
      <c r="Y143" s="269">
        <v>0</v>
      </c>
      <c r="Z143" s="269">
        <v>0</v>
      </c>
      <c r="AA143" s="269">
        <v>0</v>
      </c>
      <c r="AB143" s="269">
        <v>0</v>
      </c>
      <c r="AC143" s="269">
        <v>0</v>
      </c>
      <c r="AD143" s="269">
        <v>0</v>
      </c>
      <c r="AE143" s="269">
        <v>0</v>
      </c>
      <c r="AF143" s="269">
        <v>0</v>
      </c>
      <c r="AG143" s="269">
        <v>0</v>
      </c>
      <c r="AH143" s="269">
        <v>0</v>
      </c>
      <c r="AI143" s="269">
        <v>0</v>
      </c>
      <c r="AJ143" s="269">
        <v>0</v>
      </c>
      <c r="AK143" s="269">
        <v>0</v>
      </c>
      <c r="AL143" s="269">
        <v>0</v>
      </c>
      <c r="AM143" s="269">
        <v>0</v>
      </c>
      <c r="AN143" s="269">
        <v>0</v>
      </c>
      <c r="AO143" s="269">
        <v>0</v>
      </c>
      <c r="AP143" s="269">
        <v>0</v>
      </c>
      <c r="AQ143" s="269">
        <v>0</v>
      </c>
      <c r="AR143" s="269">
        <v>0</v>
      </c>
      <c r="AS143" s="269">
        <v>0</v>
      </c>
      <c r="AT143" s="269">
        <v>0</v>
      </c>
      <c r="AU143" s="269">
        <v>0</v>
      </c>
      <c r="AV143" s="269">
        <v>0</v>
      </c>
      <c r="AW143" s="269">
        <v>0</v>
      </c>
      <c r="AX143" s="269">
        <v>0</v>
      </c>
      <c r="AY143" s="269">
        <v>0</v>
      </c>
      <c r="AZ143" s="269">
        <v>0</v>
      </c>
      <c r="BA143" s="269">
        <v>0</v>
      </c>
      <c r="BB143" s="269">
        <v>0</v>
      </c>
      <c r="BC143" s="269">
        <v>0</v>
      </c>
      <c r="BD143" s="269">
        <v>0</v>
      </c>
      <c r="BE143" s="269">
        <v>0</v>
      </c>
      <c r="BF143" s="269">
        <v>0</v>
      </c>
      <c r="BG143" s="269">
        <v>0</v>
      </c>
      <c r="BH143" s="269">
        <v>0</v>
      </c>
      <c r="BI143" s="269">
        <v>0</v>
      </c>
      <c r="BJ143" s="269">
        <v>0</v>
      </c>
      <c r="BK143" s="269">
        <v>0</v>
      </c>
      <c r="BL143" s="269">
        <v>0</v>
      </c>
      <c r="BM143" s="269">
        <v>0</v>
      </c>
      <c r="BN143" s="269">
        <v>0</v>
      </c>
      <c r="BO143" s="269">
        <v>0</v>
      </c>
      <c r="BP143" s="269">
        <v>0</v>
      </c>
      <c r="BQ143" s="269">
        <v>0</v>
      </c>
      <c r="BR143" s="269">
        <v>0</v>
      </c>
      <c r="BS143" s="269">
        <v>0</v>
      </c>
      <c r="BT143" s="269">
        <v>0</v>
      </c>
      <c r="BU143" s="269">
        <v>0</v>
      </c>
      <c r="BV143" s="269">
        <v>0</v>
      </c>
      <c r="BW143" s="269">
        <v>0</v>
      </c>
      <c r="BX143" s="269">
        <v>0</v>
      </c>
      <c r="BY143" s="269">
        <v>0</v>
      </c>
      <c r="BZ143" s="269">
        <v>0</v>
      </c>
      <c r="CA143" s="269">
        <v>0</v>
      </c>
      <c r="CB143" s="269">
        <v>0</v>
      </c>
      <c r="CC143" s="269">
        <v>0</v>
      </c>
      <c r="CD143" s="269">
        <v>0</v>
      </c>
      <c r="CE143" s="269">
        <v>0</v>
      </c>
      <c r="CF143" s="269">
        <v>0</v>
      </c>
      <c r="CG143" s="269">
        <v>0</v>
      </c>
      <c r="CH143" s="269">
        <v>0</v>
      </c>
      <c r="CI143" s="269">
        <v>0</v>
      </c>
      <c r="CJ143" s="269">
        <v>0</v>
      </c>
      <c r="CK143" s="326"/>
    </row>
    <row r="144" spans="1:90" s="55" customFormat="1" x14ac:dyDescent="0.3">
      <c r="A144" s="38"/>
      <c r="B144" s="48" t="s">
        <v>72</v>
      </c>
      <c r="C144" s="269">
        <v>189.4</v>
      </c>
      <c r="D144" s="269">
        <v>519.6</v>
      </c>
      <c r="E144" s="269">
        <v>1518.4</v>
      </c>
      <c r="F144" s="269">
        <v>1580.2</v>
      </c>
      <c r="G144" s="269">
        <v>2500.8000000000002</v>
      </c>
      <c r="H144" s="269">
        <v>2855.4</v>
      </c>
      <c r="I144" s="269">
        <v>2849.8</v>
      </c>
      <c r="J144" s="269">
        <v>1162.4000000000001</v>
      </c>
      <c r="K144" s="269">
        <v>1103.0999999999999</v>
      </c>
      <c r="L144" s="269">
        <v>1035.7</v>
      </c>
      <c r="M144" s="269">
        <v>959.2</v>
      </c>
      <c r="N144" s="269">
        <v>1498.5</v>
      </c>
      <c r="O144" s="269">
        <v>3463.1</v>
      </c>
      <c r="P144" s="269">
        <v>3243.6</v>
      </c>
      <c r="Q144" s="269">
        <v>3888</v>
      </c>
      <c r="R144" s="269">
        <v>6190.4</v>
      </c>
      <c r="S144" s="269">
        <v>7533.5</v>
      </c>
      <c r="T144" s="269">
        <v>9042.2999999999993</v>
      </c>
      <c r="U144" s="269">
        <v>9433</v>
      </c>
      <c r="V144" s="269">
        <v>11292.8</v>
      </c>
      <c r="W144" s="269">
        <v>11384.4</v>
      </c>
      <c r="X144" s="269">
        <v>11647.5</v>
      </c>
      <c r="Y144" s="269">
        <v>10103.6</v>
      </c>
      <c r="Z144" s="269">
        <v>9060.1</v>
      </c>
      <c r="AA144" s="269">
        <v>9129.4</v>
      </c>
      <c r="AB144" s="269">
        <v>8549.4</v>
      </c>
      <c r="AC144" s="269">
        <v>9149.7000000000007</v>
      </c>
      <c r="AD144" s="269">
        <v>11050</v>
      </c>
      <c r="AE144" s="269">
        <v>10566.8</v>
      </c>
      <c r="AF144" s="269">
        <v>12098</v>
      </c>
      <c r="AG144" s="269">
        <v>14556.6</v>
      </c>
      <c r="AH144" s="269">
        <v>16193.6</v>
      </c>
      <c r="AI144" s="269">
        <v>17157.8</v>
      </c>
      <c r="AJ144" s="269">
        <v>17401.2</v>
      </c>
      <c r="AK144" s="269">
        <v>18504.7</v>
      </c>
      <c r="AL144" s="269">
        <v>19041</v>
      </c>
      <c r="AM144" s="269">
        <v>20999.7</v>
      </c>
      <c r="AN144" s="269">
        <v>21275.4</v>
      </c>
      <c r="AO144" s="269">
        <v>24797</v>
      </c>
      <c r="AP144" s="269">
        <v>23185.4</v>
      </c>
      <c r="AQ144" s="269">
        <v>23239.8</v>
      </c>
      <c r="AR144" s="269">
        <v>23667.9</v>
      </c>
      <c r="AS144" s="269">
        <v>25748.6</v>
      </c>
      <c r="AT144" s="269">
        <v>20505.599999999999</v>
      </c>
      <c r="AU144" s="269">
        <v>22752</v>
      </c>
      <c r="AV144" s="269">
        <v>22423.9</v>
      </c>
      <c r="AW144" s="269">
        <v>18975.2</v>
      </c>
      <c r="AX144" s="269">
        <v>21989.599999999999</v>
      </c>
      <c r="AY144" s="269">
        <v>20937.599999999999</v>
      </c>
      <c r="AZ144" s="269">
        <v>21283.8</v>
      </c>
      <c r="BA144" s="269">
        <v>11141.5</v>
      </c>
      <c r="BB144" s="269">
        <v>10091.299999999999</v>
      </c>
      <c r="BC144" s="269">
        <v>10119.299999999999</v>
      </c>
      <c r="BD144" s="269">
        <v>8996.4</v>
      </c>
      <c r="BE144" s="269">
        <v>9694.7000000000007</v>
      </c>
      <c r="BF144" s="269">
        <v>9902.2999999999993</v>
      </c>
      <c r="BG144" s="269">
        <v>9844.4</v>
      </c>
      <c r="BH144" s="269">
        <v>6851.1</v>
      </c>
      <c r="BI144" s="269">
        <v>4238</v>
      </c>
      <c r="BJ144" s="269">
        <v>4758.5</v>
      </c>
      <c r="BK144" s="269">
        <v>3844.3</v>
      </c>
      <c r="BL144" s="269">
        <v>1887.1</v>
      </c>
      <c r="BM144" s="269">
        <v>1552.5</v>
      </c>
      <c r="BN144" s="269">
        <v>1698.5</v>
      </c>
      <c r="BO144" s="269">
        <v>0</v>
      </c>
      <c r="BP144" s="269">
        <v>0</v>
      </c>
      <c r="BQ144" s="269">
        <v>0</v>
      </c>
      <c r="BR144" s="269">
        <v>0</v>
      </c>
      <c r="BS144" s="269">
        <v>0</v>
      </c>
      <c r="BT144" s="269">
        <v>0</v>
      </c>
      <c r="BU144" s="269">
        <v>0</v>
      </c>
      <c r="BV144" s="269">
        <v>0</v>
      </c>
      <c r="BW144" s="269">
        <v>0</v>
      </c>
      <c r="BX144" s="269">
        <v>79.3</v>
      </c>
      <c r="BY144" s="269">
        <v>281.60000000000002</v>
      </c>
      <c r="BZ144" s="269">
        <v>503.2</v>
      </c>
      <c r="CA144" s="269">
        <v>503.2</v>
      </c>
      <c r="CB144" s="269">
        <v>503.2</v>
      </c>
      <c r="CC144" s="269">
        <v>1400.6</v>
      </c>
      <c r="CD144" s="269">
        <v>1400.6</v>
      </c>
      <c r="CE144" s="269">
        <v>5596.7</v>
      </c>
      <c r="CF144" s="269">
        <v>8438.1</v>
      </c>
      <c r="CG144" s="269">
        <v>6881</v>
      </c>
      <c r="CH144" s="269">
        <v>11407.9</v>
      </c>
      <c r="CI144" s="269">
        <v>10631.7</v>
      </c>
      <c r="CJ144" s="269">
        <v>14237.3</v>
      </c>
      <c r="CK144" s="326"/>
    </row>
    <row r="145" spans="1:89" s="55" customFormat="1" x14ac:dyDescent="0.3">
      <c r="A145" s="38"/>
      <c r="B145" s="48" t="s">
        <v>181</v>
      </c>
      <c r="C145" s="269">
        <v>0</v>
      </c>
      <c r="D145" s="269">
        <v>0</v>
      </c>
      <c r="E145" s="269">
        <v>0</v>
      </c>
      <c r="F145" s="269">
        <v>0</v>
      </c>
      <c r="G145" s="269">
        <v>0</v>
      </c>
      <c r="H145" s="269">
        <v>0</v>
      </c>
      <c r="I145" s="269">
        <v>0</v>
      </c>
      <c r="J145" s="269">
        <v>79.599999999999994</v>
      </c>
      <c r="K145" s="269">
        <v>81.7</v>
      </c>
      <c r="L145" s="269">
        <v>78.7</v>
      </c>
      <c r="M145" s="269">
        <v>0</v>
      </c>
      <c r="N145" s="269">
        <v>0</v>
      </c>
      <c r="O145" s="269">
        <v>0</v>
      </c>
      <c r="P145" s="269">
        <v>0</v>
      </c>
      <c r="Q145" s="269">
        <v>0</v>
      </c>
      <c r="R145" s="269">
        <v>73.3</v>
      </c>
      <c r="S145" s="269">
        <v>71.5</v>
      </c>
      <c r="T145" s="269">
        <v>69.5</v>
      </c>
      <c r="U145" s="269">
        <v>71.599999999999994</v>
      </c>
      <c r="V145" s="269">
        <v>69.8</v>
      </c>
      <c r="W145" s="269">
        <v>68</v>
      </c>
      <c r="X145" s="269">
        <v>70.400000000000006</v>
      </c>
      <c r="Y145" s="269">
        <v>67.8</v>
      </c>
      <c r="Z145" s="269">
        <v>65.5</v>
      </c>
      <c r="AA145" s="269">
        <v>60</v>
      </c>
      <c r="AB145" s="269">
        <v>58.3</v>
      </c>
      <c r="AC145" s="269">
        <v>56.9</v>
      </c>
      <c r="AD145" s="269">
        <v>60.4</v>
      </c>
      <c r="AE145" s="269">
        <v>59.7</v>
      </c>
      <c r="AF145" s="269">
        <v>59</v>
      </c>
      <c r="AG145" s="269">
        <v>63.2</v>
      </c>
      <c r="AH145" s="269">
        <v>62.5</v>
      </c>
      <c r="AI145" s="269">
        <v>61.8</v>
      </c>
      <c r="AJ145" s="269">
        <v>66.099999999999994</v>
      </c>
      <c r="AK145" s="269">
        <v>65.3</v>
      </c>
      <c r="AL145" s="269">
        <v>64.099999999999994</v>
      </c>
      <c r="AM145" s="269">
        <v>67.8</v>
      </c>
      <c r="AN145" s="269">
        <v>66.3</v>
      </c>
      <c r="AO145" s="269">
        <v>64.2</v>
      </c>
      <c r="AP145" s="269">
        <v>8.6</v>
      </c>
      <c r="AQ145" s="269">
        <v>8.1999999999999993</v>
      </c>
      <c r="AR145" s="269">
        <v>7.9</v>
      </c>
      <c r="AS145" s="269">
        <v>8.3000000000000007</v>
      </c>
      <c r="AT145" s="269">
        <v>7.9</v>
      </c>
      <c r="AU145" s="269">
        <v>8.4</v>
      </c>
      <c r="AV145" s="269">
        <v>7.9</v>
      </c>
      <c r="AW145" s="269">
        <v>7.4</v>
      </c>
      <c r="AX145" s="269">
        <v>8.1</v>
      </c>
      <c r="AY145" s="269">
        <v>7.6</v>
      </c>
      <c r="AZ145" s="269">
        <v>7.2</v>
      </c>
      <c r="BA145" s="269">
        <v>8</v>
      </c>
      <c r="BB145" s="269">
        <v>7.6</v>
      </c>
      <c r="BC145" s="269">
        <v>7</v>
      </c>
      <c r="BD145" s="269">
        <v>1.6</v>
      </c>
      <c r="BE145" s="269">
        <v>1.4</v>
      </c>
      <c r="BF145" s="269">
        <v>1.1000000000000001</v>
      </c>
      <c r="BG145" s="269">
        <v>0</v>
      </c>
      <c r="BH145" s="269">
        <v>0</v>
      </c>
      <c r="BI145" s="269">
        <v>0</v>
      </c>
      <c r="BJ145" s="269">
        <v>0</v>
      </c>
      <c r="BK145" s="269">
        <v>0</v>
      </c>
      <c r="BL145" s="269">
        <v>0</v>
      </c>
      <c r="BM145" s="269">
        <v>0</v>
      </c>
      <c r="BN145" s="269">
        <v>0</v>
      </c>
      <c r="BO145" s="269">
        <v>0</v>
      </c>
      <c r="BP145" s="269">
        <v>0</v>
      </c>
      <c r="BQ145" s="269">
        <v>0</v>
      </c>
      <c r="BR145" s="269">
        <v>0</v>
      </c>
      <c r="BS145" s="269">
        <v>0</v>
      </c>
      <c r="BT145" s="269">
        <v>0</v>
      </c>
      <c r="BU145" s="269">
        <v>0</v>
      </c>
      <c r="BV145" s="269">
        <v>0</v>
      </c>
      <c r="BW145" s="269">
        <v>0</v>
      </c>
      <c r="BX145" s="269">
        <v>0</v>
      </c>
      <c r="BY145" s="269">
        <v>0</v>
      </c>
      <c r="BZ145" s="269">
        <v>0</v>
      </c>
      <c r="CA145" s="269">
        <v>0</v>
      </c>
      <c r="CB145" s="269">
        <v>0</v>
      </c>
      <c r="CC145" s="269">
        <v>0</v>
      </c>
      <c r="CD145" s="269">
        <v>0</v>
      </c>
      <c r="CE145" s="269">
        <v>0</v>
      </c>
      <c r="CF145" s="269">
        <v>0</v>
      </c>
      <c r="CG145" s="269">
        <v>0</v>
      </c>
      <c r="CH145" s="269">
        <v>0</v>
      </c>
      <c r="CI145" s="269">
        <v>0</v>
      </c>
      <c r="CJ145" s="269">
        <v>0</v>
      </c>
      <c r="CK145" s="326"/>
    </row>
    <row r="146" spans="1:89" s="55" customFormat="1" x14ac:dyDescent="0.3">
      <c r="A146" s="38"/>
      <c r="B146" s="48" t="s">
        <v>167</v>
      </c>
      <c r="C146" s="269">
        <v>0</v>
      </c>
      <c r="D146" s="269">
        <v>0</v>
      </c>
      <c r="E146" s="269">
        <v>0</v>
      </c>
      <c r="F146" s="269">
        <v>0</v>
      </c>
      <c r="G146" s="269">
        <v>0</v>
      </c>
      <c r="H146" s="269">
        <v>0</v>
      </c>
      <c r="I146" s="269">
        <v>0</v>
      </c>
      <c r="J146" s="269">
        <v>0</v>
      </c>
      <c r="K146" s="269">
        <v>608.1</v>
      </c>
      <c r="L146" s="269">
        <v>820.4</v>
      </c>
      <c r="M146" s="269">
        <v>968.9</v>
      </c>
      <c r="N146" s="269">
        <v>2242.6999999999998</v>
      </c>
      <c r="O146" s="269">
        <v>2226.4</v>
      </c>
      <c r="P146" s="269">
        <v>2049.3000000000002</v>
      </c>
      <c r="Q146" s="269">
        <v>1870.4</v>
      </c>
      <c r="R146" s="269">
        <v>1629.4</v>
      </c>
      <c r="S146" s="269">
        <v>1408.1</v>
      </c>
      <c r="T146" s="269">
        <v>1287.5999999999999</v>
      </c>
      <c r="U146" s="269">
        <v>1136.8</v>
      </c>
      <c r="V146" s="269">
        <v>328.9</v>
      </c>
      <c r="W146" s="269">
        <v>206</v>
      </c>
      <c r="X146" s="269">
        <v>93</v>
      </c>
      <c r="Y146" s="269">
        <v>4.9000000000000004</v>
      </c>
      <c r="Z146" s="269">
        <v>0</v>
      </c>
      <c r="AA146" s="269">
        <v>0</v>
      </c>
      <c r="AB146" s="269">
        <v>0</v>
      </c>
      <c r="AC146" s="269">
        <v>0</v>
      </c>
      <c r="AD146" s="269">
        <v>0</v>
      </c>
      <c r="AE146" s="269">
        <v>0</v>
      </c>
      <c r="AF146" s="269">
        <v>0</v>
      </c>
      <c r="AG146" s="269">
        <v>0</v>
      </c>
      <c r="AH146" s="269">
        <v>0</v>
      </c>
      <c r="AI146" s="269">
        <v>0</v>
      </c>
      <c r="AJ146" s="269">
        <v>0</v>
      </c>
      <c r="AK146" s="269">
        <v>0</v>
      </c>
      <c r="AL146" s="269">
        <v>0</v>
      </c>
      <c r="AM146" s="269">
        <v>0</v>
      </c>
      <c r="AN146" s="269">
        <v>0</v>
      </c>
      <c r="AO146" s="269">
        <v>0</v>
      </c>
      <c r="AP146" s="269">
        <v>0</v>
      </c>
      <c r="AQ146" s="269">
        <v>0</v>
      </c>
      <c r="AR146" s="269">
        <v>0</v>
      </c>
      <c r="AS146" s="269">
        <v>0</v>
      </c>
      <c r="AT146" s="269">
        <v>0</v>
      </c>
      <c r="AU146" s="269">
        <v>0</v>
      </c>
      <c r="AV146" s="269">
        <v>0</v>
      </c>
      <c r="AW146" s="269">
        <v>0</v>
      </c>
      <c r="AX146" s="269">
        <v>0</v>
      </c>
      <c r="AY146" s="269">
        <v>0</v>
      </c>
      <c r="AZ146" s="269">
        <v>0</v>
      </c>
      <c r="BA146" s="269">
        <v>0</v>
      </c>
      <c r="BB146" s="269">
        <v>0</v>
      </c>
      <c r="BC146" s="269">
        <v>0</v>
      </c>
      <c r="BD146" s="269">
        <v>0</v>
      </c>
      <c r="BE146" s="269">
        <v>0</v>
      </c>
      <c r="BF146" s="269">
        <v>0</v>
      </c>
      <c r="BG146" s="269">
        <v>0</v>
      </c>
      <c r="BH146" s="269">
        <v>0</v>
      </c>
      <c r="BI146" s="269">
        <v>0</v>
      </c>
      <c r="BJ146" s="269">
        <v>0</v>
      </c>
      <c r="BK146" s="269">
        <v>0</v>
      </c>
      <c r="BL146" s="269">
        <v>0</v>
      </c>
      <c r="BM146" s="269">
        <v>0</v>
      </c>
      <c r="BN146" s="269">
        <v>0</v>
      </c>
      <c r="BO146" s="269">
        <v>0</v>
      </c>
      <c r="BP146" s="269">
        <v>0</v>
      </c>
      <c r="BQ146" s="269">
        <v>0</v>
      </c>
      <c r="BR146" s="269">
        <v>0</v>
      </c>
      <c r="BS146" s="269">
        <v>0</v>
      </c>
      <c r="BT146" s="269">
        <v>0</v>
      </c>
      <c r="BU146" s="269">
        <v>0</v>
      </c>
      <c r="BV146" s="269">
        <v>0</v>
      </c>
      <c r="BW146" s="269">
        <v>0</v>
      </c>
      <c r="BX146" s="269">
        <v>0</v>
      </c>
      <c r="BY146" s="269">
        <v>0</v>
      </c>
      <c r="BZ146" s="269">
        <v>0</v>
      </c>
      <c r="CA146" s="269">
        <v>0</v>
      </c>
      <c r="CB146" s="269">
        <v>0</v>
      </c>
      <c r="CC146" s="269">
        <v>0</v>
      </c>
      <c r="CD146" s="269">
        <v>0</v>
      </c>
      <c r="CE146" s="269">
        <v>0</v>
      </c>
      <c r="CF146" s="269">
        <v>0</v>
      </c>
      <c r="CG146" s="269">
        <v>0</v>
      </c>
      <c r="CH146" s="269">
        <v>0</v>
      </c>
      <c r="CI146" s="269">
        <v>0</v>
      </c>
      <c r="CJ146" s="269">
        <v>0</v>
      </c>
      <c r="CK146" s="326"/>
    </row>
    <row r="147" spans="1:89" s="55" customFormat="1" x14ac:dyDescent="0.3">
      <c r="A147" s="38"/>
      <c r="B147" s="48" t="s">
        <v>170</v>
      </c>
      <c r="C147" s="269">
        <v>0</v>
      </c>
      <c r="D147" s="269">
        <v>0</v>
      </c>
      <c r="E147" s="269">
        <v>0</v>
      </c>
      <c r="F147" s="269">
        <v>0</v>
      </c>
      <c r="G147" s="269">
        <v>0</v>
      </c>
      <c r="H147" s="269">
        <v>0</v>
      </c>
      <c r="I147" s="269">
        <v>0</v>
      </c>
      <c r="J147" s="269">
        <v>0</v>
      </c>
      <c r="K147" s="269">
        <v>0</v>
      </c>
      <c r="L147" s="269">
        <v>81.5</v>
      </c>
      <c r="M147" s="269">
        <v>371.1</v>
      </c>
      <c r="N147" s="269">
        <v>402.2</v>
      </c>
      <c r="O147" s="269">
        <v>352.3</v>
      </c>
      <c r="P147" s="269">
        <v>342.2</v>
      </c>
      <c r="Q147" s="269">
        <v>330.5</v>
      </c>
      <c r="R147" s="269">
        <v>254.7</v>
      </c>
      <c r="S147" s="269">
        <v>261.60000000000002</v>
      </c>
      <c r="T147" s="269">
        <v>254.6</v>
      </c>
      <c r="U147" s="269">
        <v>350.9</v>
      </c>
      <c r="V147" s="269">
        <v>352</v>
      </c>
      <c r="W147" s="269">
        <v>343.2</v>
      </c>
      <c r="X147" s="269">
        <v>383.9</v>
      </c>
      <c r="Y147" s="269">
        <v>368.7</v>
      </c>
      <c r="Z147" s="269">
        <v>351.6</v>
      </c>
      <c r="AA147" s="269">
        <v>356.1</v>
      </c>
      <c r="AB147" s="269">
        <v>346.1</v>
      </c>
      <c r="AC147" s="269">
        <v>390.1</v>
      </c>
      <c r="AD147" s="269">
        <v>408.6</v>
      </c>
      <c r="AE147" s="269">
        <v>403.7</v>
      </c>
      <c r="AF147" s="269">
        <v>399.3</v>
      </c>
      <c r="AG147" s="269">
        <v>426.9</v>
      </c>
      <c r="AH147" s="269">
        <v>452.9</v>
      </c>
      <c r="AI147" s="269">
        <v>448.4</v>
      </c>
      <c r="AJ147" s="269">
        <v>477.7</v>
      </c>
      <c r="AK147" s="269">
        <v>472</v>
      </c>
      <c r="AL147" s="269">
        <v>463.6</v>
      </c>
      <c r="AM147" s="269">
        <v>492.3</v>
      </c>
      <c r="AN147" s="269">
        <v>481.2</v>
      </c>
      <c r="AO147" s="269">
        <v>465.9</v>
      </c>
      <c r="AP147" s="269">
        <v>500.2</v>
      </c>
      <c r="AQ147" s="269">
        <v>480</v>
      </c>
      <c r="AR147" s="269">
        <v>460.6</v>
      </c>
      <c r="AS147" s="269">
        <v>864.9</v>
      </c>
      <c r="AT147" s="269">
        <v>818.6</v>
      </c>
      <c r="AU147" s="269">
        <v>874.3</v>
      </c>
      <c r="AV147" s="269">
        <v>820.9</v>
      </c>
      <c r="AW147" s="269">
        <v>770.1</v>
      </c>
      <c r="AX147" s="269">
        <v>827.1</v>
      </c>
      <c r="AY147" s="269">
        <v>784</v>
      </c>
      <c r="AZ147" s="269">
        <v>743.1</v>
      </c>
      <c r="BA147" s="269">
        <v>757.2</v>
      </c>
      <c r="BB147" s="269">
        <v>705.5</v>
      </c>
      <c r="BC147" s="269">
        <v>656.1</v>
      </c>
      <c r="BD147" s="269">
        <v>651</v>
      </c>
      <c r="BE147" s="269">
        <v>607</v>
      </c>
      <c r="BF147" s="269">
        <v>477.4</v>
      </c>
      <c r="BG147" s="269">
        <v>608.1</v>
      </c>
      <c r="BH147" s="269">
        <v>608.20000000000005</v>
      </c>
      <c r="BI147" s="269">
        <v>590.5</v>
      </c>
      <c r="BJ147" s="269">
        <v>333.9</v>
      </c>
      <c r="BK147" s="269">
        <v>326.7</v>
      </c>
      <c r="BL147" s="269">
        <v>320.5</v>
      </c>
      <c r="BM147" s="269">
        <v>199</v>
      </c>
      <c r="BN147" s="269">
        <v>194.6</v>
      </c>
      <c r="BO147" s="269">
        <v>190.6</v>
      </c>
      <c r="BP147" s="269">
        <v>0</v>
      </c>
      <c r="BQ147" s="269">
        <v>0</v>
      </c>
      <c r="BR147" s="269">
        <v>0</v>
      </c>
      <c r="BS147" s="269">
        <v>0</v>
      </c>
      <c r="BT147" s="269">
        <v>0</v>
      </c>
      <c r="BU147" s="269">
        <v>0</v>
      </c>
      <c r="BV147" s="269">
        <v>0</v>
      </c>
      <c r="BW147" s="269">
        <v>0</v>
      </c>
      <c r="BX147" s="269">
        <v>0</v>
      </c>
      <c r="BY147" s="269">
        <v>0</v>
      </c>
      <c r="BZ147" s="269">
        <v>0</v>
      </c>
      <c r="CA147" s="269">
        <v>0</v>
      </c>
      <c r="CB147" s="269">
        <v>0</v>
      </c>
      <c r="CC147" s="269">
        <v>0</v>
      </c>
      <c r="CD147" s="269">
        <v>0</v>
      </c>
      <c r="CE147" s="269">
        <v>0</v>
      </c>
      <c r="CF147" s="269">
        <v>0</v>
      </c>
      <c r="CG147" s="269">
        <v>0</v>
      </c>
      <c r="CH147" s="269">
        <v>0</v>
      </c>
      <c r="CI147" s="269">
        <v>0</v>
      </c>
      <c r="CJ147" s="269">
        <v>0</v>
      </c>
      <c r="CK147" s="326"/>
    </row>
    <row r="148" spans="1:89" x14ac:dyDescent="0.3">
      <c r="A148" s="38"/>
      <c r="B148" s="45" t="s">
        <v>45</v>
      </c>
      <c r="C148" s="269">
        <v>7703.5</v>
      </c>
      <c r="D148" s="269">
        <v>6797.9</v>
      </c>
      <c r="E148" s="269">
        <v>6121</v>
      </c>
      <c r="F148" s="269">
        <v>6209.9</v>
      </c>
      <c r="G148" s="269">
        <v>5738.2</v>
      </c>
      <c r="H148" s="269">
        <v>6058.2</v>
      </c>
      <c r="I148" s="269">
        <v>6545.1</v>
      </c>
      <c r="J148" s="269">
        <v>4069.4</v>
      </c>
      <c r="K148" s="269">
        <v>3866</v>
      </c>
      <c r="L148" s="269">
        <v>3642.4</v>
      </c>
      <c r="M148" s="269">
        <v>3327.2</v>
      </c>
      <c r="N148" s="269">
        <v>2821</v>
      </c>
      <c r="O148" s="269">
        <v>1332.8</v>
      </c>
      <c r="P148" s="269">
        <v>932.9</v>
      </c>
      <c r="Q148" s="269">
        <v>343.7</v>
      </c>
      <c r="R148" s="269">
        <v>253.2</v>
      </c>
      <c r="S148" s="269">
        <v>0</v>
      </c>
      <c r="T148" s="269">
        <v>0</v>
      </c>
      <c r="U148" s="269">
        <v>0</v>
      </c>
      <c r="V148" s="269">
        <v>0</v>
      </c>
      <c r="W148" s="269">
        <v>0</v>
      </c>
      <c r="X148" s="269">
        <v>0</v>
      </c>
      <c r="Y148" s="269">
        <v>0</v>
      </c>
      <c r="Z148" s="269">
        <v>0</v>
      </c>
      <c r="AA148" s="269">
        <v>0</v>
      </c>
      <c r="AB148" s="269">
        <v>0</v>
      </c>
      <c r="AC148" s="269">
        <v>0</v>
      </c>
      <c r="AD148" s="269">
        <v>0</v>
      </c>
      <c r="AE148" s="269">
        <v>0</v>
      </c>
      <c r="AF148" s="269">
        <v>0</v>
      </c>
      <c r="AG148" s="269">
        <v>0</v>
      </c>
      <c r="AH148" s="269">
        <v>0</v>
      </c>
      <c r="AI148" s="269">
        <v>0</v>
      </c>
      <c r="AJ148" s="269">
        <v>0</v>
      </c>
      <c r="AK148" s="269">
        <v>0</v>
      </c>
      <c r="AL148" s="269">
        <v>0</v>
      </c>
      <c r="AM148" s="269">
        <v>0</v>
      </c>
      <c r="AN148" s="269">
        <v>0</v>
      </c>
      <c r="AO148" s="269">
        <v>0</v>
      </c>
      <c r="AP148" s="269">
        <v>0</v>
      </c>
      <c r="AQ148" s="269">
        <v>0</v>
      </c>
      <c r="AR148" s="269">
        <v>0</v>
      </c>
      <c r="AS148" s="269">
        <v>0</v>
      </c>
      <c r="AT148" s="269">
        <v>0</v>
      </c>
      <c r="AU148" s="269">
        <v>0</v>
      </c>
      <c r="AV148" s="269">
        <v>0</v>
      </c>
      <c r="AW148" s="269">
        <v>0</v>
      </c>
      <c r="AX148" s="269">
        <v>0</v>
      </c>
      <c r="AY148" s="269">
        <v>0</v>
      </c>
      <c r="AZ148" s="269">
        <v>0</v>
      </c>
      <c r="BA148" s="269">
        <v>0</v>
      </c>
      <c r="BB148" s="269">
        <v>0</v>
      </c>
      <c r="BC148" s="269">
        <v>0</v>
      </c>
      <c r="BD148" s="269">
        <v>0</v>
      </c>
      <c r="BE148" s="269">
        <v>0</v>
      </c>
      <c r="BF148" s="269">
        <v>0</v>
      </c>
      <c r="BG148" s="269">
        <v>0</v>
      </c>
      <c r="BH148" s="269">
        <v>0</v>
      </c>
      <c r="BI148" s="269">
        <v>0</v>
      </c>
      <c r="BJ148" s="269">
        <v>0</v>
      </c>
      <c r="BK148" s="269">
        <v>0</v>
      </c>
      <c r="BL148" s="269">
        <v>0</v>
      </c>
      <c r="BM148" s="269">
        <v>636.20000000000005</v>
      </c>
      <c r="BN148" s="269">
        <v>4132.6000000000004</v>
      </c>
      <c r="BO148" s="269">
        <v>19313.2</v>
      </c>
      <c r="BP148" s="269">
        <v>19956.099999999999</v>
      </c>
      <c r="BQ148" s="269">
        <v>30809.5</v>
      </c>
      <c r="BR148" s="269">
        <v>34740.5</v>
      </c>
      <c r="BS148" s="269">
        <v>32447.599999999999</v>
      </c>
      <c r="BT148" s="269">
        <v>32358.6</v>
      </c>
      <c r="BU148" s="269">
        <v>29380</v>
      </c>
      <c r="BV148" s="269">
        <v>28497.599999999999</v>
      </c>
      <c r="BW148" s="269">
        <v>26379.200000000001</v>
      </c>
      <c r="BX148" s="269">
        <v>32134.400000000001</v>
      </c>
      <c r="BY148" s="269">
        <v>32248.2</v>
      </c>
      <c r="BZ148" s="269">
        <v>26238</v>
      </c>
      <c r="CA148" s="269">
        <v>27879.1</v>
      </c>
      <c r="CB148" s="269">
        <v>30258.799999999999</v>
      </c>
      <c r="CC148" s="269">
        <v>43638.5</v>
      </c>
      <c r="CD148" s="269">
        <v>34609</v>
      </c>
      <c r="CE148" s="269">
        <v>30002.9</v>
      </c>
      <c r="CF148" s="269">
        <v>27608.5</v>
      </c>
      <c r="CG148" s="269">
        <v>24308.3</v>
      </c>
      <c r="CH148" s="269">
        <v>42660.6</v>
      </c>
      <c r="CI148" s="269">
        <v>49517.9</v>
      </c>
      <c r="CJ148" s="269">
        <v>43863.4</v>
      </c>
      <c r="CK148" s="326"/>
    </row>
    <row r="149" spans="1:89" s="50" customFormat="1" x14ac:dyDescent="0.3">
      <c r="A149" s="38"/>
      <c r="B149" s="49"/>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324"/>
    </row>
    <row r="150" spans="1:89" s="50" customFormat="1" x14ac:dyDescent="0.3">
      <c r="A150" s="38"/>
      <c r="B150" s="49" t="s">
        <v>16</v>
      </c>
      <c r="C150" s="267">
        <f>+SUM(C151:C153)</f>
        <v>12545.5</v>
      </c>
      <c r="D150" s="267">
        <f t="shared" ref="D150:U150" si="294">+SUM(D151:D153)</f>
        <v>12517.3</v>
      </c>
      <c r="E150" s="267">
        <f t="shared" si="294"/>
        <v>12437.8</v>
      </c>
      <c r="F150" s="267">
        <f t="shared" si="294"/>
        <v>11606.1</v>
      </c>
      <c r="G150" s="267">
        <f t="shared" si="294"/>
        <v>11290.1</v>
      </c>
      <c r="H150" s="267">
        <f t="shared" si="294"/>
        <v>12137</v>
      </c>
      <c r="I150" s="267">
        <f t="shared" si="294"/>
        <v>13589.3</v>
      </c>
      <c r="J150" s="267">
        <f t="shared" si="294"/>
        <v>0</v>
      </c>
      <c r="K150" s="267">
        <f t="shared" si="294"/>
        <v>275</v>
      </c>
      <c r="L150" s="267">
        <f t="shared" si="294"/>
        <v>511.9</v>
      </c>
      <c r="M150" s="267">
        <f t="shared" si="294"/>
        <v>900.69999999999993</v>
      </c>
      <c r="N150" s="267">
        <f t="shared" si="294"/>
        <v>1106.0999999999999</v>
      </c>
      <c r="O150" s="267">
        <f t="shared" si="294"/>
        <v>1106.0999999999999</v>
      </c>
      <c r="P150" s="267">
        <f t="shared" si="294"/>
        <v>1106.0999999999999</v>
      </c>
      <c r="Q150" s="267">
        <f t="shared" si="294"/>
        <v>1038.5</v>
      </c>
      <c r="R150" s="267">
        <f t="shared" si="294"/>
        <v>1043.0999999999999</v>
      </c>
      <c r="S150" s="267">
        <f t="shared" si="294"/>
        <v>1048.3</v>
      </c>
      <c r="T150" s="267">
        <f t="shared" si="294"/>
        <v>1048.3</v>
      </c>
      <c r="U150" s="267">
        <f t="shared" si="294"/>
        <v>1048.3</v>
      </c>
      <c r="V150" s="267">
        <f t="shared" ref="V150" si="295">+SUM(V151:V153)</f>
        <v>1048.3</v>
      </c>
      <c r="W150" s="267">
        <f t="shared" ref="W150:AA150" si="296">+SUM(W151:W153)</f>
        <v>1048.3</v>
      </c>
      <c r="X150" s="267">
        <f t="shared" si="296"/>
        <v>1061.4000000000001</v>
      </c>
      <c r="Y150" s="267">
        <f t="shared" si="296"/>
        <v>1061.4000000000001</v>
      </c>
      <c r="Z150" s="267">
        <f t="shared" si="296"/>
        <v>1061.4000000000001</v>
      </c>
      <c r="AA150" s="267">
        <f t="shared" si="296"/>
        <v>1061.4000000000001</v>
      </c>
      <c r="AB150" s="267">
        <f t="shared" ref="AB150:AT150" si="297">+SUM(AB151:AB153)</f>
        <v>1061.4000000000001</v>
      </c>
      <c r="AC150" s="267">
        <f t="shared" si="297"/>
        <v>1065</v>
      </c>
      <c r="AD150" s="267">
        <f t="shared" si="297"/>
        <v>1079.5</v>
      </c>
      <c r="AE150" s="267">
        <f t="shared" si="297"/>
        <v>1079.5</v>
      </c>
      <c r="AF150" s="267">
        <f t="shared" si="297"/>
        <v>1079.5</v>
      </c>
      <c r="AG150" s="267">
        <f t="shared" si="297"/>
        <v>1079.5</v>
      </c>
      <c r="AH150" s="267">
        <f t="shared" si="297"/>
        <v>1079.5</v>
      </c>
      <c r="AI150" s="267">
        <f t="shared" si="297"/>
        <v>1083.1000000000001</v>
      </c>
      <c r="AJ150" s="267">
        <f t="shared" si="297"/>
        <v>1096.2</v>
      </c>
      <c r="AK150" s="267">
        <f t="shared" si="297"/>
        <v>1096.2</v>
      </c>
      <c r="AL150" s="267">
        <f t="shared" si="297"/>
        <v>1096.2</v>
      </c>
      <c r="AM150" s="267">
        <f t="shared" si="297"/>
        <v>1096.2</v>
      </c>
      <c r="AN150" s="267">
        <f t="shared" si="297"/>
        <v>1096.2</v>
      </c>
      <c r="AO150" s="267">
        <f t="shared" si="297"/>
        <v>1115</v>
      </c>
      <c r="AP150" s="267">
        <f t="shared" si="297"/>
        <v>1115</v>
      </c>
      <c r="AQ150" s="267">
        <f t="shared" si="297"/>
        <v>1115</v>
      </c>
      <c r="AR150" s="267">
        <f t="shared" si="297"/>
        <v>1115</v>
      </c>
      <c r="AS150" s="267">
        <f t="shared" si="297"/>
        <v>1115</v>
      </c>
      <c r="AT150" s="267">
        <f t="shared" si="297"/>
        <v>1115</v>
      </c>
      <c r="AU150" s="267">
        <f t="shared" ref="AU150" si="298">+SUM(AU151:AU153)</f>
        <v>1134.3</v>
      </c>
      <c r="AV150" s="267">
        <f t="shared" ref="AV150:BA150" si="299">+SUM(AV151:AV153)</f>
        <v>1134.3</v>
      </c>
      <c r="AW150" s="267">
        <f t="shared" si="299"/>
        <v>1134.3</v>
      </c>
      <c r="AX150" s="267">
        <f t="shared" si="299"/>
        <v>1134.3</v>
      </c>
      <c r="AY150" s="267">
        <f t="shared" si="299"/>
        <v>1134.3</v>
      </c>
      <c r="AZ150" s="267">
        <f t="shared" si="299"/>
        <v>1134.3</v>
      </c>
      <c r="BA150" s="267">
        <f t="shared" si="299"/>
        <v>1153.8</v>
      </c>
      <c r="BB150" s="267">
        <f t="shared" ref="BB150:BI150" si="300">+SUM(BB151:BB153)</f>
        <v>1153.8</v>
      </c>
      <c r="BC150" s="267">
        <f t="shared" si="300"/>
        <v>1153.8</v>
      </c>
      <c r="BD150" s="267">
        <f t="shared" si="300"/>
        <v>1153.8</v>
      </c>
      <c r="BE150" s="267">
        <f t="shared" si="300"/>
        <v>1153.8</v>
      </c>
      <c r="BF150" s="267">
        <f t="shared" si="300"/>
        <v>1173.5999999999999</v>
      </c>
      <c r="BG150" s="267">
        <f t="shared" si="300"/>
        <v>1173.5999999999999</v>
      </c>
      <c r="BH150" s="267">
        <f t="shared" si="300"/>
        <v>1173.5999999999999</v>
      </c>
      <c r="BI150" s="267">
        <f t="shared" si="300"/>
        <v>1173.5999999999999</v>
      </c>
      <c r="BJ150" s="267">
        <f t="shared" ref="BJ150:BO150" si="301">+SUM(BJ151:BJ153)</f>
        <v>1173.5999999999999</v>
      </c>
      <c r="BK150" s="267">
        <f t="shared" si="301"/>
        <v>1173.5999999999999</v>
      </c>
      <c r="BL150" s="267">
        <f t="shared" si="301"/>
        <v>1188.0999999999999</v>
      </c>
      <c r="BM150" s="267">
        <f t="shared" si="301"/>
        <v>1188.0999999999999</v>
      </c>
      <c r="BN150" s="267">
        <f t="shared" si="301"/>
        <v>1188.0999999999999</v>
      </c>
      <c r="BO150" s="267">
        <f t="shared" si="301"/>
        <v>1188.0999999999999</v>
      </c>
      <c r="BP150" s="267">
        <f t="shared" ref="BP150:CJ150" si="302">+SUM(BP151:BP153)</f>
        <v>1188.0999999999999</v>
      </c>
      <c r="BQ150" s="267">
        <f t="shared" ref="BQ150:CI150" si="303">+SUM(BQ151:BQ153)</f>
        <v>1188.0999999999999</v>
      </c>
      <c r="BR150" s="267">
        <f t="shared" si="303"/>
        <v>1196.8999999999999</v>
      </c>
      <c r="BS150" s="267">
        <f t="shared" si="303"/>
        <v>1196.8999999999999</v>
      </c>
      <c r="BT150" s="267">
        <f t="shared" si="303"/>
        <v>1196.8999999999999</v>
      </c>
      <c r="BU150" s="267">
        <f t="shared" si="303"/>
        <v>1196.8999999999999</v>
      </c>
      <c r="BV150" s="267">
        <f t="shared" si="303"/>
        <v>1196.8999999999999</v>
      </c>
      <c r="BW150" s="267">
        <f t="shared" si="303"/>
        <v>1196.8999999999999</v>
      </c>
      <c r="BX150" s="267">
        <f t="shared" si="303"/>
        <v>1214.6999999999998</v>
      </c>
      <c r="BY150" s="267">
        <f t="shared" si="303"/>
        <v>1214.6999999999998</v>
      </c>
      <c r="BZ150" s="267">
        <f t="shared" si="303"/>
        <v>1214.6999999999998</v>
      </c>
      <c r="CA150" s="267">
        <f t="shared" si="303"/>
        <v>1214.6999999999998</v>
      </c>
      <c r="CB150" s="267">
        <f t="shared" si="303"/>
        <v>1209.6999999999998</v>
      </c>
      <c r="CC150" s="267">
        <f t="shared" si="303"/>
        <v>1209.6999999999998</v>
      </c>
      <c r="CD150" s="267">
        <f t="shared" si="303"/>
        <v>1209.6999999999998</v>
      </c>
      <c r="CE150" s="267">
        <f t="shared" si="303"/>
        <v>1209.6999999999998</v>
      </c>
      <c r="CF150" s="267">
        <f t="shared" si="303"/>
        <v>1209.6999999999998</v>
      </c>
      <c r="CG150" s="267">
        <f t="shared" si="303"/>
        <v>1209.6999999999998</v>
      </c>
      <c r="CH150" s="267">
        <f t="shared" si="303"/>
        <v>1209.6999999999998</v>
      </c>
      <c r="CI150" s="267">
        <f t="shared" si="303"/>
        <v>1209.6999999999998</v>
      </c>
      <c r="CJ150" s="267">
        <f t="shared" si="302"/>
        <v>0</v>
      </c>
      <c r="CK150" s="325">
        <f>+CJ150/$CJ$10</f>
        <v>0</v>
      </c>
    </row>
    <row r="151" spans="1:89" s="50" customFormat="1" x14ac:dyDescent="0.3">
      <c r="A151" s="38"/>
      <c r="B151" s="45" t="s">
        <v>168</v>
      </c>
      <c r="C151" s="269">
        <v>0</v>
      </c>
      <c r="D151" s="269">
        <v>0</v>
      </c>
      <c r="E151" s="269">
        <v>0</v>
      </c>
      <c r="F151" s="269">
        <v>0</v>
      </c>
      <c r="G151" s="269">
        <v>0</v>
      </c>
      <c r="H151" s="269">
        <v>0</v>
      </c>
      <c r="I151" s="269">
        <v>0</v>
      </c>
      <c r="J151" s="269">
        <v>0</v>
      </c>
      <c r="K151" s="269">
        <v>0</v>
      </c>
      <c r="L151" s="269">
        <v>507.7</v>
      </c>
      <c r="M151" s="269">
        <v>856.9</v>
      </c>
      <c r="N151" s="269">
        <v>1012.8</v>
      </c>
      <c r="O151" s="269">
        <v>1012.8</v>
      </c>
      <c r="P151" s="269">
        <v>1012.8</v>
      </c>
      <c r="Q151" s="269">
        <v>945.2</v>
      </c>
      <c r="R151" s="269">
        <v>952.3</v>
      </c>
      <c r="S151" s="269">
        <v>957.5</v>
      </c>
      <c r="T151" s="269">
        <v>957.5</v>
      </c>
      <c r="U151" s="269">
        <v>957.5</v>
      </c>
      <c r="V151" s="269">
        <v>957.5</v>
      </c>
      <c r="W151" s="269">
        <v>957.5</v>
      </c>
      <c r="X151" s="269">
        <v>969.1</v>
      </c>
      <c r="Y151" s="269">
        <v>969.1</v>
      </c>
      <c r="Z151" s="269">
        <v>969.1</v>
      </c>
      <c r="AA151" s="269">
        <v>969.1</v>
      </c>
      <c r="AB151" s="269">
        <v>969.1</v>
      </c>
      <c r="AC151" s="269">
        <v>972.7</v>
      </c>
      <c r="AD151" s="269">
        <v>985.6</v>
      </c>
      <c r="AE151" s="269">
        <v>985.6</v>
      </c>
      <c r="AF151" s="269">
        <v>985.6</v>
      </c>
      <c r="AG151" s="269">
        <v>985.6</v>
      </c>
      <c r="AH151" s="269">
        <v>985.6</v>
      </c>
      <c r="AI151" s="269">
        <v>989.2</v>
      </c>
      <c r="AJ151" s="269">
        <v>1000.9</v>
      </c>
      <c r="AK151" s="269">
        <v>1000.9</v>
      </c>
      <c r="AL151" s="269">
        <v>1000.9</v>
      </c>
      <c r="AM151" s="269">
        <v>1000.9</v>
      </c>
      <c r="AN151" s="269">
        <v>1000.9</v>
      </c>
      <c r="AO151" s="269">
        <v>1018.1</v>
      </c>
      <c r="AP151" s="269">
        <v>1018.1</v>
      </c>
      <c r="AQ151" s="269">
        <v>1018.1</v>
      </c>
      <c r="AR151" s="269">
        <v>1018.1</v>
      </c>
      <c r="AS151" s="269">
        <v>1018.1</v>
      </c>
      <c r="AT151" s="269">
        <v>1018.1</v>
      </c>
      <c r="AU151" s="269">
        <v>1035.7</v>
      </c>
      <c r="AV151" s="269">
        <v>1035.7</v>
      </c>
      <c r="AW151" s="269">
        <v>1035.7</v>
      </c>
      <c r="AX151" s="269">
        <v>1035.7</v>
      </c>
      <c r="AY151" s="269">
        <v>1035.7</v>
      </c>
      <c r="AZ151" s="269">
        <v>1035.7</v>
      </c>
      <c r="BA151" s="269">
        <v>1053.5</v>
      </c>
      <c r="BB151" s="269">
        <v>1053.5</v>
      </c>
      <c r="BC151" s="269">
        <v>1053.5</v>
      </c>
      <c r="BD151" s="269">
        <v>1053.5</v>
      </c>
      <c r="BE151" s="269">
        <v>1053.5</v>
      </c>
      <c r="BF151" s="269">
        <v>1071.5999999999999</v>
      </c>
      <c r="BG151" s="269">
        <v>1071.5999999999999</v>
      </c>
      <c r="BH151" s="269">
        <v>1071.5999999999999</v>
      </c>
      <c r="BI151" s="269">
        <v>1071.5999999999999</v>
      </c>
      <c r="BJ151" s="269">
        <v>1071.5999999999999</v>
      </c>
      <c r="BK151" s="269">
        <v>1071.5999999999999</v>
      </c>
      <c r="BL151" s="269">
        <v>1084.8</v>
      </c>
      <c r="BM151" s="269">
        <v>1084.8</v>
      </c>
      <c r="BN151" s="269">
        <v>1084.8</v>
      </c>
      <c r="BO151" s="269">
        <v>1084.8</v>
      </c>
      <c r="BP151" s="269">
        <v>1084.8</v>
      </c>
      <c r="BQ151" s="269">
        <v>1084.8</v>
      </c>
      <c r="BR151" s="269">
        <v>1092.8</v>
      </c>
      <c r="BS151" s="269">
        <v>1092.8</v>
      </c>
      <c r="BT151" s="269">
        <v>1092.8</v>
      </c>
      <c r="BU151" s="269">
        <v>1092.8</v>
      </c>
      <c r="BV151" s="269">
        <v>1092.8</v>
      </c>
      <c r="BW151" s="269">
        <v>1092.8</v>
      </c>
      <c r="BX151" s="269">
        <v>1109.0999999999999</v>
      </c>
      <c r="BY151" s="269">
        <v>1109.0999999999999</v>
      </c>
      <c r="BZ151" s="269">
        <v>1109.0999999999999</v>
      </c>
      <c r="CA151" s="269">
        <v>1109.0999999999999</v>
      </c>
      <c r="CB151" s="269">
        <v>1109.0999999999999</v>
      </c>
      <c r="CC151" s="269">
        <v>1109.0999999999999</v>
      </c>
      <c r="CD151" s="269">
        <v>1109.0999999999999</v>
      </c>
      <c r="CE151" s="269">
        <v>1109.0999999999999</v>
      </c>
      <c r="CF151" s="269">
        <v>1109.0999999999999</v>
      </c>
      <c r="CG151" s="269">
        <v>1109.0999999999999</v>
      </c>
      <c r="CH151" s="269">
        <v>1109.0999999999999</v>
      </c>
      <c r="CI151" s="269">
        <v>1109.0999999999999</v>
      </c>
      <c r="CJ151" s="269">
        <v>0</v>
      </c>
      <c r="CK151" s="326"/>
    </row>
    <row r="152" spans="1:89" s="50" customFormat="1" x14ac:dyDescent="0.3">
      <c r="A152" s="38"/>
      <c r="B152" s="45" t="s">
        <v>54</v>
      </c>
      <c r="C152" s="269">
        <v>12045.5</v>
      </c>
      <c r="D152" s="269">
        <v>12017.3</v>
      </c>
      <c r="E152" s="269">
        <v>11937.8</v>
      </c>
      <c r="F152" s="269">
        <v>11106.1</v>
      </c>
      <c r="G152" s="269">
        <v>10790.1</v>
      </c>
      <c r="H152" s="269">
        <v>12137</v>
      </c>
      <c r="I152" s="269">
        <v>13589.3</v>
      </c>
      <c r="J152" s="269">
        <v>0</v>
      </c>
      <c r="K152" s="269">
        <v>275</v>
      </c>
      <c r="L152" s="269">
        <v>0</v>
      </c>
      <c r="M152" s="269">
        <v>0</v>
      </c>
      <c r="N152" s="269">
        <v>0</v>
      </c>
      <c r="O152" s="269">
        <v>0</v>
      </c>
      <c r="P152" s="269">
        <v>0</v>
      </c>
      <c r="Q152" s="269">
        <v>0</v>
      </c>
      <c r="R152" s="269">
        <v>0</v>
      </c>
      <c r="S152" s="269">
        <v>0</v>
      </c>
      <c r="T152" s="269">
        <v>0</v>
      </c>
      <c r="U152" s="269">
        <v>0</v>
      </c>
      <c r="V152" s="269">
        <v>0</v>
      </c>
      <c r="W152" s="269">
        <v>0</v>
      </c>
      <c r="X152" s="269">
        <v>0</v>
      </c>
      <c r="Y152" s="269">
        <v>0</v>
      </c>
      <c r="Z152" s="269">
        <v>0</v>
      </c>
      <c r="AA152" s="269">
        <v>0</v>
      </c>
      <c r="AB152" s="269">
        <v>0</v>
      </c>
      <c r="AC152" s="269">
        <v>0</v>
      </c>
      <c r="AD152" s="269">
        <v>0</v>
      </c>
      <c r="AE152" s="269">
        <v>0</v>
      </c>
      <c r="AF152" s="269">
        <v>0</v>
      </c>
      <c r="AG152" s="269">
        <v>0</v>
      </c>
      <c r="AH152" s="269">
        <v>0</v>
      </c>
      <c r="AI152" s="269">
        <v>0</v>
      </c>
      <c r="AJ152" s="269">
        <v>0</v>
      </c>
      <c r="AK152" s="269">
        <v>0</v>
      </c>
      <c r="AL152" s="269">
        <v>0</v>
      </c>
      <c r="AM152" s="269">
        <v>0</v>
      </c>
      <c r="AN152" s="269">
        <v>0</v>
      </c>
      <c r="AO152" s="269">
        <v>0</v>
      </c>
      <c r="AP152" s="269">
        <v>0</v>
      </c>
      <c r="AQ152" s="269">
        <v>0</v>
      </c>
      <c r="AR152" s="269">
        <v>0</v>
      </c>
      <c r="AS152" s="269">
        <v>0</v>
      </c>
      <c r="AT152" s="269">
        <v>0</v>
      </c>
      <c r="AU152" s="269">
        <v>0</v>
      </c>
      <c r="AV152" s="269">
        <v>0</v>
      </c>
      <c r="AW152" s="269">
        <v>0</v>
      </c>
      <c r="AX152" s="269">
        <v>0</v>
      </c>
      <c r="AY152" s="269">
        <v>0</v>
      </c>
      <c r="AZ152" s="269">
        <v>0</v>
      </c>
      <c r="BA152" s="269">
        <v>0</v>
      </c>
      <c r="BB152" s="269">
        <v>0</v>
      </c>
      <c r="BC152" s="269">
        <v>0</v>
      </c>
      <c r="BD152" s="269">
        <v>0</v>
      </c>
      <c r="BE152" s="269">
        <v>0</v>
      </c>
      <c r="BF152" s="269">
        <v>0</v>
      </c>
      <c r="BG152" s="269">
        <v>0</v>
      </c>
      <c r="BH152" s="269">
        <v>0</v>
      </c>
      <c r="BI152" s="269">
        <v>0</v>
      </c>
      <c r="BJ152" s="269">
        <v>0</v>
      </c>
      <c r="BK152" s="269">
        <v>0</v>
      </c>
      <c r="BL152" s="269">
        <v>0</v>
      </c>
      <c r="BM152" s="269">
        <v>0</v>
      </c>
      <c r="BN152" s="269">
        <v>0</v>
      </c>
      <c r="BO152" s="269">
        <v>0</v>
      </c>
      <c r="BP152" s="269">
        <v>0</v>
      </c>
      <c r="BQ152" s="269">
        <v>0</v>
      </c>
      <c r="BR152" s="269">
        <v>0</v>
      </c>
      <c r="BS152" s="269">
        <v>0</v>
      </c>
      <c r="BT152" s="269">
        <v>0</v>
      </c>
      <c r="BU152" s="269">
        <v>0</v>
      </c>
      <c r="BV152" s="269">
        <v>0</v>
      </c>
      <c r="BW152" s="269">
        <v>0</v>
      </c>
      <c r="BX152" s="269">
        <v>0</v>
      </c>
      <c r="BY152" s="269">
        <v>0</v>
      </c>
      <c r="BZ152" s="269">
        <v>0</v>
      </c>
      <c r="CA152" s="269">
        <v>0</v>
      </c>
      <c r="CB152" s="269">
        <v>0</v>
      </c>
      <c r="CC152" s="269">
        <v>0</v>
      </c>
      <c r="CD152" s="269">
        <v>0</v>
      </c>
      <c r="CE152" s="269">
        <v>0</v>
      </c>
      <c r="CF152" s="269">
        <v>0</v>
      </c>
      <c r="CG152" s="269">
        <v>0</v>
      </c>
      <c r="CH152" s="269">
        <v>0</v>
      </c>
      <c r="CI152" s="269">
        <v>0</v>
      </c>
      <c r="CJ152" s="269">
        <v>0</v>
      </c>
      <c r="CK152" s="326"/>
    </row>
    <row r="153" spans="1:89" s="50" customFormat="1" x14ac:dyDescent="0.3">
      <c r="A153" s="38"/>
      <c r="B153" s="45" t="s">
        <v>151</v>
      </c>
      <c r="C153" s="269">
        <v>500</v>
      </c>
      <c r="D153" s="269">
        <v>500</v>
      </c>
      <c r="E153" s="269">
        <v>500</v>
      </c>
      <c r="F153" s="269">
        <v>500</v>
      </c>
      <c r="G153" s="269">
        <v>500</v>
      </c>
      <c r="H153" s="269">
        <v>0</v>
      </c>
      <c r="I153" s="269">
        <v>0</v>
      </c>
      <c r="J153" s="269">
        <v>0</v>
      </c>
      <c r="K153" s="269">
        <v>0</v>
      </c>
      <c r="L153" s="269">
        <v>4.2</v>
      </c>
      <c r="M153" s="269">
        <v>43.8</v>
      </c>
      <c r="N153" s="269">
        <v>93.3</v>
      </c>
      <c r="O153" s="269">
        <v>93.3</v>
      </c>
      <c r="P153" s="269">
        <v>93.3</v>
      </c>
      <c r="Q153" s="269">
        <v>93.3</v>
      </c>
      <c r="R153" s="269">
        <v>90.8</v>
      </c>
      <c r="S153" s="269">
        <v>90.8</v>
      </c>
      <c r="T153" s="269">
        <v>90.8</v>
      </c>
      <c r="U153" s="269">
        <v>90.8</v>
      </c>
      <c r="V153" s="269">
        <v>90.8</v>
      </c>
      <c r="W153" s="269">
        <v>90.8</v>
      </c>
      <c r="X153" s="269">
        <v>92.3</v>
      </c>
      <c r="Y153" s="269">
        <v>92.3</v>
      </c>
      <c r="Z153" s="269">
        <v>92.3</v>
      </c>
      <c r="AA153" s="269">
        <v>92.3</v>
      </c>
      <c r="AB153" s="269">
        <v>92.3</v>
      </c>
      <c r="AC153" s="269">
        <v>92.3</v>
      </c>
      <c r="AD153" s="269">
        <v>93.9</v>
      </c>
      <c r="AE153" s="269">
        <v>93.9</v>
      </c>
      <c r="AF153" s="269">
        <v>93.9</v>
      </c>
      <c r="AG153" s="269">
        <v>93.9</v>
      </c>
      <c r="AH153" s="269">
        <v>93.9</v>
      </c>
      <c r="AI153" s="269">
        <v>93.9</v>
      </c>
      <c r="AJ153" s="269">
        <v>95.3</v>
      </c>
      <c r="AK153" s="269">
        <v>95.3</v>
      </c>
      <c r="AL153" s="269">
        <v>95.3</v>
      </c>
      <c r="AM153" s="269">
        <v>95.3</v>
      </c>
      <c r="AN153" s="269">
        <v>95.3</v>
      </c>
      <c r="AO153" s="269">
        <v>96.9</v>
      </c>
      <c r="AP153" s="269">
        <v>96.9</v>
      </c>
      <c r="AQ153" s="269">
        <v>96.9</v>
      </c>
      <c r="AR153" s="269">
        <v>96.9</v>
      </c>
      <c r="AS153" s="269">
        <v>96.9</v>
      </c>
      <c r="AT153" s="269">
        <v>96.9</v>
      </c>
      <c r="AU153" s="269">
        <v>98.6</v>
      </c>
      <c r="AV153" s="269">
        <v>98.6</v>
      </c>
      <c r="AW153" s="269">
        <v>98.6</v>
      </c>
      <c r="AX153" s="269">
        <v>98.6</v>
      </c>
      <c r="AY153" s="269">
        <v>98.6</v>
      </c>
      <c r="AZ153" s="269">
        <v>98.6</v>
      </c>
      <c r="BA153" s="269">
        <v>100.3</v>
      </c>
      <c r="BB153" s="269">
        <v>100.3</v>
      </c>
      <c r="BC153" s="269">
        <v>100.3</v>
      </c>
      <c r="BD153" s="269">
        <v>100.3</v>
      </c>
      <c r="BE153" s="269">
        <v>100.3</v>
      </c>
      <c r="BF153" s="269">
        <v>102</v>
      </c>
      <c r="BG153" s="269">
        <v>102</v>
      </c>
      <c r="BH153" s="269">
        <v>102</v>
      </c>
      <c r="BI153" s="269">
        <v>102</v>
      </c>
      <c r="BJ153" s="269">
        <v>102</v>
      </c>
      <c r="BK153" s="269">
        <v>102</v>
      </c>
      <c r="BL153" s="269">
        <v>103.3</v>
      </c>
      <c r="BM153" s="269">
        <v>103.3</v>
      </c>
      <c r="BN153" s="269">
        <v>103.3</v>
      </c>
      <c r="BO153" s="269">
        <v>103.3</v>
      </c>
      <c r="BP153" s="269">
        <v>103.3</v>
      </c>
      <c r="BQ153" s="269">
        <v>103.3</v>
      </c>
      <c r="BR153" s="269">
        <v>104.1</v>
      </c>
      <c r="BS153" s="269">
        <v>104.1</v>
      </c>
      <c r="BT153" s="269">
        <v>104.1</v>
      </c>
      <c r="BU153" s="269">
        <v>104.1</v>
      </c>
      <c r="BV153" s="269">
        <v>104.1</v>
      </c>
      <c r="BW153" s="269">
        <v>104.1</v>
      </c>
      <c r="BX153" s="269">
        <v>105.6</v>
      </c>
      <c r="BY153" s="269">
        <v>105.6</v>
      </c>
      <c r="BZ153" s="269">
        <v>105.6</v>
      </c>
      <c r="CA153" s="269">
        <v>105.6</v>
      </c>
      <c r="CB153" s="269">
        <v>100.6</v>
      </c>
      <c r="CC153" s="269">
        <v>100.6</v>
      </c>
      <c r="CD153" s="269">
        <v>100.6</v>
      </c>
      <c r="CE153" s="269">
        <v>100.6</v>
      </c>
      <c r="CF153" s="269">
        <v>100.6</v>
      </c>
      <c r="CG153" s="269">
        <v>100.6</v>
      </c>
      <c r="CH153" s="269">
        <v>100.6</v>
      </c>
      <c r="CI153" s="269">
        <v>100.6</v>
      </c>
      <c r="CJ153" s="269">
        <v>0</v>
      </c>
      <c r="CK153" s="326"/>
    </row>
    <row r="154" spans="1:89" s="50" customFormat="1" x14ac:dyDescent="0.3">
      <c r="A154" s="38"/>
      <c r="B154" s="45"/>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c r="BK154" s="56"/>
      <c r="BL154" s="56"/>
      <c r="BM154" s="56"/>
      <c r="BN154" s="56"/>
      <c r="BO154" s="56"/>
      <c r="BP154" s="56"/>
      <c r="BQ154" s="56"/>
      <c r="BR154" s="56"/>
      <c r="BS154" s="56"/>
      <c r="BT154" s="56"/>
      <c r="BU154" s="56"/>
      <c r="BV154" s="56"/>
      <c r="BW154" s="56"/>
      <c r="BX154" s="56"/>
      <c r="BY154" s="56"/>
      <c r="BZ154" s="56"/>
      <c r="CA154" s="56"/>
      <c r="CB154" s="56"/>
      <c r="CC154" s="56"/>
      <c r="CD154" s="56"/>
      <c r="CE154" s="56"/>
      <c r="CF154" s="56"/>
      <c r="CG154" s="56"/>
      <c r="CH154" s="56"/>
      <c r="CI154" s="56"/>
      <c r="CJ154" s="56"/>
      <c r="CK154" s="330"/>
    </row>
    <row r="155" spans="1:89" s="50" customFormat="1" ht="16.2" x14ac:dyDescent="0.3">
      <c r="A155" s="38"/>
      <c r="B155" s="261" t="s">
        <v>208</v>
      </c>
      <c r="C155" s="305">
        <f>+SUM(C157:C158)</f>
        <v>105</v>
      </c>
      <c r="D155" s="305">
        <f t="shared" ref="D155:H155" si="304">+SUM(D157:D158)</f>
        <v>104.7</v>
      </c>
      <c r="E155" s="305">
        <f t="shared" si="304"/>
        <v>104.1</v>
      </c>
      <c r="F155" s="305">
        <f t="shared" si="304"/>
        <v>104.1</v>
      </c>
      <c r="G155" s="305">
        <f t="shared" si="304"/>
        <v>104</v>
      </c>
      <c r="H155" s="305">
        <f t="shared" si="304"/>
        <v>104.7</v>
      </c>
      <c r="I155" s="305">
        <f t="shared" ref="I155:K155" si="305">+SUM(I157:I158)</f>
        <v>103.9</v>
      </c>
      <c r="J155" s="305">
        <f t="shared" si="305"/>
        <v>103.1</v>
      </c>
      <c r="K155" s="305">
        <f t="shared" si="305"/>
        <v>103</v>
      </c>
      <c r="L155" s="305">
        <v>103.7</v>
      </c>
      <c r="M155" s="305">
        <v>103.4</v>
      </c>
      <c r="N155" s="305">
        <v>104</v>
      </c>
      <c r="O155" s="305">
        <f t="shared" ref="O155" si="306">+SUM(O157:O158)</f>
        <v>103.7</v>
      </c>
      <c r="P155" s="305">
        <f t="shared" ref="P155:U155" si="307">+SUM(P157:P158)</f>
        <v>103.5</v>
      </c>
      <c r="Q155" s="305">
        <f t="shared" si="307"/>
        <v>103.5</v>
      </c>
      <c r="R155" s="305">
        <f t="shared" si="307"/>
        <v>103.19999999999999</v>
      </c>
      <c r="S155" s="305">
        <f t="shared" si="307"/>
        <v>103.60000000000001</v>
      </c>
      <c r="T155" s="305">
        <f t="shared" si="307"/>
        <v>104</v>
      </c>
      <c r="U155" s="305">
        <f t="shared" si="307"/>
        <v>105.5</v>
      </c>
      <c r="V155" s="305">
        <f t="shared" ref="V155:Z155" si="308">+SUM(V157:V158)</f>
        <v>105.9</v>
      </c>
      <c r="W155" s="305">
        <f t="shared" si="308"/>
        <v>105.3</v>
      </c>
      <c r="X155" s="305">
        <f t="shared" si="308"/>
        <v>105.1</v>
      </c>
      <c r="Y155" s="305">
        <f t="shared" si="308"/>
        <v>105.89999999999999</v>
      </c>
      <c r="Z155" s="305">
        <f t="shared" si="308"/>
        <v>106.7</v>
      </c>
      <c r="AA155" s="305">
        <f t="shared" ref="AA155:AT155" si="309">+SUM(AA157:AA158)</f>
        <v>106.4</v>
      </c>
      <c r="AB155" s="305">
        <f t="shared" si="309"/>
        <v>106.3</v>
      </c>
      <c r="AC155" s="305">
        <f t="shared" si="309"/>
        <v>105.3</v>
      </c>
      <c r="AD155" s="305">
        <f t="shared" si="309"/>
        <v>106.2</v>
      </c>
      <c r="AE155" s="305">
        <f t="shared" si="309"/>
        <v>106.80000000000001</v>
      </c>
      <c r="AF155" s="305">
        <f t="shared" si="309"/>
        <v>105.8</v>
      </c>
      <c r="AG155" s="305">
        <f t="shared" si="309"/>
        <v>105.9</v>
      </c>
      <c r="AH155" s="305">
        <f t="shared" si="309"/>
        <v>105.69999999999999</v>
      </c>
      <c r="AI155" s="305">
        <f t="shared" si="309"/>
        <v>105.1</v>
      </c>
      <c r="AJ155" s="305">
        <f t="shared" si="309"/>
        <v>105.1</v>
      </c>
      <c r="AK155" s="305">
        <f t="shared" si="309"/>
        <v>104.49999999999999</v>
      </c>
      <c r="AL155" s="305">
        <f t="shared" si="309"/>
        <v>104.60000000000001</v>
      </c>
      <c r="AM155" s="305">
        <f t="shared" si="309"/>
        <v>104.2</v>
      </c>
      <c r="AN155" s="305">
        <f t="shared" si="309"/>
        <v>104.2</v>
      </c>
      <c r="AO155" s="305">
        <f t="shared" si="309"/>
        <v>103.7</v>
      </c>
      <c r="AP155" s="305">
        <f t="shared" si="309"/>
        <v>102.3</v>
      </c>
      <c r="AQ155" s="305">
        <f t="shared" si="309"/>
        <v>102.9</v>
      </c>
      <c r="AR155" s="305">
        <f t="shared" si="309"/>
        <v>102.2</v>
      </c>
      <c r="AS155" s="305">
        <f t="shared" si="309"/>
        <v>101.39999999999999</v>
      </c>
      <c r="AT155" s="305">
        <f t="shared" si="309"/>
        <v>101</v>
      </c>
      <c r="AU155" s="305">
        <f t="shared" ref="AU155" si="310">+SUM(AU157:AU158)</f>
        <v>100.2</v>
      </c>
      <c r="AV155" s="305">
        <f t="shared" ref="AV155:BA155" si="311">+SUM(AV157:AV158)</f>
        <v>100.5</v>
      </c>
      <c r="AW155" s="305">
        <f t="shared" si="311"/>
        <v>101.9</v>
      </c>
      <c r="AX155" s="305">
        <f t="shared" si="311"/>
        <v>102.80000000000001</v>
      </c>
      <c r="AY155" s="305">
        <f t="shared" si="311"/>
        <v>103.2</v>
      </c>
      <c r="AZ155" s="305">
        <f t="shared" si="311"/>
        <v>102.39999999999999</v>
      </c>
      <c r="BA155" s="305">
        <f t="shared" si="311"/>
        <v>103.1</v>
      </c>
      <c r="BB155" s="305">
        <f t="shared" ref="BB155:BI155" si="312">+SUM(BB157:BB158)</f>
        <v>103.6</v>
      </c>
      <c r="BC155" s="305">
        <f t="shared" si="312"/>
        <v>102.7</v>
      </c>
      <c r="BD155" s="305">
        <f t="shared" si="312"/>
        <v>103.3</v>
      </c>
      <c r="BE155" s="305">
        <f t="shared" si="312"/>
        <v>103.6</v>
      </c>
      <c r="BF155" s="305">
        <f t="shared" si="312"/>
        <v>102.8</v>
      </c>
      <c r="BG155" s="305">
        <f t="shared" si="312"/>
        <v>102.2</v>
      </c>
      <c r="BH155" s="305">
        <f t="shared" si="312"/>
        <v>102.39999999999999</v>
      </c>
      <c r="BI155" s="305">
        <f t="shared" si="312"/>
        <v>103.5</v>
      </c>
      <c r="BJ155" s="305">
        <f t="shared" ref="BJ155:BO155" si="313">+SUM(BJ157:BJ158)</f>
        <v>102.8</v>
      </c>
      <c r="BK155" s="305">
        <f t="shared" si="313"/>
        <v>102.4</v>
      </c>
      <c r="BL155" s="305">
        <f t="shared" si="313"/>
        <v>102.6</v>
      </c>
      <c r="BM155" s="305">
        <f t="shared" si="313"/>
        <v>102.8</v>
      </c>
      <c r="BN155" s="305">
        <f t="shared" si="313"/>
        <v>102.50000000000001</v>
      </c>
      <c r="BO155" s="305">
        <f t="shared" si="313"/>
        <v>103.2</v>
      </c>
      <c r="BP155" s="305">
        <f t="shared" ref="BP155:CJ155" si="314">+SUM(BP157:BP158)</f>
        <v>102.9</v>
      </c>
      <c r="BQ155" s="305">
        <f t="shared" ref="BQ155:CI155" si="315">+SUM(BQ157:BQ158)</f>
        <v>103.3</v>
      </c>
      <c r="BR155" s="305">
        <f t="shared" si="315"/>
        <v>103.89999999999999</v>
      </c>
      <c r="BS155" s="305">
        <f t="shared" si="315"/>
        <v>104.2</v>
      </c>
      <c r="BT155" s="305">
        <f t="shared" si="315"/>
        <v>103.6</v>
      </c>
      <c r="BU155" s="305">
        <f t="shared" si="315"/>
        <v>102.7</v>
      </c>
      <c r="BV155" s="305">
        <f t="shared" si="315"/>
        <v>102.10000000000001</v>
      </c>
      <c r="BW155" s="305">
        <f t="shared" si="315"/>
        <v>102.10000000000001</v>
      </c>
      <c r="BX155" s="305">
        <f t="shared" si="315"/>
        <v>102.2</v>
      </c>
      <c r="BY155" s="305">
        <f t="shared" si="315"/>
        <v>103.5</v>
      </c>
      <c r="BZ155" s="305">
        <f t="shared" si="315"/>
        <v>104.8</v>
      </c>
      <c r="CA155" s="305">
        <f t="shared" si="315"/>
        <v>104.89999999999999</v>
      </c>
      <c r="CB155" s="305">
        <f t="shared" si="315"/>
        <v>106.19999999999999</v>
      </c>
      <c r="CC155" s="305">
        <f t="shared" si="315"/>
        <v>104.9</v>
      </c>
      <c r="CD155" s="305">
        <f t="shared" si="315"/>
        <v>105.7</v>
      </c>
      <c r="CE155" s="305">
        <f t="shared" si="315"/>
        <v>105.8</v>
      </c>
      <c r="CF155" s="305">
        <f t="shared" si="315"/>
        <v>105.2</v>
      </c>
      <c r="CG155" s="305">
        <f t="shared" si="315"/>
        <v>105.4</v>
      </c>
      <c r="CH155" s="305">
        <f t="shared" si="315"/>
        <v>105.89999999999999</v>
      </c>
      <c r="CI155" s="305">
        <f t="shared" si="315"/>
        <v>106.2</v>
      </c>
      <c r="CJ155" s="305">
        <f t="shared" si="314"/>
        <v>106.19999999999999</v>
      </c>
      <c r="CK155" s="240">
        <f>+CJ155/$CJ$10</f>
        <v>2.2493580751425382E-4</v>
      </c>
    </row>
    <row r="156" spans="1:89" s="50" customFormat="1" x14ac:dyDescent="0.3">
      <c r="A156" s="38"/>
      <c r="B156" s="51"/>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31"/>
      <c r="CK156" s="320"/>
    </row>
    <row r="157" spans="1:89" s="50" customFormat="1" x14ac:dyDescent="0.3">
      <c r="A157" s="15"/>
      <c r="B157" s="57" t="s">
        <v>42</v>
      </c>
      <c r="C157" s="37">
        <v>96.5</v>
      </c>
      <c r="D157" s="37">
        <v>96.3</v>
      </c>
      <c r="E157" s="37">
        <v>95.8</v>
      </c>
      <c r="F157" s="37">
        <v>95.8</v>
      </c>
      <c r="G157" s="37">
        <v>95.7</v>
      </c>
      <c r="H157" s="37">
        <v>96.3</v>
      </c>
      <c r="I157" s="37">
        <v>95.7</v>
      </c>
      <c r="J157" s="37">
        <v>95</v>
      </c>
      <c r="K157" s="37">
        <v>94.9</v>
      </c>
      <c r="L157" s="37">
        <v>95.4</v>
      </c>
      <c r="M157" s="37">
        <v>95.2</v>
      </c>
      <c r="N157" s="37">
        <v>95.7</v>
      </c>
      <c r="O157" s="37">
        <v>95.5</v>
      </c>
      <c r="P157" s="37">
        <v>95.3</v>
      </c>
      <c r="Q157" s="37">
        <v>95.3</v>
      </c>
      <c r="R157" s="37">
        <v>95.1</v>
      </c>
      <c r="S157" s="37">
        <v>95.4</v>
      </c>
      <c r="T157" s="37">
        <v>95.7</v>
      </c>
      <c r="U157" s="37">
        <v>96.9</v>
      </c>
      <c r="V157" s="37">
        <v>97.2</v>
      </c>
      <c r="W157" s="37">
        <v>96.7</v>
      </c>
      <c r="X157" s="37">
        <v>96.6</v>
      </c>
      <c r="Y157" s="37">
        <v>97.199999999999989</v>
      </c>
      <c r="Z157" s="37">
        <v>97.8</v>
      </c>
      <c r="AA157" s="37">
        <v>97.5</v>
      </c>
      <c r="AB157" s="37">
        <v>97.5</v>
      </c>
      <c r="AC157" s="37">
        <v>96.7</v>
      </c>
      <c r="AD157" s="37">
        <v>97.4</v>
      </c>
      <c r="AE157" s="37">
        <v>97.9</v>
      </c>
      <c r="AF157" s="37">
        <v>97.1</v>
      </c>
      <c r="AG157" s="37">
        <v>97.2</v>
      </c>
      <c r="AH157" s="37">
        <v>97.1</v>
      </c>
      <c r="AI157" s="37">
        <v>96.6</v>
      </c>
      <c r="AJ157" s="37">
        <v>96.6</v>
      </c>
      <c r="AK157" s="37">
        <v>96.199999999999989</v>
      </c>
      <c r="AL157" s="37">
        <v>96.2</v>
      </c>
      <c r="AM157" s="37">
        <v>95.9</v>
      </c>
      <c r="AN157" s="37">
        <v>95.9</v>
      </c>
      <c r="AO157" s="37">
        <v>95.5</v>
      </c>
      <c r="AP157" s="37">
        <v>94.5</v>
      </c>
      <c r="AQ157" s="37">
        <v>95</v>
      </c>
      <c r="AR157" s="37">
        <v>94.4</v>
      </c>
      <c r="AS157" s="37">
        <v>93.8</v>
      </c>
      <c r="AT157" s="37">
        <v>93.5</v>
      </c>
      <c r="AU157" s="37">
        <v>92.9</v>
      </c>
      <c r="AV157" s="37">
        <v>93.1</v>
      </c>
      <c r="AW157" s="37">
        <v>94.2</v>
      </c>
      <c r="AX157" s="37">
        <v>94.9</v>
      </c>
      <c r="AY157" s="37">
        <v>95.2</v>
      </c>
      <c r="AZ157" s="37">
        <v>94.6</v>
      </c>
      <c r="BA157" s="37">
        <v>95.1</v>
      </c>
      <c r="BB157" s="37">
        <v>95.5</v>
      </c>
      <c r="BC157" s="37">
        <v>94.8</v>
      </c>
      <c r="BD157" s="37">
        <v>95.3</v>
      </c>
      <c r="BE157" s="37">
        <v>95.5</v>
      </c>
      <c r="BF157" s="37">
        <v>94.8</v>
      </c>
      <c r="BG157" s="37">
        <v>94.4</v>
      </c>
      <c r="BH157" s="37">
        <v>94.6</v>
      </c>
      <c r="BI157" s="37">
        <v>95.5</v>
      </c>
      <c r="BJ157" s="37">
        <v>94.7</v>
      </c>
      <c r="BK157" s="37">
        <v>94.4</v>
      </c>
      <c r="BL157" s="37">
        <v>94.6</v>
      </c>
      <c r="BM157" s="37">
        <v>94.8</v>
      </c>
      <c r="BN157" s="37">
        <v>94.600000000000009</v>
      </c>
      <c r="BO157" s="37">
        <v>95.2</v>
      </c>
      <c r="BP157" s="37">
        <v>95</v>
      </c>
      <c r="BQ157" s="37">
        <v>95.3</v>
      </c>
      <c r="BR157" s="37">
        <v>95.8</v>
      </c>
      <c r="BS157" s="37">
        <v>96</v>
      </c>
      <c r="BT157" s="37">
        <v>95.6</v>
      </c>
      <c r="BU157" s="37">
        <v>94.9</v>
      </c>
      <c r="BV157" s="37">
        <v>94.4</v>
      </c>
      <c r="BW157" s="37">
        <v>94.4</v>
      </c>
      <c r="BX157" s="37">
        <v>94.5</v>
      </c>
      <c r="BY157" s="37">
        <v>95.5</v>
      </c>
      <c r="BZ157" s="37">
        <v>96.5</v>
      </c>
      <c r="CA157" s="37">
        <v>96.6</v>
      </c>
      <c r="CB157" s="37">
        <v>97.6</v>
      </c>
      <c r="CC157" s="37">
        <v>96.5</v>
      </c>
      <c r="CD157" s="37">
        <v>97.2</v>
      </c>
      <c r="CE157" s="37">
        <v>97.2</v>
      </c>
      <c r="CF157" s="37">
        <v>96.7</v>
      </c>
      <c r="CG157" s="37">
        <v>96.9</v>
      </c>
      <c r="CH157" s="37">
        <v>97.3</v>
      </c>
      <c r="CI157" s="37">
        <v>97.5</v>
      </c>
      <c r="CJ157" s="37">
        <v>97.6</v>
      </c>
      <c r="CK157" s="323"/>
    </row>
    <row r="158" spans="1:89" s="50" customFormat="1" x14ac:dyDescent="0.3">
      <c r="A158" s="15"/>
      <c r="B158" s="57" t="s">
        <v>43</v>
      </c>
      <c r="C158" s="37">
        <v>8.5</v>
      </c>
      <c r="D158" s="37">
        <v>8.4</v>
      </c>
      <c r="E158" s="37">
        <v>8.3000000000000007</v>
      </c>
      <c r="F158" s="37">
        <v>8.3000000000000007</v>
      </c>
      <c r="G158" s="37">
        <v>8.3000000000000007</v>
      </c>
      <c r="H158" s="37">
        <v>8.4</v>
      </c>
      <c r="I158" s="37">
        <v>8.1999999999999993</v>
      </c>
      <c r="J158" s="37">
        <v>8.1</v>
      </c>
      <c r="K158" s="37">
        <v>8.1</v>
      </c>
      <c r="L158" s="37">
        <v>8.1999999999999993</v>
      </c>
      <c r="M158" s="37">
        <v>8.1</v>
      </c>
      <c r="N158" s="37">
        <v>8.3000000000000007</v>
      </c>
      <c r="O158" s="37">
        <v>8.1999999999999993</v>
      </c>
      <c r="P158" s="37">
        <v>8.1999999999999993</v>
      </c>
      <c r="Q158" s="37">
        <v>8.1999999999999993</v>
      </c>
      <c r="R158" s="37">
        <v>8.1</v>
      </c>
      <c r="S158" s="37">
        <v>8.1999999999999993</v>
      </c>
      <c r="T158" s="37">
        <v>8.3000000000000007</v>
      </c>
      <c r="U158" s="37">
        <v>8.6</v>
      </c>
      <c r="V158" s="37">
        <v>8.6999999999999993</v>
      </c>
      <c r="W158" s="37">
        <v>8.6</v>
      </c>
      <c r="X158" s="37">
        <v>8.5</v>
      </c>
      <c r="Y158" s="37">
        <v>8.6999999999999993</v>
      </c>
      <c r="Z158" s="37">
        <v>8.9</v>
      </c>
      <c r="AA158" s="37">
        <v>8.9</v>
      </c>
      <c r="AB158" s="37">
        <v>8.8000000000000007</v>
      </c>
      <c r="AC158" s="37">
        <v>8.6</v>
      </c>
      <c r="AD158" s="37">
        <v>8.8000000000000007</v>
      </c>
      <c r="AE158" s="37">
        <v>8.9</v>
      </c>
      <c r="AF158" s="37">
        <v>8.6999999999999993</v>
      </c>
      <c r="AG158" s="37">
        <v>8.6999999999999993</v>
      </c>
      <c r="AH158" s="37">
        <v>8.6</v>
      </c>
      <c r="AI158" s="37">
        <v>8.5</v>
      </c>
      <c r="AJ158" s="37">
        <v>8.5</v>
      </c>
      <c r="AK158" s="37">
        <v>8.3000000000000007</v>
      </c>
      <c r="AL158" s="37">
        <v>8.4</v>
      </c>
      <c r="AM158" s="37">
        <v>8.3000000000000007</v>
      </c>
      <c r="AN158" s="37">
        <v>8.3000000000000007</v>
      </c>
      <c r="AO158" s="37">
        <v>8.1999999999999993</v>
      </c>
      <c r="AP158" s="37">
        <v>7.8</v>
      </c>
      <c r="AQ158" s="37">
        <v>7.9</v>
      </c>
      <c r="AR158" s="37">
        <v>7.8</v>
      </c>
      <c r="AS158" s="37">
        <v>7.6</v>
      </c>
      <c r="AT158" s="37">
        <v>7.5</v>
      </c>
      <c r="AU158" s="37">
        <v>7.3</v>
      </c>
      <c r="AV158" s="37">
        <v>7.4</v>
      </c>
      <c r="AW158" s="37">
        <v>7.7</v>
      </c>
      <c r="AX158" s="37">
        <v>7.9</v>
      </c>
      <c r="AY158" s="37">
        <v>8</v>
      </c>
      <c r="AZ158" s="37">
        <v>7.8</v>
      </c>
      <c r="BA158" s="37">
        <v>8</v>
      </c>
      <c r="BB158" s="37">
        <v>8.1</v>
      </c>
      <c r="BC158" s="37">
        <v>7.9</v>
      </c>
      <c r="BD158" s="37">
        <v>8</v>
      </c>
      <c r="BE158" s="37">
        <v>8.1</v>
      </c>
      <c r="BF158" s="37">
        <v>8</v>
      </c>
      <c r="BG158" s="37">
        <v>7.8</v>
      </c>
      <c r="BH158" s="37">
        <v>7.8</v>
      </c>
      <c r="BI158" s="37">
        <v>8</v>
      </c>
      <c r="BJ158" s="37">
        <v>8.1</v>
      </c>
      <c r="BK158" s="37">
        <v>8</v>
      </c>
      <c r="BL158" s="37">
        <v>8</v>
      </c>
      <c r="BM158" s="37">
        <v>8</v>
      </c>
      <c r="BN158" s="37">
        <v>7.9</v>
      </c>
      <c r="BO158" s="37">
        <v>8</v>
      </c>
      <c r="BP158" s="37">
        <v>7.9</v>
      </c>
      <c r="BQ158" s="37">
        <v>8</v>
      </c>
      <c r="BR158" s="37">
        <v>8.1</v>
      </c>
      <c r="BS158" s="37">
        <v>8.1999999999999993</v>
      </c>
      <c r="BT158" s="37">
        <v>8</v>
      </c>
      <c r="BU158" s="37">
        <v>7.8</v>
      </c>
      <c r="BV158" s="37">
        <v>7.7</v>
      </c>
      <c r="BW158" s="37">
        <v>7.7</v>
      </c>
      <c r="BX158" s="37">
        <v>7.7</v>
      </c>
      <c r="BY158" s="37">
        <v>8</v>
      </c>
      <c r="BZ158" s="37">
        <v>8.3000000000000007</v>
      </c>
      <c r="CA158" s="37">
        <v>8.3000000000000007</v>
      </c>
      <c r="CB158" s="37">
        <v>8.6</v>
      </c>
      <c r="CC158" s="37">
        <v>8.4</v>
      </c>
      <c r="CD158" s="37">
        <v>8.5</v>
      </c>
      <c r="CE158" s="37">
        <v>8.6</v>
      </c>
      <c r="CF158" s="37">
        <v>8.5</v>
      </c>
      <c r="CG158" s="37">
        <v>8.5</v>
      </c>
      <c r="CH158" s="37">
        <v>8.6</v>
      </c>
      <c r="CI158" s="37">
        <v>8.6999999999999993</v>
      </c>
      <c r="CJ158" s="37">
        <v>8.6</v>
      </c>
      <c r="CK158" s="323"/>
    </row>
    <row r="159" spans="1:89" s="12" customFormat="1" x14ac:dyDescent="0.3">
      <c r="A159" s="15"/>
      <c r="B159" s="28"/>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31"/>
      <c r="CK159" s="320"/>
    </row>
    <row r="160" spans="1:89" s="12" customFormat="1" ht="18" x14ac:dyDescent="0.35">
      <c r="A160" s="15"/>
      <c r="B160" s="262" t="s">
        <v>209</v>
      </c>
      <c r="C160" s="263">
        <f>+SUM(C162:C163)</f>
        <v>2809.7</v>
      </c>
      <c r="D160" s="263">
        <f t="shared" ref="D160:H160" si="316">+SUM(D162:D163)</f>
        <v>2801.1</v>
      </c>
      <c r="E160" s="263">
        <f t="shared" si="316"/>
        <v>2476.9</v>
      </c>
      <c r="F160" s="263">
        <f t="shared" si="316"/>
        <v>2477.6999999999998</v>
      </c>
      <c r="G160" s="263">
        <f t="shared" si="316"/>
        <v>2476.1999999999998</v>
      </c>
      <c r="H160" s="263">
        <f t="shared" si="316"/>
        <v>2456.3000000000002</v>
      </c>
      <c r="I160" s="263">
        <f t="shared" ref="I160:K160" si="317">+SUM(I162:I163)</f>
        <v>2433.3000000000002</v>
      </c>
      <c r="J160" s="263">
        <f t="shared" si="317"/>
        <v>2410</v>
      </c>
      <c r="K160" s="263">
        <f t="shared" si="317"/>
        <v>2405.5</v>
      </c>
      <c r="L160" s="263">
        <v>2425.6999999999998</v>
      </c>
      <c r="M160" s="263">
        <v>2417.1999999999998</v>
      </c>
      <c r="N160" s="263">
        <v>2435.1999999999998</v>
      </c>
      <c r="O160" s="263">
        <f t="shared" ref="O160" si="318">+SUM(O162:O163)</f>
        <v>2428.3000000000002</v>
      </c>
      <c r="P160" s="263">
        <f t="shared" ref="P160:U160" si="319">+SUM(P162:P163)</f>
        <v>2422.8999999999996</v>
      </c>
      <c r="Q160" s="263">
        <f t="shared" si="319"/>
        <v>2422.3999999999996</v>
      </c>
      <c r="R160" s="263">
        <f t="shared" si="319"/>
        <v>2414.1</v>
      </c>
      <c r="S160" s="263">
        <f t="shared" si="319"/>
        <v>2424.6</v>
      </c>
      <c r="T160" s="263">
        <f t="shared" si="319"/>
        <v>2433.8000000000002</v>
      </c>
      <c r="U160" s="263">
        <f t="shared" si="319"/>
        <v>2474.6</v>
      </c>
      <c r="V160" s="263">
        <f t="shared" ref="V160:Z160" si="320">+SUM(V162:V163)</f>
        <v>2486.9</v>
      </c>
      <c r="W160" s="263">
        <f t="shared" si="320"/>
        <v>2469.8000000000002</v>
      </c>
      <c r="X160" s="263">
        <f t="shared" si="320"/>
        <v>2456.3000000000002</v>
      </c>
      <c r="Y160" s="263">
        <f t="shared" si="320"/>
        <v>2477.8000000000002</v>
      </c>
      <c r="Z160" s="263">
        <f t="shared" si="320"/>
        <v>2500.5</v>
      </c>
      <c r="AA160" s="263">
        <f t="shared" ref="AA160:AT160" si="321">+SUM(AA162:AA163)</f>
        <v>2493.9</v>
      </c>
      <c r="AB160" s="263">
        <f t="shared" si="321"/>
        <v>2488.8000000000002</v>
      </c>
      <c r="AC160" s="263">
        <f t="shared" si="321"/>
        <v>2461.1999999999998</v>
      </c>
      <c r="AD160" s="263">
        <f t="shared" si="321"/>
        <v>2484</v>
      </c>
      <c r="AE160" s="263">
        <f t="shared" si="321"/>
        <v>2501.8000000000002</v>
      </c>
      <c r="AF160" s="263">
        <f t="shared" si="321"/>
        <v>2473.8999999999996</v>
      </c>
      <c r="AG160" s="263">
        <f t="shared" si="321"/>
        <v>2474.8000000000002</v>
      </c>
      <c r="AH160" s="263">
        <f t="shared" si="321"/>
        <v>2470.6999999999998</v>
      </c>
      <c r="AI160" s="263">
        <f t="shared" si="321"/>
        <v>2453.6999999999998</v>
      </c>
      <c r="AJ160" s="263">
        <f t="shared" si="321"/>
        <v>2452.4</v>
      </c>
      <c r="AK160" s="263">
        <f t="shared" si="321"/>
        <v>2436.6000000000004</v>
      </c>
      <c r="AL160" s="263">
        <f t="shared" si="321"/>
        <v>2439.3000000000002</v>
      </c>
      <c r="AM160" s="263">
        <f t="shared" si="321"/>
        <v>2429.1000000000004</v>
      </c>
      <c r="AN160" s="263">
        <f t="shared" si="321"/>
        <v>2428.9</v>
      </c>
      <c r="AO160" s="263">
        <f t="shared" si="321"/>
        <v>2416</v>
      </c>
      <c r="AP160" s="263">
        <f t="shared" si="321"/>
        <v>2374.3000000000002</v>
      </c>
      <c r="AQ160" s="263">
        <f t="shared" si="321"/>
        <v>2390.6999999999998</v>
      </c>
      <c r="AR160" s="263">
        <f t="shared" si="321"/>
        <v>2370.8999999999996</v>
      </c>
      <c r="AS160" s="263">
        <f t="shared" si="321"/>
        <v>2351.1</v>
      </c>
      <c r="AT160" s="263">
        <f t="shared" si="321"/>
        <v>2337.6</v>
      </c>
      <c r="AU160" s="263">
        <f t="shared" ref="AU160" si="322">+SUM(AU162:AU163)</f>
        <v>2317.1999999999998</v>
      </c>
      <c r="AV160" s="263">
        <f t="shared" ref="AV160:BA160" si="323">+SUM(AV162:AV163)</f>
        <v>2321.8000000000002</v>
      </c>
      <c r="AW160" s="263">
        <f t="shared" si="323"/>
        <v>2364.1</v>
      </c>
      <c r="AX160" s="263">
        <f t="shared" si="323"/>
        <v>2388.1999999999998</v>
      </c>
      <c r="AY160" s="263">
        <f t="shared" si="323"/>
        <v>2400</v>
      </c>
      <c r="AZ160" s="263">
        <f t="shared" si="323"/>
        <v>2376.4</v>
      </c>
      <c r="BA160" s="263">
        <f t="shared" si="323"/>
        <v>2397.9</v>
      </c>
      <c r="BB160" s="263">
        <f t="shared" ref="BB160:BI160" si="324">+SUM(BB162:BB163)</f>
        <v>2411.8999999999996</v>
      </c>
      <c r="BC160" s="263">
        <f t="shared" si="324"/>
        <v>2386.1000000000004</v>
      </c>
      <c r="BD160" s="263">
        <f t="shared" si="324"/>
        <v>2402.9</v>
      </c>
      <c r="BE160" s="263">
        <f t="shared" si="324"/>
        <v>2408.9</v>
      </c>
      <c r="BF160" s="263">
        <f t="shared" si="324"/>
        <v>2386.8000000000002</v>
      </c>
      <c r="BG160" s="263">
        <f t="shared" si="324"/>
        <v>2369.3000000000002</v>
      </c>
      <c r="BH160" s="263">
        <f t="shared" si="324"/>
        <v>2376.6</v>
      </c>
      <c r="BI160" s="263">
        <f t="shared" si="324"/>
        <v>2406</v>
      </c>
      <c r="BJ160" s="263">
        <f t="shared" ref="BJ160:BO160" si="325">+SUM(BJ162:BJ163)</f>
        <v>2345.6</v>
      </c>
      <c r="BK160" s="263">
        <f t="shared" si="325"/>
        <v>2332.6</v>
      </c>
      <c r="BL160" s="263">
        <f t="shared" si="325"/>
        <v>2338.1999999999998</v>
      </c>
      <c r="BM160" s="263">
        <f t="shared" si="325"/>
        <v>2344</v>
      </c>
      <c r="BN160" s="263">
        <f t="shared" si="325"/>
        <v>2329.6999999999998</v>
      </c>
      <c r="BO160" s="263">
        <f t="shared" si="325"/>
        <v>2348</v>
      </c>
      <c r="BP160" s="263">
        <f t="shared" ref="BP160:CJ160" si="326">+SUM(BP162:BP163)</f>
        <v>2339.6000000000004</v>
      </c>
      <c r="BQ160" s="263">
        <f t="shared" ref="BQ160:CI160" si="327">+SUM(BQ162:BQ163)</f>
        <v>2349.4</v>
      </c>
      <c r="BR160" s="263">
        <f t="shared" si="327"/>
        <v>2368.6999999999998</v>
      </c>
      <c r="BS160" s="263">
        <f t="shared" si="327"/>
        <v>2376.8999999999996</v>
      </c>
      <c r="BT160" s="263">
        <f t="shared" si="327"/>
        <v>2356.6999999999998</v>
      </c>
      <c r="BU160" s="263">
        <f t="shared" si="327"/>
        <v>2334.1999999999998</v>
      </c>
      <c r="BV160" s="263">
        <f t="shared" si="327"/>
        <v>2315.9</v>
      </c>
      <c r="BW160" s="263">
        <f t="shared" si="327"/>
        <v>2317.4</v>
      </c>
      <c r="BX160" s="263">
        <f t="shared" si="327"/>
        <v>2319.8000000000002</v>
      </c>
      <c r="BY160" s="263">
        <f t="shared" si="327"/>
        <v>2354.4</v>
      </c>
      <c r="BZ160" s="263">
        <f t="shared" si="327"/>
        <v>2392</v>
      </c>
      <c r="CA160" s="263">
        <f t="shared" si="327"/>
        <v>2394.5</v>
      </c>
      <c r="CB160" s="263">
        <f t="shared" si="327"/>
        <v>2429.3999999999996</v>
      </c>
      <c r="CC160" s="263">
        <f t="shared" si="327"/>
        <v>2393.5</v>
      </c>
      <c r="CD160" s="263">
        <f t="shared" si="327"/>
        <v>2417.1999999999998</v>
      </c>
      <c r="CE160" s="263">
        <f t="shared" si="327"/>
        <v>2419.6999999999998</v>
      </c>
      <c r="CF160" s="263">
        <f t="shared" si="327"/>
        <v>2402.1</v>
      </c>
      <c r="CG160" s="263">
        <f t="shared" si="327"/>
        <v>2407.6</v>
      </c>
      <c r="CH160" s="263">
        <f t="shared" si="327"/>
        <v>2419.6999999999998</v>
      </c>
      <c r="CI160" s="263">
        <f t="shared" si="327"/>
        <v>2430.5</v>
      </c>
      <c r="CJ160" s="263">
        <f t="shared" si="326"/>
        <v>2431.1000000000004</v>
      </c>
      <c r="CK160" s="331">
        <f>+CJ160/$CJ$10</f>
        <v>5.1491661172118888E-3</v>
      </c>
    </row>
    <row r="161" spans="1:89" s="12" customFormat="1" x14ac:dyDescent="0.3">
      <c r="A161" s="15"/>
      <c r="B161" s="58"/>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368"/>
      <c r="AZ161" s="368"/>
      <c r="BA161" s="368"/>
      <c r="BB161" s="368"/>
      <c r="BC161" s="368"/>
      <c r="BD161" s="368"/>
      <c r="BE161" s="368"/>
      <c r="BF161" s="368"/>
      <c r="BG161" s="368"/>
      <c r="BH161" s="368"/>
      <c r="BI161" s="368"/>
      <c r="BJ161" s="368"/>
      <c r="BK161" s="368"/>
      <c r="BL161" s="368"/>
      <c r="BM161" s="368"/>
      <c r="BN161" s="368"/>
      <c r="BO161" s="368"/>
      <c r="BP161" s="368"/>
      <c r="BQ161" s="368"/>
      <c r="BR161" s="368"/>
      <c r="BS161" s="368"/>
      <c r="BT161" s="368"/>
      <c r="BU161" s="368"/>
      <c r="BV161" s="368"/>
      <c r="BW161" s="368"/>
      <c r="BX161" s="368"/>
      <c r="BY161" s="368"/>
      <c r="BZ161" s="368"/>
      <c r="CA161" s="368"/>
      <c r="CB161" s="368"/>
      <c r="CC161" s="368"/>
      <c r="CD161" s="368"/>
      <c r="CE161" s="368"/>
      <c r="CF161" s="368"/>
      <c r="CG161" s="368"/>
      <c r="CH161" s="368"/>
      <c r="CI161" s="368"/>
      <c r="CJ161" s="368"/>
      <c r="CK161" s="332"/>
    </row>
    <row r="162" spans="1:89" s="12" customFormat="1" x14ac:dyDescent="0.3">
      <c r="A162" s="15"/>
      <c r="B162" s="57" t="s">
        <v>42</v>
      </c>
      <c r="C162" s="37">
        <v>1221.9000000000001</v>
      </c>
      <c r="D162" s="37">
        <v>1217.5</v>
      </c>
      <c r="E162" s="37">
        <v>1074.9000000000001</v>
      </c>
      <c r="F162" s="37">
        <v>1075.8</v>
      </c>
      <c r="G162" s="37">
        <v>1075.8</v>
      </c>
      <c r="H162" s="37">
        <v>1070.5</v>
      </c>
      <c r="I162" s="37">
        <v>1060.7</v>
      </c>
      <c r="J162" s="37">
        <v>1044.3</v>
      </c>
      <c r="K162" s="37">
        <v>1043.5999999999999</v>
      </c>
      <c r="L162" s="37">
        <v>1052.2</v>
      </c>
      <c r="M162" s="37">
        <v>1049.5999999999999</v>
      </c>
      <c r="N162" s="37">
        <v>1058.0999999999999</v>
      </c>
      <c r="O162" s="37">
        <v>1055.9000000000001</v>
      </c>
      <c r="P162" s="37">
        <v>1053.5999999999999</v>
      </c>
      <c r="Q162" s="37">
        <v>1053.0999999999999</v>
      </c>
      <c r="R162" s="37">
        <v>1048.5</v>
      </c>
      <c r="S162" s="37">
        <v>1052.8</v>
      </c>
      <c r="T162" s="37">
        <v>1056.5</v>
      </c>
      <c r="U162" s="37">
        <v>1073</v>
      </c>
      <c r="V162" s="37">
        <v>1078</v>
      </c>
      <c r="W162" s="37">
        <v>1070.8</v>
      </c>
      <c r="X162" s="37">
        <v>1063</v>
      </c>
      <c r="Y162" s="37">
        <v>1071.8</v>
      </c>
      <c r="Z162" s="37">
        <v>1081.4000000000001</v>
      </c>
      <c r="AA162" s="37">
        <v>1078.5</v>
      </c>
      <c r="AB162" s="37">
        <v>1076.4000000000001</v>
      </c>
      <c r="AC162" s="37">
        <v>1065</v>
      </c>
      <c r="AD162" s="37">
        <v>1074.7</v>
      </c>
      <c r="AE162" s="37">
        <v>1082.8</v>
      </c>
      <c r="AF162" s="37">
        <v>1071.5999999999999</v>
      </c>
      <c r="AG162" s="37">
        <v>1072.0999999999999</v>
      </c>
      <c r="AH162" s="37">
        <v>1070.8</v>
      </c>
      <c r="AI162" s="37">
        <v>1064</v>
      </c>
      <c r="AJ162" s="37">
        <v>1063.7</v>
      </c>
      <c r="AK162" s="37">
        <v>1057.7</v>
      </c>
      <c r="AL162" s="37">
        <v>1059</v>
      </c>
      <c r="AM162" s="37">
        <v>1054.9000000000001</v>
      </c>
      <c r="AN162" s="37">
        <v>1055.2</v>
      </c>
      <c r="AO162" s="37">
        <v>1049.8</v>
      </c>
      <c r="AP162" s="37">
        <v>1032.5</v>
      </c>
      <c r="AQ162" s="37">
        <v>1039.9000000000001</v>
      </c>
      <c r="AR162" s="37">
        <v>1031.8</v>
      </c>
      <c r="AS162" s="37">
        <v>1023.6</v>
      </c>
      <c r="AT162" s="37">
        <v>1017.9</v>
      </c>
      <c r="AU162" s="37">
        <v>1009.4</v>
      </c>
      <c r="AV162" s="37">
        <v>1010.9</v>
      </c>
      <c r="AW162" s="37">
        <v>1028.8</v>
      </c>
      <c r="AX162" s="37">
        <v>1039</v>
      </c>
      <c r="AY162" s="37">
        <v>1043.5999999999999</v>
      </c>
      <c r="AZ162" s="37">
        <v>1033.5</v>
      </c>
      <c r="BA162" s="37">
        <v>1042.7</v>
      </c>
      <c r="BB162" s="37">
        <v>1048.5999999999999</v>
      </c>
      <c r="BC162" s="37">
        <v>1037.9000000000001</v>
      </c>
      <c r="BD162" s="37">
        <v>1045</v>
      </c>
      <c r="BE162" s="37">
        <v>1047</v>
      </c>
      <c r="BF162" s="37">
        <v>1033.4000000000001</v>
      </c>
      <c r="BG162" s="37">
        <v>1027.9000000000001</v>
      </c>
      <c r="BH162" s="37">
        <v>1034</v>
      </c>
      <c r="BI162" s="37">
        <v>1048.3</v>
      </c>
      <c r="BJ162" s="37">
        <v>1007.8</v>
      </c>
      <c r="BK162" s="37">
        <v>1004.6</v>
      </c>
      <c r="BL162" s="37">
        <v>1010.1</v>
      </c>
      <c r="BM162" s="37">
        <v>1015.5</v>
      </c>
      <c r="BN162" s="37">
        <v>1008.4</v>
      </c>
      <c r="BO162" s="37">
        <v>1017.7</v>
      </c>
      <c r="BP162" s="37">
        <v>1015.2</v>
      </c>
      <c r="BQ162" s="37">
        <v>1019.6</v>
      </c>
      <c r="BR162" s="37">
        <v>1028.3</v>
      </c>
      <c r="BS162" s="37">
        <v>1032.3</v>
      </c>
      <c r="BT162" s="37">
        <v>1023.9</v>
      </c>
      <c r="BU162" s="37">
        <v>1014.8</v>
      </c>
      <c r="BV162" s="37">
        <v>1007.1</v>
      </c>
      <c r="BW162" s="37">
        <v>1007.9</v>
      </c>
      <c r="BX162" s="37">
        <v>1009.4</v>
      </c>
      <c r="BY162" s="37">
        <v>1024.2</v>
      </c>
      <c r="BZ162" s="37">
        <v>1038.5999999999999</v>
      </c>
      <c r="CA162" s="37">
        <v>1040</v>
      </c>
      <c r="CB162" s="37">
        <v>1055.0999999999999</v>
      </c>
      <c r="CC162" s="37">
        <v>1037.2</v>
      </c>
      <c r="CD162" s="37">
        <v>1048.0999999999999</v>
      </c>
      <c r="CE162" s="37">
        <v>1048.8</v>
      </c>
      <c r="CF162" s="37">
        <v>1040.5</v>
      </c>
      <c r="CG162" s="37">
        <v>1043.0999999999999</v>
      </c>
      <c r="CH162" s="37">
        <v>1048.5999999999999</v>
      </c>
      <c r="CI162" s="37">
        <v>1054.0999999999999</v>
      </c>
      <c r="CJ162" s="37">
        <v>1055.7</v>
      </c>
      <c r="CK162" s="323"/>
    </row>
    <row r="163" spans="1:89" s="12" customFormat="1" x14ac:dyDescent="0.3">
      <c r="A163" s="15"/>
      <c r="B163" s="57" t="s">
        <v>43</v>
      </c>
      <c r="C163" s="37">
        <v>1587.8</v>
      </c>
      <c r="D163" s="37">
        <v>1583.6</v>
      </c>
      <c r="E163" s="37">
        <v>1402</v>
      </c>
      <c r="F163" s="37">
        <v>1401.9</v>
      </c>
      <c r="G163" s="37">
        <v>1400.4</v>
      </c>
      <c r="H163" s="37">
        <v>1385.8</v>
      </c>
      <c r="I163" s="37">
        <v>1372.6</v>
      </c>
      <c r="J163" s="37">
        <v>1365.7</v>
      </c>
      <c r="K163" s="37">
        <v>1361.9</v>
      </c>
      <c r="L163" s="37">
        <v>1373.4</v>
      </c>
      <c r="M163" s="37">
        <v>1367.6</v>
      </c>
      <c r="N163" s="37">
        <v>1377.1</v>
      </c>
      <c r="O163" s="37">
        <v>1372.4</v>
      </c>
      <c r="P163" s="37">
        <v>1369.3</v>
      </c>
      <c r="Q163" s="37">
        <v>1369.3</v>
      </c>
      <c r="R163" s="37">
        <v>1365.6</v>
      </c>
      <c r="S163" s="37">
        <v>1371.8</v>
      </c>
      <c r="T163" s="37">
        <v>1377.3</v>
      </c>
      <c r="U163" s="37">
        <v>1401.6</v>
      </c>
      <c r="V163" s="37">
        <v>1408.9</v>
      </c>
      <c r="W163" s="37">
        <v>1399</v>
      </c>
      <c r="X163" s="37">
        <v>1393.3</v>
      </c>
      <c r="Y163" s="37">
        <v>1406</v>
      </c>
      <c r="Z163" s="37">
        <v>1419.1</v>
      </c>
      <c r="AA163" s="37">
        <v>1415.4</v>
      </c>
      <c r="AB163" s="37">
        <v>1412.4</v>
      </c>
      <c r="AC163" s="37">
        <v>1396.2</v>
      </c>
      <c r="AD163" s="37">
        <v>1409.3</v>
      </c>
      <c r="AE163" s="37">
        <v>1419</v>
      </c>
      <c r="AF163" s="37">
        <v>1402.3</v>
      </c>
      <c r="AG163" s="37">
        <v>1402.7</v>
      </c>
      <c r="AH163" s="37">
        <v>1399.9</v>
      </c>
      <c r="AI163" s="37">
        <v>1389.7</v>
      </c>
      <c r="AJ163" s="37">
        <v>1388.7</v>
      </c>
      <c r="AK163" s="37">
        <v>1378.9</v>
      </c>
      <c r="AL163" s="37">
        <v>1380.3</v>
      </c>
      <c r="AM163" s="37">
        <v>1374.2</v>
      </c>
      <c r="AN163" s="37">
        <v>1373.7</v>
      </c>
      <c r="AO163" s="37">
        <v>1366.2</v>
      </c>
      <c r="AP163" s="37">
        <v>1341.8</v>
      </c>
      <c r="AQ163" s="37">
        <v>1350.8</v>
      </c>
      <c r="AR163" s="37">
        <v>1339.1</v>
      </c>
      <c r="AS163" s="37">
        <v>1327.5</v>
      </c>
      <c r="AT163" s="37">
        <v>1319.7</v>
      </c>
      <c r="AU163" s="37">
        <v>1307.8</v>
      </c>
      <c r="AV163" s="37">
        <v>1310.9</v>
      </c>
      <c r="AW163" s="37">
        <v>1335.3</v>
      </c>
      <c r="AX163" s="37">
        <v>1349.2</v>
      </c>
      <c r="AY163" s="37">
        <v>1356.4</v>
      </c>
      <c r="AZ163" s="37">
        <v>1342.9</v>
      </c>
      <c r="BA163" s="37">
        <v>1355.2</v>
      </c>
      <c r="BB163" s="37">
        <v>1363.3</v>
      </c>
      <c r="BC163" s="37">
        <v>1348.2</v>
      </c>
      <c r="BD163" s="37">
        <v>1357.9</v>
      </c>
      <c r="BE163" s="37">
        <v>1361.9</v>
      </c>
      <c r="BF163" s="37">
        <v>1353.4</v>
      </c>
      <c r="BG163" s="37">
        <v>1341.4</v>
      </c>
      <c r="BH163" s="37">
        <v>1342.6</v>
      </c>
      <c r="BI163" s="37">
        <v>1357.7</v>
      </c>
      <c r="BJ163" s="37">
        <v>1337.8</v>
      </c>
      <c r="BK163" s="37">
        <v>1328</v>
      </c>
      <c r="BL163" s="37">
        <v>1328.1</v>
      </c>
      <c r="BM163" s="37">
        <v>1328.5</v>
      </c>
      <c r="BN163" s="37">
        <v>1321.3</v>
      </c>
      <c r="BO163" s="37">
        <v>1330.3</v>
      </c>
      <c r="BP163" s="37">
        <v>1324.4</v>
      </c>
      <c r="BQ163" s="37">
        <v>1329.8</v>
      </c>
      <c r="BR163" s="37">
        <v>1340.4</v>
      </c>
      <c r="BS163" s="37">
        <v>1344.6</v>
      </c>
      <c r="BT163" s="37">
        <v>1332.8</v>
      </c>
      <c r="BU163" s="37">
        <v>1319.4</v>
      </c>
      <c r="BV163" s="37">
        <v>1308.8</v>
      </c>
      <c r="BW163" s="37">
        <v>1309.5</v>
      </c>
      <c r="BX163" s="37">
        <v>1310.4000000000001</v>
      </c>
      <c r="BY163" s="37">
        <v>1330.2</v>
      </c>
      <c r="BZ163" s="37">
        <v>1353.4</v>
      </c>
      <c r="CA163" s="37">
        <v>1354.5</v>
      </c>
      <c r="CB163" s="37">
        <v>1374.3</v>
      </c>
      <c r="CC163" s="37">
        <v>1356.3</v>
      </c>
      <c r="CD163" s="37">
        <v>1369.1</v>
      </c>
      <c r="CE163" s="37">
        <v>1370.9</v>
      </c>
      <c r="CF163" s="37">
        <v>1361.6</v>
      </c>
      <c r="CG163" s="37">
        <v>1364.5</v>
      </c>
      <c r="CH163" s="37">
        <v>1371.1</v>
      </c>
      <c r="CI163" s="37">
        <v>1376.4</v>
      </c>
      <c r="CJ163" s="37">
        <v>1375.4</v>
      </c>
      <c r="CK163" s="323"/>
    </row>
    <row r="164" spans="1:89" s="12" customFormat="1" ht="15.6" thickBot="1" x14ac:dyDescent="0.35">
      <c r="A164" s="15"/>
      <c r="B164" s="60"/>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360"/>
      <c r="AZ164" s="360"/>
      <c r="BA164" s="360"/>
      <c r="BB164" s="360"/>
      <c r="BC164" s="360"/>
      <c r="BD164" s="360"/>
      <c r="BE164" s="360"/>
      <c r="BF164" s="360"/>
      <c r="BG164" s="360"/>
      <c r="BH164" s="360"/>
      <c r="BI164" s="360"/>
      <c r="BJ164" s="360"/>
      <c r="BK164" s="360"/>
      <c r="BL164" s="360"/>
      <c r="BM164" s="360"/>
      <c r="BN164" s="360"/>
      <c r="BO164" s="360"/>
      <c r="BP164" s="360"/>
      <c r="BQ164" s="360"/>
      <c r="BR164" s="360"/>
      <c r="BS164" s="360"/>
      <c r="BT164" s="360"/>
      <c r="BU164" s="360"/>
      <c r="BV164" s="360"/>
      <c r="BW164" s="360"/>
      <c r="BX164" s="360"/>
      <c r="BY164" s="360"/>
      <c r="BZ164" s="360"/>
      <c r="CA164" s="360"/>
      <c r="CB164" s="360"/>
      <c r="CC164" s="360"/>
      <c r="CD164" s="360"/>
      <c r="CE164" s="360"/>
      <c r="CF164" s="360"/>
      <c r="CG164" s="360"/>
      <c r="CH164" s="360"/>
      <c r="CI164" s="360"/>
      <c r="CJ164" s="360"/>
      <c r="CK164" s="333"/>
    </row>
    <row r="165" spans="1:89" s="12" customFormat="1" ht="15.6" thickTop="1" x14ac:dyDescent="0.3">
      <c r="A165" s="15"/>
      <c r="B165" s="10"/>
      <c r="C165" s="10"/>
      <c r="K165" s="14"/>
      <c r="L165" s="14"/>
      <c r="M165" s="14"/>
      <c r="N165" s="14"/>
      <c r="O165" s="14"/>
      <c r="P165" s="22"/>
      <c r="Q165" s="22"/>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361"/>
      <c r="AZ165" s="361"/>
      <c r="BA165" s="361"/>
      <c r="BB165" s="361"/>
      <c r="BC165" s="361"/>
      <c r="BD165" s="361"/>
      <c r="BE165" s="361"/>
      <c r="BF165" s="361"/>
      <c r="BG165" s="361"/>
      <c r="BH165" s="361"/>
      <c r="BI165" s="361"/>
      <c r="BJ165" s="361"/>
      <c r="BK165" s="361"/>
      <c r="BL165" s="361"/>
      <c r="BM165" s="361"/>
      <c r="BN165" s="361"/>
      <c r="BO165" s="361"/>
      <c r="BP165" s="361"/>
      <c r="BQ165" s="361"/>
      <c r="BR165" s="361"/>
      <c r="BS165" s="361"/>
      <c r="BT165" s="361"/>
      <c r="BU165" s="361"/>
      <c r="BV165" s="361"/>
      <c r="BW165" s="361"/>
      <c r="BX165" s="361"/>
      <c r="BY165" s="361"/>
      <c r="BZ165" s="361"/>
      <c r="CA165" s="361"/>
      <c r="CB165" s="361"/>
      <c r="CC165" s="361"/>
      <c r="CD165" s="361"/>
      <c r="CE165" s="361"/>
      <c r="CF165" s="361"/>
      <c r="CG165" s="361"/>
      <c r="CH165" s="361"/>
      <c r="CI165" s="361"/>
      <c r="CJ165" s="361"/>
      <c r="CK165" s="69"/>
    </row>
    <row r="166" spans="1:89" s="12" customFormat="1" x14ac:dyDescent="0.3">
      <c r="A166" s="15"/>
      <c r="B166" s="335"/>
      <c r="C166" s="335"/>
      <c r="D166" s="335"/>
      <c r="E166" s="335"/>
      <c r="F166" s="335"/>
      <c r="G166" s="335"/>
      <c r="H166" s="335"/>
      <c r="K166" s="14"/>
      <c r="L166" s="14"/>
      <c r="M166" s="14"/>
      <c r="N166" s="14"/>
      <c r="O166" s="14"/>
      <c r="P166" s="22"/>
      <c r="Q166" s="22"/>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361"/>
      <c r="AZ166" s="361"/>
      <c r="BA166" s="361"/>
      <c r="BB166" s="361"/>
      <c r="BC166" s="361"/>
      <c r="BD166" s="361"/>
      <c r="BE166" s="361"/>
      <c r="BF166" s="361"/>
      <c r="BG166" s="361"/>
      <c r="BH166" s="361"/>
      <c r="BI166" s="361"/>
      <c r="BJ166" s="361"/>
      <c r="BK166" s="361"/>
      <c r="BL166" s="361"/>
      <c r="BM166" s="361"/>
      <c r="BN166" s="361"/>
      <c r="BO166" s="361"/>
      <c r="BP166" s="361"/>
      <c r="BQ166" s="361"/>
      <c r="BR166" s="361"/>
      <c r="BS166" s="361"/>
      <c r="BT166" s="361"/>
      <c r="BU166" s="361"/>
      <c r="BV166" s="361"/>
      <c r="BW166" s="361"/>
      <c r="BX166" s="361"/>
      <c r="BY166" s="361"/>
      <c r="BZ166" s="361"/>
      <c r="CA166" s="361"/>
      <c r="CB166" s="361"/>
      <c r="CC166" s="361"/>
      <c r="CD166" s="361"/>
      <c r="CE166" s="361"/>
      <c r="CF166" s="361"/>
      <c r="CG166" s="361"/>
      <c r="CH166" s="361"/>
      <c r="CI166" s="361"/>
      <c r="CJ166" s="361"/>
      <c r="CK166" s="69"/>
    </row>
    <row r="167" spans="1:89" s="12" customFormat="1" x14ac:dyDescent="0.3">
      <c r="A167" s="15"/>
      <c r="B167" s="15" t="s">
        <v>129</v>
      </c>
      <c r="C167" s="62"/>
      <c r="D167" s="63"/>
      <c r="E167" s="63"/>
      <c r="F167" s="63"/>
      <c r="G167" s="63"/>
      <c r="K167" s="14"/>
      <c r="L167" s="14"/>
      <c r="M167" s="14"/>
      <c r="N167" s="14"/>
      <c r="O167" s="14"/>
      <c r="P167" s="22"/>
      <c r="Q167" s="22"/>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361"/>
      <c r="AZ167" s="361"/>
      <c r="BA167" s="361"/>
      <c r="BB167" s="361"/>
      <c r="BC167" s="361"/>
      <c r="BD167" s="361"/>
      <c r="BE167" s="361"/>
      <c r="BF167" s="361"/>
      <c r="BG167" s="361"/>
      <c r="BH167" s="361"/>
      <c r="BI167" s="361"/>
      <c r="BJ167" s="361"/>
      <c r="BK167" s="361"/>
      <c r="BL167" s="361"/>
      <c r="BM167" s="361"/>
      <c r="BN167" s="361"/>
      <c r="BO167" s="361"/>
      <c r="BP167" s="361"/>
      <c r="BQ167" s="361"/>
      <c r="BR167" s="361"/>
      <c r="BS167" s="361"/>
      <c r="BT167" s="361"/>
      <c r="BU167" s="361"/>
      <c r="BV167" s="361"/>
      <c r="BW167" s="361"/>
      <c r="BX167" s="361"/>
      <c r="BY167" s="361"/>
      <c r="BZ167" s="361"/>
      <c r="CA167" s="361"/>
      <c r="CB167" s="361"/>
      <c r="CC167" s="361"/>
      <c r="CD167" s="361"/>
      <c r="CE167" s="361"/>
      <c r="CF167" s="361"/>
      <c r="CG167" s="361"/>
      <c r="CH167" s="361"/>
      <c r="CI167" s="361"/>
      <c r="CJ167" s="361"/>
      <c r="CK167" s="69"/>
    </row>
    <row r="168" spans="1:89" s="12" customFormat="1" x14ac:dyDescent="0.3">
      <c r="A168" s="15"/>
      <c r="B168" s="15" t="s">
        <v>297</v>
      </c>
      <c r="C168" s="62"/>
      <c r="D168" s="63"/>
      <c r="E168" s="63"/>
      <c r="F168" s="63"/>
      <c r="G168" s="63"/>
      <c r="K168" s="14"/>
      <c r="L168" s="14"/>
      <c r="M168" s="14"/>
      <c r="N168" s="14"/>
      <c r="O168" s="14"/>
      <c r="P168" s="22"/>
      <c r="Q168" s="22"/>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361"/>
      <c r="AZ168" s="361"/>
      <c r="BA168" s="361"/>
      <c r="BB168" s="361"/>
      <c r="BC168" s="361"/>
      <c r="BD168" s="361"/>
      <c r="BE168" s="361"/>
      <c r="BF168" s="361"/>
      <c r="BG168" s="361"/>
      <c r="BH168" s="361"/>
      <c r="BI168" s="361"/>
      <c r="BJ168" s="361"/>
      <c r="BK168" s="361"/>
      <c r="BL168" s="361"/>
      <c r="BM168" s="361"/>
      <c r="BN168" s="361"/>
      <c r="BO168" s="361"/>
      <c r="BP168" s="361"/>
      <c r="BQ168" s="361"/>
      <c r="BR168" s="361"/>
      <c r="BS168" s="361"/>
      <c r="BT168" s="361"/>
      <c r="BU168" s="361"/>
      <c r="BV168" s="361"/>
      <c r="BW168" s="361"/>
      <c r="BX168" s="361"/>
      <c r="BY168" s="361"/>
      <c r="BZ168" s="361"/>
      <c r="CA168" s="361"/>
      <c r="CB168" s="361"/>
      <c r="CC168" s="361"/>
      <c r="CD168" s="361"/>
      <c r="CE168" s="361"/>
      <c r="CF168" s="361"/>
      <c r="CG168" s="361"/>
      <c r="CH168" s="361"/>
      <c r="CI168" s="361"/>
      <c r="CJ168" s="361"/>
      <c r="CK168" s="69"/>
    </row>
    <row r="169" spans="1:89" s="12" customFormat="1" x14ac:dyDescent="0.3">
      <c r="A169" s="15"/>
      <c r="B169" s="15" t="s">
        <v>299</v>
      </c>
      <c r="C169" s="62"/>
      <c r="D169" s="63"/>
      <c r="E169" s="63"/>
      <c r="F169" s="63"/>
      <c r="G169" s="63"/>
      <c r="K169" s="14"/>
      <c r="P169" s="64"/>
      <c r="Q169" s="64"/>
      <c r="AY169" s="361"/>
      <c r="AZ169" s="361"/>
      <c r="BA169" s="361"/>
      <c r="BB169" s="361"/>
      <c r="BC169" s="361"/>
      <c r="BD169" s="361"/>
      <c r="BE169" s="361"/>
      <c r="BF169" s="361"/>
      <c r="BG169" s="361"/>
      <c r="BH169" s="361"/>
      <c r="BI169" s="361"/>
      <c r="BJ169" s="361"/>
      <c r="BK169" s="361"/>
      <c r="BL169" s="361"/>
      <c r="BM169" s="361"/>
      <c r="BN169" s="361"/>
      <c r="BO169" s="361"/>
      <c r="BP169" s="361"/>
      <c r="BQ169" s="361"/>
      <c r="BR169" s="361"/>
      <c r="BS169" s="361"/>
      <c r="BT169" s="361"/>
      <c r="BU169" s="361"/>
      <c r="BV169" s="361"/>
      <c r="BW169" s="361"/>
      <c r="BX169" s="361"/>
      <c r="BY169" s="361"/>
      <c r="BZ169" s="361"/>
      <c r="CA169" s="361"/>
      <c r="CB169" s="361"/>
      <c r="CC169" s="361"/>
      <c r="CD169" s="361"/>
      <c r="CE169" s="361"/>
      <c r="CF169" s="361"/>
      <c r="CG169" s="361"/>
      <c r="CH169" s="361"/>
      <c r="CI169" s="361"/>
      <c r="CJ169" s="361"/>
      <c r="CK169" s="69"/>
    </row>
    <row r="170" spans="1:89" s="12" customFormat="1" x14ac:dyDescent="0.3">
      <c r="A170" s="15"/>
      <c r="B170" s="65" t="s">
        <v>143</v>
      </c>
      <c r="C170" s="62"/>
      <c r="D170" s="63"/>
      <c r="E170" s="63"/>
      <c r="F170" s="63"/>
      <c r="G170" s="63"/>
      <c r="K170" s="14"/>
      <c r="L170" s="14"/>
      <c r="M170" s="14"/>
      <c r="N170" s="14"/>
      <c r="O170" s="14"/>
      <c r="P170" s="22"/>
      <c r="Q170" s="22"/>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361"/>
      <c r="AZ170" s="361"/>
      <c r="BA170" s="361"/>
      <c r="BB170" s="361"/>
      <c r="BC170" s="361"/>
      <c r="BD170" s="361"/>
      <c r="BE170" s="361"/>
      <c r="BF170" s="361"/>
      <c r="BG170" s="361"/>
      <c r="BH170" s="361"/>
      <c r="BI170" s="361"/>
      <c r="BJ170" s="361"/>
      <c r="BK170" s="361"/>
      <c r="BL170" s="361"/>
      <c r="BM170" s="361"/>
      <c r="BN170" s="361"/>
      <c r="BO170" s="361"/>
      <c r="BP170" s="361"/>
      <c r="BQ170" s="361"/>
      <c r="BR170" s="361"/>
      <c r="BS170" s="361"/>
      <c r="BT170" s="361"/>
      <c r="BU170" s="361"/>
      <c r="BV170" s="361"/>
      <c r="BW170" s="361"/>
      <c r="BX170" s="361"/>
      <c r="BY170" s="361"/>
      <c r="BZ170" s="361"/>
      <c r="CA170" s="361"/>
      <c r="CB170" s="361"/>
      <c r="CC170" s="361"/>
      <c r="CD170" s="361"/>
      <c r="CE170" s="361"/>
      <c r="CF170" s="361"/>
      <c r="CG170" s="361"/>
      <c r="CH170" s="361"/>
      <c r="CI170" s="361"/>
      <c r="CJ170" s="361"/>
      <c r="CK170" s="69"/>
    </row>
    <row r="171" spans="1:89" s="12" customFormat="1" x14ac:dyDescent="0.3">
      <c r="A171" s="15"/>
      <c r="B171" s="65"/>
      <c r="C171" s="62"/>
      <c r="D171" s="63"/>
      <c r="E171" s="63"/>
      <c r="F171" s="63"/>
      <c r="G171" s="63"/>
      <c r="K171" s="14"/>
      <c r="L171" s="14"/>
      <c r="M171" s="14"/>
      <c r="N171" s="14"/>
      <c r="O171" s="14"/>
      <c r="P171" s="22"/>
      <c r="Q171" s="22"/>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361"/>
      <c r="AZ171" s="361"/>
      <c r="BA171" s="361"/>
      <c r="BB171" s="361"/>
      <c r="BC171" s="361"/>
      <c r="BD171" s="361"/>
      <c r="BE171" s="361"/>
      <c r="BF171" s="361"/>
      <c r="BG171" s="361"/>
      <c r="BH171" s="361"/>
      <c r="BI171" s="361"/>
      <c r="BJ171" s="361"/>
      <c r="BK171" s="361"/>
      <c r="BL171" s="361"/>
      <c r="BM171" s="361"/>
      <c r="BN171" s="361"/>
      <c r="BO171" s="361"/>
      <c r="BP171" s="361"/>
      <c r="BQ171" s="361"/>
      <c r="BR171" s="361"/>
      <c r="BS171" s="361"/>
      <c r="BT171" s="361"/>
      <c r="BU171" s="361"/>
      <c r="BV171" s="361"/>
      <c r="BW171" s="361"/>
      <c r="BX171" s="361"/>
      <c r="BY171" s="361"/>
      <c r="BZ171" s="361"/>
      <c r="CA171" s="361"/>
      <c r="CB171" s="361"/>
      <c r="CC171" s="361"/>
      <c r="CD171" s="361"/>
      <c r="CE171" s="361"/>
      <c r="CF171" s="361"/>
      <c r="CG171" s="361"/>
      <c r="CH171" s="361"/>
      <c r="CI171" s="361"/>
      <c r="CJ171" s="361"/>
      <c r="CK171" s="69"/>
    </row>
    <row r="172" spans="1:89" s="12" customFormat="1" ht="63" customHeight="1" x14ac:dyDescent="0.3">
      <c r="A172" s="15"/>
      <c r="B172" s="447" t="s">
        <v>193</v>
      </c>
      <c r="C172" s="448"/>
      <c r="D172" s="448"/>
      <c r="E172" s="448"/>
      <c r="F172" s="448"/>
      <c r="G172" s="448"/>
      <c r="H172" s="449"/>
      <c r="K172" s="14"/>
      <c r="L172" s="14"/>
      <c r="M172" s="14"/>
      <c r="N172" s="14"/>
      <c r="O172" s="14"/>
      <c r="P172" s="22"/>
      <c r="Q172" s="22"/>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361"/>
      <c r="AZ172" s="361"/>
      <c r="BA172" s="361"/>
      <c r="BB172" s="361"/>
      <c r="BC172" s="361"/>
      <c r="BD172" s="361"/>
      <c r="BE172" s="361"/>
      <c r="BF172" s="361"/>
      <c r="BG172" s="361"/>
      <c r="BH172" s="361"/>
      <c r="BI172" s="361"/>
      <c r="BJ172" s="361"/>
      <c r="BK172" s="361"/>
      <c r="BL172" s="361"/>
      <c r="BM172" s="361"/>
      <c r="BN172" s="361"/>
      <c r="BO172" s="361"/>
      <c r="BP172" s="361"/>
      <c r="BQ172" s="361"/>
      <c r="BR172" s="361"/>
      <c r="BS172" s="361"/>
      <c r="BT172" s="361"/>
      <c r="BU172" s="361"/>
      <c r="BV172" s="361"/>
      <c r="BW172" s="361"/>
      <c r="BX172" s="361"/>
      <c r="BY172" s="361"/>
      <c r="BZ172" s="361"/>
      <c r="CA172" s="361"/>
      <c r="CB172" s="361"/>
      <c r="CC172" s="361"/>
      <c r="CD172" s="361"/>
      <c r="CE172" s="361"/>
      <c r="CF172" s="361"/>
      <c r="CG172" s="361"/>
      <c r="CH172" s="361"/>
      <c r="CI172" s="361"/>
      <c r="CJ172" s="361"/>
      <c r="CK172" s="69"/>
    </row>
    <row r="173" spans="1:89" s="12" customFormat="1" ht="62.4" customHeight="1" x14ac:dyDescent="0.3">
      <c r="A173" s="15"/>
      <c r="B173" s="450" t="s">
        <v>192</v>
      </c>
      <c r="C173" s="451"/>
      <c r="D173" s="451"/>
      <c r="E173" s="451"/>
      <c r="F173" s="451"/>
      <c r="G173" s="451"/>
      <c r="H173" s="452"/>
      <c r="K173" s="14"/>
      <c r="L173" s="14"/>
      <c r="M173" s="14"/>
      <c r="N173" s="14"/>
      <c r="O173" s="14"/>
      <c r="P173" s="22"/>
      <c r="Q173" s="22"/>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69"/>
    </row>
    <row r="174" spans="1:89" s="12" customFormat="1" x14ac:dyDescent="0.3">
      <c r="A174" s="15"/>
      <c r="C174" s="66"/>
      <c r="K174" s="14"/>
      <c r="L174" s="14"/>
      <c r="M174" s="14"/>
      <c r="N174" s="14"/>
      <c r="O174" s="14"/>
      <c r="P174" s="22"/>
      <c r="Q174" s="22"/>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69"/>
    </row>
    <row r="175" spans="1:89" s="12" customFormat="1" ht="64.95" customHeight="1" x14ac:dyDescent="0.3">
      <c r="A175" s="15"/>
      <c r="B175" s="445" t="s">
        <v>334</v>
      </c>
      <c r="C175" s="445"/>
      <c r="D175" s="445"/>
      <c r="E175" s="445"/>
      <c r="F175" s="445"/>
      <c r="G175" s="445"/>
      <c r="H175" s="445"/>
      <c r="K175" s="14"/>
      <c r="L175" s="14"/>
      <c r="M175" s="14"/>
      <c r="N175" s="14"/>
      <c r="O175" s="14"/>
      <c r="P175" s="22"/>
      <c r="Q175" s="22"/>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69"/>
    </row>
    <row r="176" spans="1:89" s="12" customFormat="1" x14ac:dyDescent="0.3">
      <c r="A176" s="15"/>
      <c r="B176" s="10"/>
      <c r="C176" s="66"/>
      <c r="K176" s="14"/>
      <c r="L176" s="14"/>
      <c r="M176" s="14"/>
      <c r="N176" s="14"/>
      <c r="O176" s="14"/>
      <c r="P176" s="22"/>
      <c r="Q176" s="22"/>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69"/>
    </row>
    <row r="177" spans="1:89" s="12" customFormat="1" x14ac:dyDescent="0.3">
      <c r="A177" s="15"/>
      <c r="B177" s="10"/>
      <c r="C177" s="66"/>
      <c r="K177" s="14"/>
      <c r="L177" s="14"/>
      <c r="M177" s="14"/>
      <c r="N177" s="14"/>
      <c r="O177" s="14"/>
      <c r="P177" s="22"/>
      <c r="Q177" s="22"/>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69"/>
    </row>
    <row r="178" spans="1:89" s="12" customFormat="1" x14ac:dyDescent="0.3">
      <c r="A178" s="15"/>
      <c r="B178" s="10"/>
      <c r="C178" s="66"/>
      <c r="D178" s="66"/>
      <c r="E178" s="66"/>
      <c r="F178" s="66"/>
      <c r="G178" s="66"/>
      <c r="H178" s="66"/>
      <c r="I178" s="66"/>
      <c r="J178" s="66"/>
      <c r="K178" s="14"/>
      <c r="L178" s="14"/>
      <c r="M178" s="14"/>
      <c r="N178" s="14"/>
      <c r="O178" s="14"/>
      <c r="P178" s="22"/>
      <c r="Q178" s="22"/>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69"/>
    </row>
    <row r="179" spans="1:89" s="12" customFormat="1" x14ac:dyDescent="0.3">
      <c r="A179" s="15"/>
      <c r="B179" s="10"/>
      <c r="C179" s="66"/>
      <c r="K179" s="14"/>
      <c r="L179" s="14"/>
      <c r="M179" s="14"/>
      <c r="N179" s="14"/>
      <c r="O179" s="14"/>
      <c r="P179" s="22"/>
      <c r="Q179" s="22"/>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69"/>
    </row>
    <row r="180" spans="1:89" s="12" customFormat="1" x14ac:dyDescent="0.3">
      <c r="A180" s="15"/>
      <c r="B180" s="10"/>
      <c r="C180" s="66"/>
      <c r="K180" s="14"/>
      <c r="L180" s="14"/>
      <c r="M180" s="14"/>
      <c r="N180" s="14"/>
      <c r="O180" s="14"/>
      <c r="P180" s="22"/>
      <c r="Q180" s="22"/>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69"/>
    </row>
    <row r="181" spans="1:89" s="12" customFormat="1" x14ac:dyDescent="0.3">
      <c r="A181" s="15"/>
      <c r="B181" s="10"/>
      <c r="C181" s="66"/>
      <c r="K181" s="14"/>
      <c r="L181" s="14"/>
      <c r="M181" s="14"/>
      <c r="N181" s="14"/>
      <c r="O181" s="14"/>
      <c r="P181" s="22"/>
      <c r="Q181" s="22"/>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69"/>
    </row>
    <row r="182" spans="1:89" s="12" customFormat="1" x14ac:dyDescent="0.3">
      <c r="A182" s="15"/>
      <c r="B182" s="10"/>
      <c r="C182" s="66"/>
      <c r="K182" s="14"/>
      <c r="L182" s="14"/>
      <c r="M182" s="14"/>
      <c r="N182" s="14"/>
      <c r="O182" s="14"/>
      <c r="P182" s="22"/>
      <c r="Q182" s="22"/>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69"/>
    </row>
    <row r="183" spans="1:89" s="12" customFormat="1" x14ac:dyDescent="0.3">
      <c r="A183" s="15"/>
      <c r="B183" s="10"/>
      <c r="C183" s="66"/>
      <c r="K183" s="14"/>
      <c r="L183" s="14"/>
      <c r="M183" s="14"/>
      <c r="N183" s="14"/>
      <c r="O183" s="14"/>
      <c r="P183" s="22"/>
      <c r="Q183" s="22"/>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69"/>
    </row>
    <row r="184" spans="1:89" s="12" customFormat="1" x14ac:dyDescent="0.3">
      <c r="A184" s="15"/>
      <c r="B184" s="10"/>
      <c r="C184" s="66"/>
      <c r="K184" s="14"/>
      <c r="L184" s="14"/>
      <c r="M184" s="14"/>
      <c r="N184" s="14"/>
      <c r="O184" s="14"/>
      <c r="P184" s="22"/>
      <c r="Q184" s="22"/>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69"/>
    </row>
    <row r="185" spans="1:89" s="12" customFormat="1" x14ac:dyDescent="0.3">
      <c r="A185" s="15"/>
      <c r="B185" s="10"/>
      <c r="C185" s="66"/>
      <c r="K185" s="14"/>
      <c r="L185" s="14"/>
      <c r="M185" s="14"/>
      <c r="N185" s="14"/>
      <c r="O185" s="14"/>
      <c r="P185" s="22"/>
      <c r="Q185" s="22"/>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69"/>
    </row>
    <row r="186" spans="1:89" s="12" customFormat="1" x14ac:dyDescent="0.3">
      <c r="A186" s="15"/>
      <c r="B186" s="10"/>
      <c r="CK186" s="69"/>
    </row>
    <row r="187" spans="1:89" s="12" customFormat="1" x14ac:dyDescent="0.3">
      <c r="A187" s="15"/>
      <c r="B187" s="10"/>
      <c r="C187" s="66"/>
      <c r="K187" s="14"/>
      <c r="L187" s="14"/>
      <c r="M187" s="14"/>
      <c r="N187" s="14"/>
      <c r="O187" s="14"/>
      <c r="P187" s="22"/>
      <c r="Q187" s="22"/>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69"/>
    </row>
    <row r="188" spans="1:89" s="12" customFormat="1" x14ac:dyDescent="0.3">
      <c r="A188" s="15"/>
      <c r="B188" s="10"/>
      <c r="C188" s="66"/>
      <c r="K188" s="14"/>
      <c r="L188" s="14"/>
      <c r="M188" s="14"/>
      <c r="N188" s="14"/>
      <c r="O188" s="14"/>
      <c r="P188" s="22"/>
      <c r="Q188" s="22"/>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69"/>
    </row>
    <row r="189" spans="1:89" s="12" customFormat="1" x14ac:dyDescent="0.3">
      <c r="A189" s="15"/>
      <c r="B189" s="10"/>
      <c r="C189" s="66"/>
      <c r="K189" s="14"/>
      <c r="L189" s="14"/>
      <c r="M189" s="14"/>
      <c r="N189" s="14"/>
      <c r="O189" s="14"/>
      <c r="P189" s="22"/>
      <c r="Q189" s="22"/>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69"/>
    </row>
    <row r="190" spans="1:89" s="12" customFormat="1" x14ac:dyDescent="0.3">
      <c r="A190" s="15"/>
      <c r="B190" s="10"/>
      <c r="C190" s="66"/>
      <c r="K190" s="14"/>
      <c r="L190" s="14"/>
      <c r="M190" s="14"/>
      <c r="N190" s="14"/>
      <c r="O190" s="14"/>
      <c r="P190" s="22"/>
      <c r="Q190" s="22"/>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69"/>
    </row>
    <row r="191" spans="1:89" s="12" customFormat="1" x14ac:dyDescent="0.3">
      <c r="A191" s="15"/>
      <c r="B191" s="10"/>
      <c r="C191" s="66"/>
      <c r="K191" s="14"/>
      <c r="L191" s="14"/>
      <c r="M191" s="14"/>
      <c r="N191" s="14"/>
      <c r="O191" s="14"/>
      <c r="P191" s="22"/>
      <c r="Q191" s="22"/>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69"/>
    </row>
    <row r="192" spans="1:89" s="12" customFormat="1" x14ac:dyDescent="0.3">
      <c r="A192" s="15"/>
      <c r="B192" s="10"/>
      <c r="C192" s="66"/>
      <c r="K192" s="14"/>
      <c r="L192" s="14"/>
      <c r="M192" s="14"/>
      <c r="N192" s="14"/>
      <c r="O192" s="14"/>
      <c r="P192" s="22"/>
      <c r="Q192" s="22"/>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69"/>
    </row>
    <row r="193" spans="1:89" s="12" customFormat="1" x14ac:dyDescent="0.3">
      <c r="A193" s="15"/>
      <c r="B193" s="10"/>
      <c r="C193" s="66"/>
      <c r="K193" s="14"/>
      <c r="L193" s="14"/>
      <c r="M193" s="14"/>
      <c r="N193" s="14"/>
      <c r="O193" s="14"/>
      <c r="P193" s="22"/>
      <c r="Q193" s="22"/>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69"/>
    </row>
    <row r="194" spans="1:89" s="12" customFormat="1" x14ac:dyDescent="0.3">
      <c r="A194" s="15"/>
      <c r="B194" s="10"/>
      <c r="C194" s="66"/>
      <c r="K194" s="14"/>
      <c r="L194" s="14"/>
      <c r="M194" s="14"/>
      <c r="N194" s="14"/>
      <c r="O194" s="14"/>
      <c r="P194" s="22"/>
      <c r="Q194" s="22"/>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69"/>
    </row>
    <row r="195" spans="1:89" s="12" customFormat="1" x14ac:dyDescent="0.3">
      <c r="A195" s="15"/>
      <c r="B195" s="10"/>
      <c r="C195" s="66"/>
      <c r="K195" s="14"/>
      <c r="L195" s="14"/>
      <c r="M195" s="14"/>
      <c r="N195" s="14"/>
      <c r="O195" s="14"/>
      <c r="P195" s="22"/>
      <c r="Q195" s="22"/>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69"/>
    </row>
    <row r="196" spans="1:89" s="12" customFormat="1" x14ac:dyDescent="0.3">
      <c r="A196" s="15"/>
      <c r="B196" s="10"/>
      <c r="C196" s="66"/>
      <c r="K196" s="14"/>
      <c r="L196" s="14"/>
      <c r="M196" s="14"/>
      <c r="N196" s="14"/>
      <c r="O196" s="14"/>
      <c r="P196" s="22"/>
      <c r="Q196" s="22"/>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69"/>
    </row>
    <row r="197" spans="1:89" s="12" customFormat="1" x14ac:dyDescent="0.3">
      <c r="A197" s="15"/>
      <c r="B197" s="10"/>
      <c r="C197" s="66"/>
      <c r="K197" s="14"/>
      <c r="L197" s="14"/>
      <c r="M197" s="14"/>
      <c r="N197" s="14"/>
      <c r="O197" s="14"/>
      <c r="P197" s="22"/>
      <c r="Q197" s="22"/>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69"/>
    </row>
    <row r="198" spans="1:89" s="12" customFormat="1" x14ac:dyDescent="0.3">
      <c r="A198" s="15"/>
      <c r="B198" s="10"/>
      <c r="C198" s="66"/>
      <c r="K198" s="14"/>
      <c r="L198" s="14"/>
      <c r="M198" s="14"/>
      <c r="N198" s="14"/>
      <c r="O198" s="14"/>
      <c r="P198" s="22"/>
      <c r="Q198" s="22"/>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69"/>
    </row>
    <row r="199" spans="1:89" s="12" customFormat="1" x14ac:dyDescent="0.3">
      <c r="A199" s="15"/>
      <c r="B199" s="10"/>
      <c r="C199" s="66"/>
      <c r="K199" s="14"/>
      <c r="L199" s="14"/>
      <c r="M199" s="14"/>
      <c r="N199" s="14"/>
      <c r="O199" s="14"/>
      <c r="P199" s="22"/>
      <c r="Q199" s="22"/>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69"/>
    </row>
    <row r="200" spans="1:89" s="12" customFormat="1" x14ac:dyDescent="0.3">
      <c r="A200" s="15"/>
      <c r="B200" s="10"/>
      <c r="C200" s="66"/>
      <c r="K200" s="14"/>
      <c r="L200" s="14"/>
      <c r="M200" s="14"/>
      <c r="N200" s="14"/>
      <c r="O200" s="14"/>
      <c r="P200" s="22"/>
      <c r="Q200" s="22"/>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69"/>
    </row>
    <row r="201" spans="1:89" s="12" customFormat="1" x14ac:dyDescent="0.3">
      <c r="A201" s="15"/>
      <c r="B201" s="10"/>
      <c r="C201" s="66"/>
      <c r="K201" s="14"/>
      <c r="L201" s="14"/>
      <c r="M201" s="14"/>
      <c r="N201" s="14"/>
      <c r="O201" s="14"/>
      <c r="P201" s="22"/>
      <c r="Q201" s="22"/>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69"/>
    </row>
    <row r="202" spans="1:89" s="12" customFormat="1" x14ac:dyDescent="0.3">
      <c r="A202" s="15"/>
      <c r="B202" s="10"/>
      <c r="C202" s="66"/>
      <c r="K202" s="14"/>
      <c r="L202" s="14"/>
      <c r="M202" s="14"/>
      <c r="N202" s="14"/>
      <c r="O202" s="14"/>
      <c r="P202" s="22"/>
      <c r="Q202" s="22"/>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69"/>
    </row>
    <row r="203" spans="1:89" s="12" customFormat="1" x14ac:dyDescent="0.3">
      <c r="A203" s="15"/>
      <c r="B203" s="10"/>
      <c r="C203" s="66"/>
      <c r="K203" s="14"/>
      <c r="L203" s="14"/>
      <c r="M203" s="14"/>
      <c r="N203" s="14"/>
      <c r="O203" s="14"/>
      <c r="P203" s="22"/>
      <c r="Q203" s="22"/>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69"/>
    </row>
    <row r="204" spans="1:89" s="12" customFormat="1" x14ac:dyDescent="0.3">
      <c r="A204" s="15"/>
      <c r="B204" s="10"/>
      <c r="C204" s="66"/>
      <c r="K204" s="14"/>
      <c r="L204" s="14"/>
      <c r="M204" s="14"/>
      <c r="N204" s="14"/>
      <c r="O204" s="14"/>
      <c r="P204" s="22"/>
      <c r="Q204" s="22"/>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69"/>
    </row>
    <row r="205" spans="1:89" s="12" customFormat="1" x14ac:dyDescent="0.3">
      <c r="A205" s="15"/>
      <c r="B205" s="10"/>
      <c r="C205" s="66"/>
      <c r="K205" s="14"/>
      <c r="L205" s="14"/>
      <c r="M205" s="14"/>
      <c r="N205" s="14"/>
      <c r="O205" s="14"/>
      <c r="P205" s="22"/>
      <c r="Q205" s="22"/>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69"/>
    </row>
    <row r="206" spans="1:89" s="12" customFormat="1" x14ac:dyDescent="0.3">
      <c r="A206" s="15"/>
      <c r="B206" s="10"/>
      <c r="C206" s="66"/>
      <c r="K206" s="14"/>
      <c r="L206" s="14"/>
      <c r="M206" s="14"/>
      <c r="N206" s="14"/>
      <c r="O206" s="14"/>
      <c r="P206" s="22"/>
      <c r="Q206" s="22"/>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69"/>
    </row>
    <row r="207" spans="1:89" s="12" customFormat="1" x14ac:dyDescent="0.3">
      <c r="A207" s="15"/>
      <c r="B207" s="10"/>
      <c r="C207" s="66"/>
      <c r="K207" s="14"/>
      <c r="L207" s="14"/>
      <c r="M207" s="14"/>
      <c r="N207" s="14"/>
      <c r="O207" s="14"/>
      <c r="P207" s="22"/>
      <c r="Q207" s="22"/>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69"/>
    </row>
    <row r="208" spans="1:89" s="12" customFormat="1" x14ac:dyDescent="0.3">
      <c r="A208" s="15"/>
      <c r="B208" s="10"/>
      <c r="C208" s="66"/>
      <c r="K208" s="14"/>
      <c r="L208" s="14"/>
      <c r="M208" s="14"/>
      <c r="N208" s="14"/>
      <c r="O208" s="14"/>
      <c r="P208" s="22"/>
      <c r="Q208" s="22"/>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69"/>
    </row>
    <row r="209" spans="1:89" s="12" customFormat="1" x14ac:dyDescent="0.3">
      <c r="A209" s="15"/>
      <c r="B209" s="10"/>
      <c r="C209" s="66"/>
      <c r="K209" s="14"/>
      <c r="L209" s="14"/>
      <c r="M209" s="14"/>
      <c r="N209" s="14"/>
      <c r="O209" s="14"/>
      <c r="P209" s="22"/>
      <c r="Q209" s="22"/>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69"/>
    </row>
    <row r="210" spans="1:89" s="12" customFormat="1" x14ac:dyDescent="0.3">
      <c r="A210" s="15"/>
      <c r="B210" s="10"/>
      <c r="C210" s="66"/>
      <c r="K210" s="14"/>
      <c r="L210" s="14"/>
      <c r="M210" s="14"/>
      <c r="N210" s="14"/>
      <c r="O210" s="14"/>
      <c r="P210" s="22"/>
      <c r="Q210" s="22"/>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69"/>
    </row>
    <row r="211" spans="1:89" s="12" customFormat="1" x14ac:dyDescent="0.3">
      <c r="A211" s="15"/>
      <c r="B211" s="10"/>
      <c r="C211" s="66"/>
      <c r="K211" s="14"/>
      <c r="L211" s="14"/>
      <c r="M211" s="14"/>
      <c r="N211" s="14"/>
      <c r="O211" s="14"/>
      <c r="P211" s="22"/>
      <c r="Q211" s="22"/>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69"/>
    </row>
    <row r="212" spans="1:89" s="12" customFormat="1" x14ac:dyDescent="0.3">
      <c r="A212" s="15"/>
      <c r="B212" s="10"/>
      <c r="C212" s="66"/>
      <c r="K212" s="14"/>
      <c r="L212" s="14"/>
      <c r="M212" s="14"/>
      <c r="N212" s="14"/>
      <c r="O212" s="14"/>
      <c r="P212" s="22"/>
      <c r="Q212" s="22"/>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69"/>
    </row>
    <row r="213" spans="1:89" s="12" customFormat="1" x14ac:dyDescent="0.3">
      <c r="A213" s="15"/>
      <c r="B213" s="10"/>
      <c r="C213" s="66"/>
      <c r="K213" s="14"/>
      <c r="L213" s="14"/>
      <c r="M213" s="14"/>
      <c r="N213" s="14"/>
      <c r="O213" s="14"/>
      <c r="P213" s="22"/>
      <c r="Q213" s="22"/>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69"/>
    </row>
    <row r="214" spans="1:89" s="12" customFormat="1" x14ac:dyDescent="0.3">
      <c r="A214" s="15"/>
      <c r="B214" s="10"/>
      <c r="C214" s="66"/>
      <c r="K214" s="14"/>
      <c r="L214" s="14"/>
      <c r="M214" s="14"/>
      <c r="N214" s="14"/>
      <c r="O214" s="14"/>
      <c r="P214" s="22"/>
      <c r="Q214" s="22"/>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69"/>
    </row>
    <row r="215" spans="1:89" s="12" customFormat="1" x14ac:dyDescent="0.3">
      <c r="A215" s="15"/>
      <c r="B215" s="10"/>
      <c r="C215" s="66"/>
      <c r="K215" s="14"/>
      <c r="L215" s="14"/>
      <c r="M215" s="14"/>
      <c r="N215" s="14"/>
      <c r="O215" s="14"/>
      <c r="P215" s="22"/>
      <c r="Q215" s="22"/>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69"/>
    </row>
    <row r="216" spans="1:89" s="12" customFormat="1" x14ac:dyDescent="0.3">
      <c r="A216" s="15"/>
      <c r="B216" s="10"/>
      <c r="C216" s="66"/>
      <c r="K216" s="14"/>
      <c r="L216" s="14"/>
      <c r="M216" s="14"/>
      <c r="N216" s="14"/>
      <c r="O216" s="14"/>
      <c r="P216" s="22"/>
      <c r="Q216" s="22"/>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69"/>
    </row>
    <row r="217" spans="1:89" s="12" customFormat="1" x14ac:dyDescent="0.3">
      <c r="A217" s="15"/>
      <c r="B217" s="10"/>
      <c r="C217" s="66"/>
      <c r="K217" s="14"/>
      <c r="L217" s="14"/>
      <c r="M217" s="14"/>
      <c r="N217" s="14"/>
      <c r="O217" s="14"/>
      <c r="P217" s="22"/>
      <c r="Q217" s="22"/>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69"/>
    </row>
    <row r="218" spans="1:89" s="12" customFormat="1" x14ac:dyDescent="0.3">
      <c r="A218" s="15"/>
      <c r="B218" s="10"/>
      <c r="C218" s="66"/>
      <c r="K218" s="14"/>
      <c r="L218" s="14"/>
      <c r="M218" s="14"/>
      <c r="N218" s="14"/>
      <c r="O218" s="14"/>
      <c r="P218" s="22"/>
      <c r="Q218" s="22"/>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69"/>
    </row>
    <row r="219" spans="1:89" s="12" customFormat="1" x14ac:dyDescent="0.3">
      <c r="A219" s="15"/>
      <c r="B219" s="10"/>
      <c r="C219" s="66"/>
      <c r="K219" s="14"/>
      <c r="L219" s="14"/>
      <c r="M219" s="14"/>
      <c r="N219" s="14"/>
      <c r="O219" s="14"/>
      <c r="P219" s="22"/>
      <c r="Q219" s="22"/>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69"/>
    </row>
    <row r="220" spans="1:89" s="12" customFormat="1" x14ac:dyDescent="0.3">
      <c r="A220" s="15"/>
      <c r="B220" s="10"/>
      <c r="C220" s="66"/>
      <c r="K220" s="14"/>
      <c r="L220" s="14"/>
      <c r="M220" s="14"/>
      <c r="N220" s="14"/>
      <c r="O220" s="14"/>
      <c r="P220" s="22"/>
      <c r="Q220" s="22"/>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69"/>
    </row>
    <row r="221" spans="1:89" s="12" customFormat="1" x14ac:dyDescent="0.3">
      <c r="A221" s="15"/>
      <c r="B221" s="10"/>
      <c r="C221" s="66"/>
      <c r="K221" s="14"/>
      <c r="L221" s="14"/>
      <c r="M221" s="14"/>
      <c r="N221" s="14"/>
      <c r="O221" s="14"/>
      <c r="P221" s="22"/>
      <c r="Q221" s="22"/>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69"/>
    </row>
    <row r="222" spans="1:89" s="12" customFormat="1" x14ac:dyDescent="0.3">
      <c r="A222" s="15"/>
      <c r="B222" s="10"/>
      <c r="C222" s="66"/>
      <c r="K222" s="14"/>
      <c r="L222" s="14"/>
      <c r="M222" s="14"/>
      <c r="N222" s="14"/>
      <c r="O222" s="14"/>
      <c r="P222" s="22"/>
      <c r="Q222" s="22"/>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69"/>
    </row>
    <row r="223" spans="1:89" s="12" customFormat="1" x14ac:dyDescent="0.3">
      <c r="A223" s="15"/>
      <c r="B223" s="10"/>
      <c r="C223" s="66"/>
      <c r="K223" s="14"/>
      <c r="L223" s="14"/>
      <c r="M223" s="14"/>
      <c r="N223" s="14"/>
      <c r="O223" s="14"/>
      <c r="P223" s="22"/>
      <c r="Q223" s="22"/>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69"/>
    </row>
    <row r="224" spans="1:89" s="12" customFormat="1" x14ac:dyDescent="0.3">
      <c r="A224" s="15"/>
      <c r="B224" s="10"/>
      <c r="C224" s="66"/>
      <c r="K224" s="14"/>
      <c r="L224" s="14"/>
      <c r="M224" s="14"/>
      <c r="N224" s="14"/>
      <c r="O224" s="14"/>
      <c r="P224" s="22"/>
      <c r="Q224" s="22"/>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69"/>
    </row>
    <row r="225" spans="1:89" s="12" customFormat="1" x14ac:dyDescent="0.3">
      <c r="A225" s="15"/>
      <c r="B225" s="10"/>
      <c r="C225" s="66"/>
      <c r="K225" s="14"/>
      <c r="L225" s="14"/>
      <c r="M225" s="14"/>
      <c r="N225" s="14"/>
      <c r="O225" s="14"/>
      <c r="P225" s="22"/>
      <c r="Q225" s="22"/>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69"/>
    </row>
    <row r="226" spans="1:89" s="12" customFormat="1" x14ac:dyDescent="0.3">
      <c r="A226" s="15"/>
      <c r="B226" s="10"/>
      <c r="C226" s="66"/>
      <c r="K226" s="14"/>
      <c r="L226" s="14"/>
      <c r="M226" s="14"/>
      <c r="N226" s="14"/>
      <c r="O226" s="14"/>
      <c r="P226" s="22"/>
      <c r="Q226" s="22"/>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69"/>
    </row>
    <row r="227" spans="1:89" s="12" customFormat="1" x14ac:dyDescent="0.3">
      <c r="A227" s="15"/>
      <c r="B227" s="10"/>
      <c r="C227" s="66"/>
      <c r="K227" s="14"/>
      <c r="L227" s="14"/>
      <c r="M227" s="14"/>
      <c r="N227" s="14"/>
      <c r="O227" s="14"/>
      <c r="P227" s="22"/>
      <c r="Q227" s="22"/>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69"/>
    </row>
    <row r="228" spans="1:89" s="12" customFormat="1" x14ac:dyDescent="0.3">
      <c r="A228" s="15"/>
      <c r="B228" s="10"/>
      <c r="C228" s="66"/>
      <c r="K228" s="14"/>
      <c r="L228" s="14"/>
      <c r="M228" s="14"/>
      <c r="N228" s="14"/>
      <c r="O228" s="14"/>
      <c r="P228" s="22"/>
      <c r="Q228" s="22"/>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69"/>
    </row>
    <row r="229" spans="1:89" s="12" customFormat="1" x14ac:dyDescent="0.3">
      <c r="A229" s="15"/>
      <c r="B229" s="10"/>
      <c r="C229" s="66"/>
      <c r="K229" s="14"/>
      <c r="L229" s="14"/>
      <c r="M229" s="14"/>
      <c r="N229" s="14"/>
      <c r="O229" s="14"/>
      <c r="P229" s="22"/>
      <c r="Q229" s="22"/>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69"/>
    </row>
    <row r="230" spans="1:89" s="12" customFormat="1" x14ac:dyDescent="0.3">
      <c r="A230" s="15"/>
      <c r="B230" s="10"/>
      <c r="C230" s="66"/>
      <c r="K230" s="14"/>
      <c r="L230" s="14"/>
      <c r="M230" s="14"/>
      <c r="N230" s="14"/>
      <c r="O230" s="14"/>
      <c r="P230" s="22"/>
      <c r="Q230" s="22"/>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69"/>
    </row>
    <row r="231" spans="1:89" s="12" customFormat="1" x14ac:dyDescent="0.3">
      <c r="A231" s="15"/>
      <c r="B231" s="10"/>
      <c r="C231" s="66"/>
      <c r="K231" s="14"/>
      <c r="L231" s="14"/>
      <c r="M231" s="14"/>
      <c r="N231" s="14"/>
      <c r="O231" s="14"/>
      <c r="P231" s="22"/>
      <c r="Q231" s="22"/>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69"/>
    </row>
    <row r="232" spans="1:89" s="12" customFormat="1" x14ac:dyDescent="0.3">
      <c r="A232" s="15"/>
      <c r="B232" s="10"/>
      <c r="C232" s="66"/>
      <c r="K232" s="14"/>
      <c r="L232" s="14"/>
      <c r="M232" s="14"/>
      <c r="N232" s="14"/>
      <c r="O232" s="14"/>
      <c r="P232" s="22"/>
      <c r="Q232" s="22"/>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69"/>
    </row>
    <row r="233" spans="1:89" s="12" customFormat="1" x14ac:dyDescent="0.3">
      <c r="A233" s="15"/>
      <c r="B233" s="10"/>
      <c r="C233" s="66"/>
      <c r="K233" s="14"/>
      <c r="L233" s="14"/>
      <c r="M233" s="14"/>
      <c r="N233" s="14"/>
      <c r="O233" s="14"/>
      <c r="P233" s="22"/>
      <c r="Q233" s="22"/>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69"/>
    </row>
    <row r="234" spans="1:89" s="12" customFormat="1" x14ac:dyDescent="0.3">
      <c r="A234" s="15"/>
      <c r="B234" s="10"/>
      <c r="C234" s="66"/>
      <c r="K234" s="14"/>
      <c r="L234" s="14"/>
      <c r="M234" s="14"/>
      <c r="N234" s="14"/>
      <c r="O234" s="14"/>
      <c r="P234" s="22"/>
      <c r="Q234" s="22"/>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69"/>
    </row>
    <row r="235" spans="1:89" s="12" customFormat="1" x14ac:dyDescent="0.3">
      <c r="A235" s="15"/>
      <c r="B235" s="10"/>
      <c r="C235" s="66"/>
      <c r="K235" s="14"/>
      <c r="L235" s="14"/>
      <c r="M235" s="14"/>
      <c r="N235" s="14"/>
      <c r="O235" s="14"/>
      <c r="P235" s="22"/>
      <c r="Q235" s="22"/>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69"/>
    </row>
    <row r="236" spans="1:89" s="12" customFormat="1" x14ac:dyDescent="0.3">
      <c r="A236" s="15"/>
      <c r="B236" s="10"/>
      <c r="C236" s="66"/>
      <c r="K236" s="14"/>
      <c r="L236" s="14"/>
      <c r="M236" s="14"/>
      <c r="N236" s="14"/>
      <c r="O236" s="14"/>
      <c r="P236" s="22"/>
      <c r="Q236" s="22"/>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69"/>
    </row>
    <row r="237" spans="1:89" s="12" customFormat="1" x14ac:dyDescent="0.3">
      <c r="A237" s="15"/>
      <c r="B237" s="10"/>
      <c r="C237" s="66"/>
      <c r="K237" s="14"/>
      <c r="L237" s="14"/>
      <c r="M237" s="14"/>
      <c r="N237" s="14"/>
      <c r="O237" s="14"/>
      <c r="P237" s="22"/>
      <c r="Q237" s="22"/>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69"/>
    </row>
    <row r="238" spans="1:89" s="12" customFormat="1" x14ac:dyDescent="0.3">
      <c r="A238" s="15"/>
      <c r="B238" s="10"/>
      <c r="C238" s="66"/>
      <c r="K238" s="14"/>
      <c r="L238" s="14"/>
      <c r="M238" s="14"/>
      <c r="N238" s="14"/>
      <c r="O238" s="14"/>
      <c r="P238" s="22"/>
      <c r="Q238" s="22"/>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69"/>
    </row>
    <row r="239" spans="1:89" s="12" customFormat="1" x14ac:dyDescent="0.3">
      <c r="A239" s="15"/>
      <c r="B239" s="10"/>
      <c r="C239" s="66"/>
      <c r="K239" s="14"/>
      <c r="L239" s="14"/>
      <c r="M239" s="14"/>
      <c r="N239" s="14"/>
      <c r="O239" s="14"/>
      <c r="P239" s="22"/>
      <c r="Q239" s="22"/>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69"/>
    </row>
    <row r="240" spans="1:89" s="12" customFormat="1" x14ac:dyDescent="0.3">
      <c r="A240" s="15"/>
      <c r="B240" s="10"/>
      <c r="C240" s="66"/>
      <c r="K240" s="14"/>
      <c r="L240" s="14"/>
      <c r="M240" s="14"/>
      <c r="N240" s="14"/>
      <c r="O240" s="14"/>
      <c r="P240" s="22"/>
      <c r="Q240" s="22"/>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69"/>
    </row>
    <row r="241" spans="1:89" s="12" customFormat="1" x14ac:dyDescent="0.3">
      <c r="A241" s="15"/>
      <c r="B241" s="10"/>
      <c r="C241" s="66"/>
      <c r="K241" s="14"/>
      <c r="L241" s="14"/>
      <c r="M241" s="14"/>
      <c r="N241" s="14"/>
      <c r="O241" s="14"/>
      <c r="P241" s="22"/>
      <c r="Q241" s="22"/>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69"/>
    </row>
    <row r="242" spans="1:89" s="12" customFormat="1" x14ac:dyDescent="0.3">
      <c r="A242" s="15"/>
      <c r="B242" s="10"/>
      <c r="C242" s="66"/>
      <c r="K242" s="14"/>
      <c r="L242" s="14"/>
      <c r="M242" s="14"/>
      <c r="N242" s="14"/>
      <c r="O242" s="14"/>
      <c r="P242" s="22"/>
      <c r="Q242" s="22"/>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69"/>
    </row>
    <row r="243" spans="1:89" s="12" customFormat="1" x14ac:dyDescent="0.3">
      <c r="A243" s="15"/>
      <c r="B243" s="10"/>
      <c r="C243" s="66"/>
      <c r="K243" s="14"/>
      <c r="L243" s="14"/>
      <c r="M243" s="14"/>
      <c r="N243" s="14"/>
      <c r="O243" s="14"/>
      <c r="P243" s="22"/>
      <c r="Q243" s="22"/>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69"/>
    </row>
    <row r="244" spans="1:89" s="12" customFormat="1" x14ac:dyDescent="0.3">
      <c r="A244" s="15"/>
      <c r="B244" s="10"/>
      <c r="C244" s="66"/>
      <c r="K244" s="14"/>
      <c r="L244" s="14"/>
      <c r="M244" s="14"/>
      <c r="N244" s="14"/>
      <c r="O244" s="14"/>
      <c r="P244" s="22"/>
      <c r="Q244" s="22"/>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69"/>
    </row>
    <row r="245" spans="1:89" s="12" customFormat="1" x14ac:dyDescent="0.3">
      <c r="A245" s="15"/>
      <c r="B245" s="10"/>
      <c r="C245" s="66"/>
      <c r="K245" s="14"/>
      <c r="L245" s="14"/>
      <c r="M245" s="14"/>
      <c r="N245" s="14"/>
      <c r="O245" s="14"/>
      <c r="P245" s="22"/>
      <c r="Q245" s="22"/>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69"/>
    </row>
    <row r="246" spans="1:89" s="12" customFormat="1" x14ac:dyDescent="0.3">
      <c r="A246" s="15"/>
      <c r="B246" s="10"/>
      <c r="C246" s="66"/>
      <c r="K246" s="14"/>
      <c r="L246" s="14"/>
      <c r="M246" s="14"/>
      <c r="N246" s="14"/>
      <c r="O246" s="14"/>
      <c r="P246" s="22"/>
      <c r="Q246" s="22"/>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69"/>
    </row>
    <row r="247" spans="1:89" s="12" customFormat="1" x14ac:dyDescent="0.3">
      <c r="A247" s="15"/>
      <c r="B247" s="10"/>
      <c r="C247" s="66"/>
      <c r="K247" s="14"/>
      <c r="L247" s="14"/>
      <c r="M247" s="14"/>
      <c r="N247" s="14"/>
      <c r="O247" s="14"/>
      <c r="P247" s="22"/>
      <c r="Q247" s="22"/>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69"/>
    </row>
    <row r="248" spans="1:89" s="12" customFormat="1" x14ac:dyDescent="0.3">
      <c r="A248" s="15"/>
      <c r="B248" s="10"/>
      <c r="C248" s="66"/>
      <c r="K248" s="14"/>
      <c r="L248" s="14"/>
      <c r="M248" s="14"/>
      <c r="N248" s="14"/>
      <c r="O248" s="14"/>
      <c r="P248" s="22"/>
      <c r="Q248" s="22"/>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69"/>
    </row>
    <row r="249" spans="1:89" s="12" customFormat="1" x14ac:dyDescent="0.3">
      <c r="A249" s="15"/>
      <c r="B249" s="10"/>
      <c r="C249" s="66"/>
      <c r="K249" s="14"/>
      <c r="L249" s="14"/>
      <c r="M249" s="14"/>
      <c r="N249" s="14"/>
      <c r="O249" s="14"/>
      <c r="P249" s="22"/>
      <c r="Q249" s="22"/>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69"/>
    </row>
    <row r="250" spans="1:89" s="12" customFormat="1" x14ac:dyDescent="0.3">
      <c r="A250" s="15"/>
      <c r="B250" s="10"/>
      <c r="C250" s="66"/>
      <c r="K250" s="14"/>
      <c r="L250" s="14"/>
      <c r="M250" s="14"/>
      <c r="N250" s="14"/>
      <c r="O250" s="14"/>
      <c r="P250" s="22"/>
      <c r="Q250" s="22"/>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69"/>
    </row>
    <row r="251" spans="1:89" s="12" customFormat="1" x14ac:dyDescent="0.3">
      <c r="A251" s="15"/>
      <c r="B251" s="10"/>
      <c r="C251" s="66"/>
      <c r="K251" s="14"/>
      <c r="L251" s="14"/>
      <c r="M251" s="14"/>
      <c r="N251" s="14"/>
      <c r="O251" s="14"/>
      <c r="P251" s="22"/>
      <c r="Q251" s="22"/>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69"/>
    </row>
    <row r="252" spans="1:89" s="12" customFormat="1" x14ac:dyDescent="0.3">
      <c r="A252" s="15"/>
      <c r="B252" s="10"/>
      <c r="C252" s="66"/>
      <c r="K252" s="14"/>
      <c r="L252" s="14"/>
      <c r="M252" s="14"/>
      <c r="N252" s="14"/>
      <c r="O252" s="14"/>
      <c r="P252" s="22"/>
      <c r="Q252" s="22"/>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69"/>
    </row>
    <row r="253" spans="1:89" s="12" customFormat="1" x14ac:dyDescent="0.3">
      <c r="A253" s="15"/>
      <c r="B253" s="10"/>
      <c r="C253" s="66"/>
      <c r="K253" s="14"/>
      <c r="L253" s="14"/>
      <c r="M253" s="14"/>
      <c r="N253" s="14"/>
      <c r="O253" s="14"/>
      <c r="P253" s="22"/>
      <c r="Q253" s="22"/>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69"/>
    </row>
    <row r="254" spans="1:89" s="12" customFormat="1" x14ac:dyDescent="0.3">
      <c r="A254" s="15"/>
      <c r="B254" s="10"/>
      <c r="C254" s="10"/>
      <c r="K254" s="14"/>
      <c r="L254" s="14"/>
      <c r="M254" s="14"/>
      <c r="N254" s="14"/>
      <c r="O254" s="14"/>
      <c r="P254" s="22"/>
      <c r="Q254" s="22"/>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69"/>
    </row>
    <row r="255" spans="1:89" s="12" customFormat="1" x14ac:dyDescent="0.3">
      <c r="A255" s="15"/>
      <c r="B255" s="10"/>
      <c r="C255" s="10"/>
      <c r="K255" s="14"/>
      <c r="L255" s="14"/>
      <c r="M255" s="14"/>
      <c r="N255" s="14"/>
      <c r="O255" s="14"/>
      <c r="P255" s="22"/>
      <c r="Q255" s="22"/>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69"/>
    </row>
    <row r="256" spans="1:89" s="12" customFormat="1" x14ac:dyDescent="0.3">
      <c r="A256" s="15"/>
      <c r="B256" s="10"/>
      <c r="C256" s="10"/>
      <c r="K256" s="14"/>
      <c r="L256" s="14"/>
      <c r="M256" s="14"/>
      <c r="N256" s="14"/>
      <c r="O256" s="14"/>
      <c r="P256" s="22"/>
      <c r="Q256" s="22"/>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69"/>
    </row>
    <row r="257" spans="1:89" s="12" customFormat="1" x14ac:dyDescent="0.3">
      <c r="A257" s="15"/>
      <c r="B257" s="10"/>
      <c r="C257" s="10"/>
      <c r="K257" s="14"/>
      <c r="L257" s="14"/>
      <c r="M257" s="14"/>
      <c r="N257" s="14"/>
      <c r="O257" s="14"/>
      <c r="P257" s="22"/>
      <c r="Q257" s="22"/>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69"/>
    </row>
    <row r="258" spans="1:89" s="12" customFormat="1" x14ac:dyDescent="0.3">
      <c r="A258" s="15"/>
      <c r="B258" s="10"/>
      <c r="C258" s="10"/>
      <c r="K258" s="14"/>
      <c r="L258" s="14"/>
      <c r="M258" s="14"/>
      <c r="N258" s="14"/>
      <c r="O258" s="14"/>
      <c r="P258" s="22"/>
      <c r="Q258" s="22"/>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69"/>
    </row>
    <row r="259" spans="1:89" x14ac:dyDescent="0.3">
      <c r="C259" s="66"/>
    </row>
    <row r="264" spans="1:89" x14ac:dyDescent="0.3">
      <c r="C264" s="66"/>
      <c r="D264" s="67"/>
    </row>
    <row r="265" spans="1:89" x14ac:dyDescent="0.3">
      <c r="B265" s="68"/>
      <c r="C265" s="14"/>
      <c r="D265" s="69"/>
    </row>
    <row r="266" spans="1:89" x14ac:dyDescent="0.3">
      <c r="B266" s="68"/>
      <c r="C266" s="14"/>
      <c r="D266" s="69"/>
    </row>
    <row r="267" spans="1:89" x14ac:dyDescent="0.3">
      <c r="B267" s="68"/>
      <c r="C267" s="14"/>
      <c r="D267" s="69"/>
    </row>
    <row r="268" spans="1:89" x14ac:dyDescent="0.3">
      <c r="B268" s="68"/>
      <c r="C268" s="14"/>
      <c r="D268" s="69"/>
    </row>
    <row r="269" spans="1:89" x14ac:dyDescent="0.3">
      <c r="C269" s="14"/>
      <c r="D269" s="69"/>
    </row>
    <row r="270" spans="1:89" x14ac:dyDescent="0.3">
      <c r="C270" s="14"/>
      <c r="D270" s="69"/>
    </row>
    <row r="271" spans="1:89" x14ac:dyDescent="0.3">
      <c r="C271" s="14"/>
      <c r="D271" s="67"/>
    </row>
    <row r="272" spans="1:89" x14ac:dyDescent="0.3">
      <c r="B272" s="70"/>
      <c r="C272" s="334"/>
      <c r="D272" s="70"/>
    </row>
    <row r="273" spans="2:88" x14ac:dyDescent="0.3">
      <c r="B273" s="70"/>
      <c r="C273" s="334"/>
      <c r="D273" s="70"/>
    </row>
    <row r="274" spans="2:88" x14ac:dyDescent="0.3">
      <c r="B274" s="70"/>
      <c r="C274" s="334"/>
      <c r="D274" s="70"/>
    </row>
    <row r="275" spans="2:88" x14ac:dyDescent="0.3">
      <c r="B275" s="70"/>
      <c r="C275" s="334"/>
      <c r="D275" s="70"/>
    </row>
    <row r="276" spans="2:88" x14ac:dyDescent="0.3">
      <c r="B276" s="70"/>
      <c r="C276" s="334"/>
      <c r="D276" s="70"/>
    </row>
    <row r="277" spans="2:88" x14ac:dyDescent="0.3">
      <c r="B277" s="70"/>
      <c r="C277" s="334"/>
      <c r="D277" s="70"/>
    </row>
    <row r="278" spans="2:88" x14ac:dyDescent="0.3">
      <c r="B278" s="68"/>
      <c r="C278" s="66"/>
    </row>
    <row r="279" spans="2:88" x14ac:dyDescent="0.3">
      <c r="B279" s="68"/>
      <c r="C279" s="66"/>
    </row>
    <row r="280" spans="2:88" x14ac:dyDescent="0.3">
      <c r="B280" s="68"/>
      <c r="C280" s="66"/>
    </row>
    <row r="281" spans="2:88" x14ac:dyDescent="0.3">
      <c r="B281" s="68"/>
      <c r="C281" s="66"/>
    </row>
    <row r="282" spans="2:88" x14ac:dyDescent="0.3">
      <c r="B282" s="68"/>
      <c r="C282" s="66"/>
    </row>
    <row r="283" spans="2:88" x14ac:dyDescent="0.3">
      <c r="B283" s="68"/>
      <c r="C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row>
    <row r="284" spans="2:88" x14ac:dyDescent="0.3">
      <c r="B284" s="68"/>
      <c r="C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row>
    <row r="285" spans="2:88" x14ac:dyDescent="0.3">
      <c r="B285" s="68"/>
      <c r="C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row>
    <row r="286" spans="2:88" x14ac:dyDescent="0.3">
      <c r="B286" s="68"/>
      <c r="C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row>
    <row r="287" spans="2:88" x14ac:dyDescent="0.3">
      <c r="B287" s="68"/>
      <c r="C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row>
    <row r="288" spans="2:88" x14ac:dyDescent="0.3">
      <c r="B288" s="68"/>
      <c r="C288" s="66"/>
    </row>
    <row r="289" spans="2:3" x14ac:dyDescent="0.3">
      <c r="B289" s="68"/>
      <c r="C289" s="66"/>
    </row>
    <row r="290" spans="2:3" x14ac:dyDescent="0.3">
      <c r="B290" s="68"/>
      <c r="C290" s="66"/>
    </row>
    <row r="291" spans="2:3" x14ac:dyDescent="0.3">
      <c r="B291" s="68"/>
      <c r="C291" s="66"/>
    </row>
    <row r="292" spans="2:3" x14ac:dyDescent="0.3">
      <c r="B292" s="68"/>
      <c r="C292" s="66"/>
    </row>
    <row r="293" spans="2:3" x14ac:dyDescent="0.3">
      <c r="B293" s="68"/>
      <c r="C293" s="66"/>
    </row>
    <row r="294" spans="2:3" x14ac:dyDescent="0.3">
      <c r="B294" s="68"/>
      <c r="C294" s="66"/>
    </row>
    <row r="295" spans="2:3" x14ac:dyDescent="0.3">
      <c r="B295" s="68"/>
      <c r="C295" s="66"/>
    </row>
    <row r="296" spans="2:3" x14ac:dyDescent="0.3">
      <c r="B296" s="68"/>
      <c r="C296" s="66"/>
    </row>
    <row r="297" spans="2:3" x14ac:dyDescent="0.3">
      <c r="B297" s="68"/>
      <c r="C297" s="66"/>
    </row>
    <row r="298" spans="2:3" x14ac:dyDescent="0.3">
      <c r="B298" s="68"/>
      <c r="C298" s="66"/>
    </row>
    <row r="299" spans="2:3" x14ac:dyDescent="0.3">
      <c r="B299" s="68"/>
      <c r="C299" s="66"/>
    </row>
    <row r="300" spans="2:3" x14ac:dyDescent="0.3">
      <c r="B300" s="68"/>
      <c r="C300" s="66"/>
    </row>
    <row r="301" spans="2:3" x14ac:dyDescent="0.3">
      <c r="B301" s="68"/>
      <c r="C301" s="66"/>
    </row>
    <row r="302" spans="2:3" x14ac:dyDescent="0.3">
      <c r="B302" s="68"/>
      <c r="C302" s="66"/>
    </row>
    <row r="303" spans="2:3" x14ac:dyDescent="0.3">
      <c r="B303" s="68"/>
      <c r="C303" s="66"/>
    </row>
    <row r="304" spans="2:3" x14ac:dyDescent="0.3">
      <c r="B304" s="68"/>
      <c r="C304" s="66"/>
    </row>
    <row r="305" spans="2:3" x14ac:dyDescent="0.3">
      <c r="B305" s="68"/>
      <c r="C305" s="66"/>
    </row>
    <row r="306" spans="2:3" x14ac:dyDescent="0.3">
      <c r="B306" s="68"/>
      <c r="C306" s="66"/>
    </row>
    <row r="307" spans="2:3" x14ac:dyDescent="0.3">
      <c r="B307" s="68"/>
      <c r="C307" s="66"/>
    </row>
    <row r="308" spans="2:3" x14ac:dyDescent="0.3">
      <c r="B308" s="68"/>
      <c r="C308" s="66"/>
    </row>
    <row r="309" spans="2:3" x14ac:dyDescent="0.3">
      <c r="B309" s="68"/>
      <c r="C309" s="66"/>
    </row>
    <row r="310" spans="2:3" x14ac:dyDescent="0.3">
      <c r="B310" s="68"/>
      <c r="C310" s="66"/>
    </row>
    <row r="311" spans="2:3" x14ac:dyDescent="0.3">
      <c r="B311" s="68"/>
      <c r="C311" s="66"/>
    </row>
    <row r="312" spans="2:3" x14ac:dyDescent="0.3">
      <c r="B312" s="68"/>
      <c r="C312" s="66"/>
    </row>
    <row r="313" spans="2:3" x14ac:dyDescent="0.3">
      <c r="B313" s="68"/>
      <c r="C313" s="66"/>
    </row>
    <row r="314" spans="2:3" x14ac:dyDescent="0.3">
      <c r="B314" s="68"/>
      <c r="C314" s="66"/>
    </row>
    <row r="315" spans="2:3" x14ac:dyDescent="0.3">
      <c r="B315" s="68"/>
      <c r="C315" s="66"/>
    </row>
    <row r="316" spans="2:3" x14ac:dyDescent="0.3">
      <c r="B316" s="68"/>
      <c r="C316" s="66"/>
    </row>
    <row r="317" spans="2:3" x14ac:dyDescent="0.3">
      <c r="B317" s="68"/>
      <c r="C317" s="66"/>
    </row>
    <row r="318" spans="2:3" x14ac:dyDescent="0.3">
      <c r="B318" s="68"/>
      <c r="C318" s="66"/>
    </row>
    <row r="319" spans="2:3" x14ac:dyDescent="0.3">
      <c r="B319" s="68"/>
      <c r="C319" s="66"/>
    </row>
    <row r="320" spans="2:3" x14ac:dyDescent="0.3">
      <c r="B320" s="68"/>
      <c r="C320" s="66"/>
    </row>
  </sheetData>
  <mergeCells count="5">
    <mergeCell ref="B175:H175"/>
    <mergeCell ref="B5:M5"/>
    <mergeCell ref="B172:H172"/>
    <mergeCell ref="B173:H173"/>
    <mergeCell ref="B6:M6"/>
  </mergeCells>
  <hyperlinks>
    <hyperlink ref="A1" location="Indice!A1" display="A.1"/>
  </hyperlinks>
  <pageMargins left="0.31496062992125984" right="0.31496062992125984" top="0.35433070866141736" bottom="0.35433070866141736" header="0.31496062992125984" footer="0.31496062992125984"/>
  <pageSetup paperSize="9" scale="10"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CK56"/>
  <sheetViews>
    <sheetView zoomScale="80" zoomScaleNormal="80" workbookViewId="0">
      <pane xSplit="2" ySplit="14" topLeftCell="C15" activePane="bottomRight" state="frozen"/>
      <selection pane="topRight" activeCell="C1" sqref="C1"/>
      <selection pane="bottomLeft" activeCell="A15" sqref="A15"/>
      <selection pane="bottomRight" activeCell="B2" sqref="B2"/>
    </sheetView>
  </sheetViews>
  <sheetFormatPr baseColWidth="10" defaultColWidth="11.44140625" defaultRowHeight="15" x14ac:dyDescent="0.3"/>
  <cols>
    <col min="1" max="1" width="8.33203125" style="1" customWidth="1"/>
    <col min="2" max="2" width="80.44140625" style="73" customWidth="1"/>
    <col min="3" max="5" width="13.6640625" style="73" customWidth="1"/>
    <col min="6" max="35" width="13.6640625" style="128" customWidth="1"/>
    <col min="36" max="65" width="13.6640625" style="290" customWidth="1"/>
    <col min="66" max="88" width="14.109375" style="290" customWidth="1"/>
    <col min="89" max="89" width="13.5546875" style="73" customWidth="1"/>
    <col min="90" max="16384" width="11.44140625" style="1"/>
  </cols>
  <sheetData>
    <row r="1" spans="1:89" x14ac:dyDescent="0.3">
      <c r="A1" s="7" t="s">
        <v>108</v>
      </c>
      <c r="B1" s="71"/>
      <c r="C1" s="72"/>
      <c r="D1" s="270"/>
      <c r="E1" s="270"/>
      <c r="F1" s="270"/>
      <c r="G1" s="270"/>
      <c r="H1" s="270"/>
      <c r="I1" s="270"/>
      <c r="J1" s="270"/>
      <c r="K1" s="270"/>
      <c r="L1" s="270"/>
      <c r="M1" s="270"/>
      <c r="N1" s="270"/>
      <c r="O1" s="270"/>
      <c r="P1" s="270"/>
      <c r="Q1" s="270"/>
      <c r="R1" s="270"/>
      <c r="S1" s="270"/>
      <c r="T1" s="270"/>
      <c r="U1" s="270"/>
      <c r="V1" s="270"/>
      <c r="W1" s="270"/>
      <c r="X1" s="270"/>
      <c r="Y1" s="270"/>
      <c r="Z1" s="270"/>
      <c r="AA1" s="270"/>
      <c r="AB1" s="270"/>
      <c r="AC1" s="270"/>
      <c r="AD1" s="270"/>
      <c r="AE1" s="270"/>
      <c r="AF1" s="270"/>
      <c r="AG1" s="270"/>
      <c r="AH1" s="270"/>
      <c r="AI1" s="270"/>
      <c r="AJ1" s="270"/>
      <c r="AK1" s="270"/>
      <c r="AL1" s="270"/>
      <c r="AM1" s="270"/>
      <c r="AN1" s="270"/>
      <c r="AO1" s="270"/>
      <c r="AP1" s="270"/>
      <c r="AQ1" s="270"/>
      <c r="AR1" s="270"/>
      <c r="AS1" s="270"/>
      <c r="AT1" s="270"/>
      <c r="AU1" s="270"/>
      <c r="AV1" s="270"/>
      <c r="AW1" s="270"/>
      <c r="AX1" s="270"/>
      <c r="AY1" s="270"/>
      <c r="AZ1" s="270"/>
      <c r="BA1" s="270"/>
      <c r="BB1" s="270"/>
      <c r="BC1" s="270"/>
      <c r="BD1" s="270"/>
      <c r="BE1" s="270"/>
      <c r="BF1" s="270"/>
      <c r="BG1" s="270"/>
      <c r="BH1" s="270"/>
      <c r="BI1" s="270"/>
      <c r="BJ1" s="270"/>
      <c r="BK1" s="270"/>
      <c r="BL1" s="270"/>
      <c r="BM1" s="270"/>
      <c r="BN1" s="270"/>
      <c r="BO1" s="270"/>
      <c r="BP1" s="270"/>
      <c r="BQ1" s="270"/>
      <c r="BR1" s="270"/>
      <c r="BS1" s="270"/>
      <c r="BT1" s="270"/>
      <c r="BU1" s="270"/>
      <c r="BV1" s="270"/>
      <c r="BW1" s="270"/>
      <c r="BX1" s="270"/>
      <c r="BY1" s="270"/>
      <c r="BZ1" s="270"/>
      <c r="CA1" s="270"/>
      <c r="CB1" s="270"/>
      <c r="CC1" s="270"/>
      <c r="CD1" s="270"/>
      <c r="CE1" s="270"/>
      <c r="CF1" s="270"/>
      <c r="CG1" s="270"/>
      <c r="CH1" s="270"/>
      <c r="CI1" s="270"/>
      <c r="CJ1" s="270"/>
    </row>
    <row r="2" spans="1:89" ht="16.2" x14ac:dyDescent="0.3">
      <c r="A2" s="74"/>
      <c r="B2" s="75" t="s">
        <v>183</v>
      </c>
      <c r="C2" s="76"/>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72"/>
      <c r="BC2" s="272"/>
      <c r="BD2" s="272"/>
      <c r="BE2" s="272"/>
      <c r="BF2" s="272"/>
      <c r="BG2" s="272"/>
      <c r="BH2" s="272"/>
      <c r="BI2" s="272"/>
      <c r="BJ2" s="272"/>
      <c r="BK2" s="272"/>
      <c r="BL2" s="272"/>
      <c r="BM2" s="272"/>
      <c r="BN2" s="272"/>
      <c r="BO2" s="272"/>
      <c r="BP2" s="272"/>
      <c r="BQ2" s="272"/>
      <c r="BR2" s="272"/>
      <c r="BS2" s="272"/>
      <c r="BT2" s="272"/>
      <c r="BU2" s="272"/>
      <c r="BV2" s="272"/>
      <c r="BW2" s="272"/>
      <c r="BX2" s="272"/>
      <c r="BY2" s="272"/>
      <c r="BZ2" s="272"/>
      <c r="CA2" s="272"/>
      <c r="CB2" s="272"/>
      <c r="CC2" s="272"/>
      <c r="CD2" s="272"/>
      <c r="CE2" s="272"/>
      <c r="CF2" s="272"/>
      <c r="CG2" s="272"/>
      <c r="CH2" s="272"/>
      <c r="CI2" s="272"/>
      <c r="CJ2" s="272"/>
      <c r="CK2" s="77"/>
    </row>
    <row r="3" spans="1:89" ht="16.2" x14ac:dyDescent="0.3">
      <c r="A3" s="78"/>
      <c r="B3" s="79" t="s">
        <v>0</v>
      </c>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272"/>
      <c r="AK3" s="272"/>
      <c r="AL3" s="272"/>
      <c r="AM3" s="272"/>
      <c r="AN3" s="272"/>
      <c r="AO3" s="272"/>
      <c r="AP3" s="272"/>
      <c r="AQ3" s="272"/>
      <c r="AR3" s="272"/>
      <c r="AS3" s="272"/>
      <c r="AT3" s="272"/>
      <c r="AU3" s="272"/>
      <c r="AV3" s="272"/>
      <c r="AW3" s="272"/>
      <c r="AX3" s="272"/>
      <c r="AY3" s="272"/>
      <c r="AZ3" s="272"/>
      <c r="BA3" s="272"/>
      <c r="BB3" s="272"/>
      <c r="BC3" s="272"/>
      <c r="BD3" s="272"/>
      <c r="BE3" s="272"/>
      <c r="BF3" s="272"/>
      <c r="BG3" s="272"/>
      <c r="BH3" s="272"/>
      <c r="BI3" s="272"/>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74"/>
    </row>
    <row r="4" spans="1:89" ht="3.9" customHeight="1" x14ac:dyDescent="0.3">
      <c r="B4" s="80"/>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273"/>
      <c r="AK4" s="273"/>
      <c r="AL4" s="273"/>
      <c r="AM4" s="273"/>
      <c r="AN4" s="273"/>
      <c r="AO4" s="273"/>
      <c r="AP4" s="273"/>
      <c r="AQ4" s="273"/>
      <c r="AR4" s="273"/>
      <c r="AS4" s="273"/>
      <c r="AT4" s="273"/>
      <c r="AU4" s="273"/>
      <c r="AV4" s="273"/>
      <c r="AW4" s="273"/>
      <c r="AX4" s="273"/>
      <c r="AY4" s="273"/>
      <c r="AZ4" s="273"/>
      <c r="BA4" s="273"/>
      <c r="BB4" s="273"/>
      <c r="BC4" s="273"/>
      <c r="BD4" s="273"/>
      <c r="BE4" s="273"/>
      <c r="BF4" s="273"/>
      <c r="BG4" s="273"/>
      <c r="BH4" s="273"/>
      <c r="BI4" s="273"/>
      <c r="BJ4" s="273"/>
      <c r="BK4" s="273"/>
      <c r="BL4" s="273"/>
      <c r="BM4" s="273"/>
      <c r="BN4" s="273"/>
      <c r="BO4" s="273"/>
      <c r="BP4" s="273"/>
      <c r="BQ4" s="273"/>
      <c r="BR4" s="273"/>
      <c r="BS4" s="273"/>
      <c r="BT4" s="273"/>
      <c r="BU4" s="273"/>
      <c r="BV4" s="273"/>
      <c r="BW4" s="273"/>
      <c r="BX4" s="273"/>
      <c r="BY4" s="273"/>
      <c r="BZ4" s="273"/>
      <c r="CA4" s="273"/>
      <c r="CB4" s="273"/>
      <c r="CC4" s="273"/>
      <c r="CD4" s="273"/>
      <c r="CE4" s="273"/>
      <c r="CF4" s="273"/>
      <c r="CG4" s="273"/>
      <c r="CH4" s="273"/>
      <c r="CI4" s="273"/>
      <c r="CJ4" s="273"/>
      <c r="CK4" s="82"/>
    </row>
    <row r="5" spans="1:89" ht="3.9" customHeight="1" x14ac:dyDescent="0.3">
      <c r="B5" s="80"/>
      <c r="C5" s="80"/>
      <c r="D5" s="80"/>
      <c r="E5" s="80"/>
      <c r="F5" s="83"/>
      <c r="G5" s="83"/>
      <c r="H5" s="83"/>
      <c r="I5" s="83"/>
      <c r="J5" s="83"/>
      <c r="K5" s="83"/>
      <c r="L5" s="83"/>
      <c r="M5" s="83"/>
      <c r="N5" s="83"/>
      <c r="O5" s="84"/>
      <c r="P5" s="84"/>
      <c r="Q5" s="84"/>
      <c r="R5" s="84"/>
      <c r="S5" s="84"/>
      <c r="T5" s="84"/>
      <c r="U5" s="84"/>
      <c r="V5" s="84"/>
      <c r="W5" s="84"/>
      <c r="X5" s="84"/>
      <c r="Y5" s="84"/>
      <c r="Z5" s="84"/>
      <c r="AA5" s="84"/>
      <c r="AB5" s="84"/>
      <c r="AC5" s="84"/>
      <c r="AD5" s="84"/>
      <c r="AE5" s="84"/>
      <c r="AF5" s="84"/>
      <c r="AG5" s="84"/>
      <c r="AH5" s="84"/>
      <c r="AI5" s="84"/>
      <c r="AJ5" s="274"/>
      <c r="AK5" s="274"/>
      <c r="AL5" s="274"/>
      <c r="AM5" s="274"/>
      <c r="AN5" s="274"/>
      <c r="AO5" s="274"/>
      <c r="AP5" s="274"/>
      <c r="AQ5" s="274"/>
      <c r="AR5" s="274"/>
      <c r="AS5" s="274"/>
      <c r="AT5" s="274"/>
      <c r="AU5" s="274"/>
      <c r="AV5" s="274"/>
      <c r="AW5" s="274"/>
      <c r="AX5" s="274"/>
      <c r="AY5" s="274"/>
      <c r="AZ5" s="274"/>
      <c r="BA5" s="274"/>
      <c r="BB5" s="274"/>
      <c r="BC5" s="274"/>
      <c r="BD5" s="274"/>
      <c r="BE5" s="274"/>
      <c r="BF5" s="274"/>
      <c r="BG5" s="274"/>
      <c r="BH5" s="274"/>
      <c r="BI5" s="274"/>
      <c r="BJ5" s="274"/>
      <c r="BK5" s="274"/>
      <c r="BL5" s="274"/>
      <c r="BM5" s="274"/>
      <c r="BN5" s="274"/>
      <c r="BO5" s="274"/>
      <c r="BP5" s="274"/>
      <c r="BQ5" s="274"/>
      <c r="BR5" s="274"/>
      <c r="BS5" s="274"/>
      <c r="BT5" s="274"/>
      <c r="BU5" s="274"/>
      <c r="BV5" s="274"/>
      <c r="BW5" s="274"/>
      <c r="BX5" s="274"/>
      <c r="BY5" s="274"/>
      <c r="BZ5" s="274"/>
      <c r="CA5" s="274"/>
      <c r="CB5" s="274"/>
      <c r="CC5" s="274"/>
      <c r="CD5" s="274"/>
      <c r="CE5" s="274"/>
      <c r="CF5" s="274"/>
      <c r="CG5" s="274"/>
      <c r="CH5" s="274"/>
      <c r="CI5" s="274"/>
      <c r="CJ5" s="274"/>
      <c r="CK5" s="82"/>
    </row>
    <row r="6" spans="1:89" ht="18" x14ac:dyDescent="0.35">
      <c r="B6" s="454" t="s">
        <v>189</v>
      </c>
      <c r="C6" s="454"/>
      <c r="D6" s="454"/>
      <c r="E6" s="454"/>
      <c r="F6" s="454"/>
      <c r="G6" s="454"/>
      <c r="H6" s="454"/>
      <c r="I6" s="454"/>
      <c r="J6" s="454"/>
      <c r="K6" s="454"/>
      <c r="L6" s="454"/>
      <c r="M6" s="454"/>
      <c r="N6" s="85"/>
      <c r="O6" s="85"/>
      <c r="P6" s="85"/>
      <c r="Q6" s="85"/>
      <c r="R6" s="85"/>
      <c r="S6" s="85"/>
      <c r="T6" s="85"/>
      <c r="U6" s="85"/>
      <c r="V6" s="85"/>
      <c r="W6" s="85"/>
      <c r="X6" s="85"/>
      <c r="Y6" s="85"/>
      <c r="Z6" s="85"/>
      <c r="AA6" s="85"/>
      <c r="AB6" s="85"/>
      <c r="AC6" s="85"/>
      <c r="AD6" s="85"/>
      <c r="AE6" s="85"/>
      <c r="AF6" s="85"/>
      <c r="AG6" s="85"/>
      <c r="AH6" s="85"/>
      <c r="AI6" s="85"/>
      <c r="AJ6" s="275"/>
      <c r="AK6" s="275"/>
      <c r="AL6" s="275"/>
      <c r="AM6" s="275"/>
      <c r="AN6" s="275"/>
      <c r="AO6" s="275"/>
      <c r="AP6" s="275"/>
      <c r="AQ6" s="275"/>
      <c r="AR6" s="275"/>
      <c r="AS6" s="275"/>
      <c r="AT6" s="351"/>
      <c r="AU6" s="351"/>
      <c r="AV6" s="351"/>
      <c r="AW6" s="351"/>
      <c r="AX6" s="351"/>
      <c r="AY6" s="351"/>
      <c r="AZ6" s="351"/>
      <c r="BA6" s="351"/>
      <c r="BB6" s="351"/>
      <c r="BC6" s="351"/>
      <c r="BD6" s="351"/>
      <c r="BE6" s="351"/>
      <c r="BF6" s="351"/>
      <c r="BG6" s="351"/>
      <c r="BH6" s="351"/>
      <c r="BI6" s="351"/>
      <c r="BJ6" s="351"/>
      <c r="BK6" s="351"/>
      <c r="BL6" s="351"/>
      <c r="BM6" s="351"/>
      <c r="BN6" s="351"/>
      <c r="BO6" s="351"/>
      <c r="BP6" s="351"/>
      <c r="BQ6" s="351"/>
      <c r="BR6" s="351"/>
      <c r="BS6" s="351"/>
      <c r="BT6" s="351"/>
      <c r="BU6" s="351"/>
      <c r="BV6" s="351"/>
      <c r="BW6" s="351"/>
      <c r="BX6" s="351"/>
      <c r="BY6" s="351"/>
      <c r="BZ6" s="351"/>
      <c r="CA6" s="351"/>
      <c r="CB6" s="351"/>
      <c r="CC6" s="351"/>
      <c r="CD6" s="351"/>
      <c r="CE6" s="351"/>
      <c r="CF6" s="351"/>
      <c r="CG6" s="351"/>
      <c r="CH6" s="351"/>
      <c r="CI6" s="351"/>
      <c r="CJ6" s="351"/>
      <c r="CK6" s="85"/>
    </row>
    <row r="7" spans="1:89" ht="18" x14ac:dyDescent="0.35">
      <c r="B7" s="454" t="s">
        <v>133</v>
      </c>
      <c r="C7" s="454"/>
      <c r="D7" s="454"/>
      <c r="E7" s="454"/>
      <c r="F7" s="454"/>
      <c r="G7" s="454"/>
      <c r="H7" s="454"/>
      <c r="I7" s="454"/>
      <c r="J7" s="454"/>
      <c r="K7" s="454"/>
      <c r="L7" s="454"/>
      <c r="M7" s="454"/>
      <c r="N7" s="85"/>
      <c r="O7" s="85"/>
      <c r="P7" s="85"/>
      <c r="Q7" s="85"/>
      <c r="R7" s="85"/>
      <c r="S7" s="85"/>
      <c r="T7" s="86"/>
      <c r="U7" s="86"/>
      <c r="V7" s="86"/>
      <c r="W7" s="86"/>
      <c r="X7" s="86"/>
      <c r="Y7" s="86"/>
      <c r="Z7" s="86"/>
      <c r="AA7" s="86"/>
      <c r="AB7" s="86"/>
      <c r="AC7" s="86"/>
      <c r="AD7" s="86"/>
      <c r="AE7" s="86"/>
      <c r="AF7" s="86"/>
      <c r="AG7" s="86"/>
      <c r="AH7" s="86"/>
      <c r="AI7" s="86"/>
      <c r="AJ7" s="276"/>
      <c r="AK7" s="276"/>
      <c r="AL7" s="276"/>
      <c r="AM7" s="276"/>
      <c r="AN7" s="276"/>
      <c r="AO7" s="276"/>
      <c r="AP7" s="276"/>
      <c r="AQ7" s="276"/>
      <c r="AR7" s="276"/>
      <c r="AS7" s="276"/>
      <c r="AT7" s="276"/>
      <c r="AU7" s="276"/>
      <c r="AV7" s="276"/>
      <c r="AW7" s="276"/>
      <c r="AX7" s="276"/>
      <c r="AY7" s="276"/>
      <c r="AZ7" s="276"/>
      <c r="BA7" s="276"/>
      <c r="BB7" s="276"/>
      <c r="BC7" s="276"/>
      <c r="BD7" s="276"/>
      <c r="BE7" s="276"/>
      <c r="BF7" s="276"/>
      <c r="BG7" s="276"/>
      <c r="BH7" s="276"/>
      <c r="BI7" s="276"/>
      <c r="BJ7" s="276"/>
      <c r="BK7" s="276"/>
      <c r="BL7" s="276"/>
      <c r="BM7" s="276"/>
      <c r="BN7" s="276"/>
      <c r="BO7" s="276"/>
      <c r="BP7" s="276"/>
      <c r="BQ7" s="276"/>
      <c r="BR7" s="276"/>
      <c r="BS7" s="276"/>
      <c r="BT7" s="276"/>
      <c r="BU7" s="276"/>
      <c r="BV7" s="276"/>
      <c r="BW7" s="276"/>
      <c r="BX7" s="276"/>
      <c r="BY7" s="276"/>
      <c r="BZ7" s="276"/>
      <c r="CA7" s="276"/>
      <c r="CB7" s="276"/>
      <c r="CC7" s="276"/>
      <c r="CD7" s="276"/>
      <c r="CE7" s="276"/>
      <c r="CF7" s="276"/>
      <c r="CG7" s="276"/>
      <c r="CH7" s="276"/>
      <c r="CI7" s="276"/>
      <c r="CJ7" s="276"/>
      <c r="CK7" s="85"/>
    </row>
    <row r="8" spans="1:89" ht="16.2" x14ac:dyDescent="0.3">
      <c r="B8" s="453" t="s">
        <v>426</v>
      </c>
      <c r="C8" s="453"/>
      <c r="D8" s="453"/>
      <c r="E8" s="453"/>
      <c r="F8" s="453"/>
      <c r="G8" s="453"/>
      <c r="H8" s="453"/>
      <c r="I8" s="453"/>
      <c r="J8" s="453"/>
      <c r="K8" s="453"/>
      <c r="L8" s="453"/>
      <c r="M8" s="453"/>
      <c r="N8" s="18"/>
      <c r="O8" s="18"/>
      <c r="P8" s="18"/>
      <c r="Q8" s="18"/>
      <c r="R8" s="18"/>
      <c r="S8" s="18"/>
      <c r="T8" s="18"/>
      <c r="U8" s="18"/>
      <c r="V8" s="18"/>
      <c r="W8" s="18"/>
      <c r="X8" s="18"/>
      <c r="Y8" s="18"/>
      <c r="Z8" s="18"/>
      <c r="AA8" s="18"/>
      <c r="AB8" s="18"/>
      <c r="AC8" s="18"/>
      <c r="AD8" s="18"/>
      <c r="AE8" s="18"/>
      <c r="AF8" s="18"/>
      <c r="AG8" s="18"/>
      <c r="AH8" s="18"/>
      <c r="AI8" s="18"/>
      <c r="AJ8" s="264"/>
      <c r="AK8" s="264"/>
      <c r="AL8" s="264"/>
      <c r="AM8" s="264"/>
      <c r="AN8" s="264"/>
      <c r="AO8" s="264"/>
      <c r="AP8" s="264"/>
      <c r="AQ8" s="264"/>
      <c r="AR8" s="264"/>
      <c r="AS8" s="264"/>
      <c r="AT8" s="264"/>
      <c r="AU8" s="264"/>
      <c r="AV8" s="264"/>
      <c r="AW8" s="264"/>
      <c r="AX8" s="264"/>
      <c r="AY8" s="264"/>
      <c r="AZ8" s="264"/>
      <c r="BA8" s="264"/>
      <c r="BB8" s="264"/>
      <c r="BC8" s="264"/>
      <c r="BD8" s="264"/>
      <c r="BE8" s="264"/>
      <c r="BF8" s="264"/>
      <c r="BG8" s="264"/>
      <c r="BH8" s="264"/>
      <c r="BI8" s="264"/>
      <c r="BJ8" s="264"/>
      <c r="BK8" s="264"/>
      <c r="BL8" s="264"/>
      <c r="BM8" s="264"/>
      <c r="BN8" s="264"/>
      <c r="BO8" s="264"/>
      <c r="BP8" s="264"/>
      <c r="BQ8" s="264"/>
      <c r="BR8" s="264"/>
      <c r="BS8" s="264"/>
      <c r="BT8" s="264"/>
      <c r="BU8" s="264"/>
      <c r="BV8" s="264"/>
      <c r="BW8" s="264"/>
      <c r="BX8" s="264"/>
      <c r="BY8" s="264"/>
      <c r="BZ8" s="264"/>
      <c r="CA8" s="264"/>
      <c r="CB8" s="264"/>
      <c r="CC8" s="264"/>
      <c r="CD8" s="264"/>
      <c r="CE8" s="264"/>
      <c r="CF8" s="264"/>
      <c r="CG8" s="264"/>
      <c r="CH8" s="264"/>
      <c r="CI8" s="264"/>
      <c r="CJ8" s="264"/>
      <c r="CK8" s="18"/>
    </row>
    <row r="9" spans="1:89" ht="6.6" customHeight="1" x14ac:dyDescent="0.3">
      <c r="B9" s="82"/>
      <c r="C9" s="82"/>
      <c r="D9" s="82"/>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277"/>
      <c r="AK9" s="277"/>
      <c r="AL9" s="277"/>
      <c r="AM9" s="277"/>
      <c r="AN9" s="277"/>
      <c r="AO9" s="277"/>
      <c r="AP9" s="277"/>
      <c r="AQ9" s="277"/>
      <c r="AR9" s="277"/>
      <c r="AS9" s="277"/>
      <c r="AT9" s="277"/>
      <c r="AU9" s="277"/>
      <c r="AV9" s="277"/>
      <c r="AW9" s="277"/>
      <c r="AX9" s="277"/>
      <c r="AY9" s="277"/>
      <c r="AZ9" s="277"/>
      <c r="BA9" s="277"/>
      <c r="BB9" s="277"/>
      <c r="BC9" s="277"/>
      <c r="BD9" s="277"/>
      <c r="BE9" s="277"/>
      <c r="BF9" s="277"/>
      <c r="BG9" s="277"/>
      <c r="BH9" s="277"/>
      <c r="BI9" s="277"/>
      <c r="BJ9" s="277"/>
      <c r="BK9" s="277"/>
      <c r="BL9" s="277"/>
      <c r="BM9" s="277"/>
      <c r="BN9" s="277"/>
      <c r="BO9" s="277"/>
      <c r="BP9" s="277"/>
      <c r="BQ9" s="277"/>
      <c r="BR9" s="277"/>
      <c r="BS9" s="277"/>
      <c r="BT9" s="277"/>
      <c r="BU9" s="277"/>
      <c r="BV9" s="277"/>
      <c r="BW9" s="277"/>
      <c r="BX9" s="277"/>
      <c r="BY9" s="277"/>
      <c r="BZ9" s="277"/>
      <c r="CA9" s="277"/>
      <c r="CB9" s="277"/>
      <c r="CC9" s="277"/>
      <c r="CD9" s="277"/>
      <c r="CE9" s="277"/>
      <c r="CF9" s="277"/>
      <c r="CG9" s="277"/>
      <c r="CH9" s="277"/>
      <c r="CI9" s="277"/>
      <c r="CJ9" s="277"/>
      <c r="CK9" s="88"/>
    </row>
    <row r="10" spans="1:89" ht="6.6" customHeight="1" x14ac:dyDescent="0.3">
      <c r="B10" s="89"/>
      <c r="C10" s="87"/>
      <c r="D10" s="87"/>
      <c r="E10" s="87"/>
      <c r="F10" s="87"/>
      <c r="G10" s="87"/>
      <c r="H10" s="87"/>
      <c r="I10" s="87"/>
      <c r="J10" s="87"/>
      <c r="K10" s="87"/>
      <c r="L10" s="87"/>
      <c r="M10" s="87"/>
      <c r="N10" s="87"/>
      <c r="O10" s="87"/>
      <c r="P10" s="87"/>
      <c r="Q10" s="87"/>
      <c r="R10" s="87"/>
      <c r="S10" s="87"/>
      <c r="T10" s="87"/>
      <c r="U10" s="87"/>
      <c r="V10" s="87"/>
      <c r="W10" s="87"/>
      <c r="X10" s="90"/>
      <c r="Y10" s="90"/>
      <c r="Z10" s="90"/>
      <c r="AA10" s="87"/>
      <c r="AB10" s="87"/>
      <c r="AC10" s="87"/>
      <c r="AD10" s="87"/>
      <c r="AE10" s="87"/>
      <c r="AF10" s="87"/>
      <c r="AG10" s="87"/>
      <c r="AH10" s="87"/>
      <c r="AI10" s="87"/>
      <c r="AJ10" s="277"/>
      <c r="AK10" s="277"/>
      <c r="AL10" s="277"/>
      <c r="AM10" s="277"/>
      <c r="AN10" s="277"/>
      <c r="AO10" s="277"/>
      <c r="AP10" s="277"/>
      <c r="AQ10" s="277"/>
      <c r="AR10" s="277"/>
      <c r="AS10" s="277"/>
      <c r="AT10" s="277"/>
      <c r="AU10" s="277"/>
      <c r="AV10" s="277"/>
      <c r="AW10" s="277"/>
      <c r="AX10" s="277"/>
      <c r="AY10" s="277"/>
      <c r="AZ10" s="277"/>
      <c r="BA10" s="277"/>
      <c r="BB10" s="277"/>
      <c r="BC10" s="277"/>
      <c r="BD10" s="277"/>
      <c r="BE10" s="277"/>
      <c r="BF10" s="277"/>
      <c r="BG10" s="277"/>
      <c r="BH10" s="277"/>
      <c r="BI10" s="277"/>
      <c r="BJ10" s="277"/>
      <c r="BK10" s="277"/>
      <c r="BL10" s="277"/>
      <c r="BM10" s="277"/>
      <c r="BN10" s="277"/>
      <c r="BO10" s="277"/>
      <c r="BP10" s="277"/>
      <c r="BQ10" s="277"/>
      <c r="BR10" s="277"/>
      <c r="BS10" s="277"/>
      <c r="BT10" s="277"/>
      <c r="BU10" s="277"/>
      <c r="BV10" s="277"/>
      <c r="BW10" s="277"/>
      <c r="BX10" s="277"/>
      <c r="BY10" s="277"/>
      <c r="BZ10" s="277"/>
      <c r="CA10" s="277"/>
      <c r="CB10" s="277"/>
      <c r="CC10" s="277"/>
      <c r="CD10" s="277"/>
      <c r="CE10" s="277"/>
      <c r="CF10" s="277"/>
      <c r="CG10" s="277"/>
      <c r="CH10" s="277"/>
      <c r="CI10" s="277"/>
      <c r="CJ10" s="277"/>
      <c r="CK10" s="89"/>
    </row>
    <row r="11" spans="1:89" ht="6.6" customHeight="1" thickBot="1" x14ac:dyDescent="0.35">
      <c r="B11" s="91"/>
      <c r="C11" s="92"/>
      <c r="D11" s="92"/>
      <c r="E11" s="92"/>
      <c r="F11" s="92"/>
      <c r="G11" s="92"/>
      <c r="H11" s="92"/>
      <c r="I11" s="92"/>
      <c r="J11" s="92"/>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278"/>
      <c r="AK11" s="278"/>
      <c r="AL11" s="278"/>
      <c r="AM11" s="278"/>
      <c r="AN11" s="278"/>
      <c r="AO11" s="278"/>
      <c r="AP11" s="278"/>
      <c r="AQ11" s="278"/>
      <c r="AR11" s="278"/>
      <c r="AS11" s="278"/>
      <c r="AT11" s="278"/>
      <c r="AU11" s="278"/>
      <c r="AV11" s="278"/>
      <c r="AW11" s="278"/>
      <c r="AX11" s="278"/>
      <c r="AY11" s="278"/>
      <c r="AZ11" s="278"/>
      <c r="BA11" s="278"/>
      <c r="BB11" s="278"/>
      <c r="BC11" s="278"/>
      <c r="BD11" s="278"/>
      <c r="BE11" s="278"/>
      <c r="BF11" s="278"/>
      <c r="BG11" s="278"/>
      <c r="BH11" s="278"/>
      <c r="BI11" s="278"/>
      <c r="BJ11" s="278"/>
      <c r="BK11" s="278"/>
      <c r="BL11" s="278"/>
      <c r="BM11" s="278"/>
      <c r="BN11" s="278"/>
      <c r="BO11" s="278"/>
      <c r="BP11" s="278"/>
      <c r="BQ11" s="278"/>
      <c r="BR11" s="278"/>
      <c r="BS11" s="278"/>
      <c r="BT11" s="278"/>
      <c r="BU11" s="278"/>
      <c r="BV11" s="278"/>
      <c r="BW11" s="278"/>
      <c r="BX11" s="278"/>
      <c r="BY11" s="278"/>
      <c r="BZ11" s="278"/>
      <c r="CA11" s="278"/>
      <c r="CB11" s="278"/>
      <c r="CC11" s="278"/>
      <c r="CD11" s="278"/>
      <c r="CE11" s="278"/>
      <c r="CF11" s="278"/>
      <c r="CG11" s="278"/>
      <c r="CH11" s="278"/>
      <c r="CI11" s="278"/>
      <c r="CJ11" s="278"/>
      <c r="CK11" s="91"/>
    </row>
    <row r="12" spans="1:89" ht="19.2" thickTop="1" thickBot="1" x14ac:dyDescent="0.4">
      <c r="B12" s="243"/>
      <c r="C12" s="235">
        <v>43466</v>
      </c>
      <c r="D12" s="235">
        <v>43497</v>
      </c>
      <c r="E12" s="235">
        <v>43525</v>
      </c>
      <c r="F12" s="235">
        <v>43556</v>
      </c>
      <c r="G12" s="235">
        <v>43586</v>
      </c>
      <c r="H12" s="235">
        <v>43617</v>
      </c>
      <c r="I12" s="235">
        <v>43647</v>
      </c>
      <c r="J12" s="235">
        <v>43678</v>
      </c>
      <c r="K12" s="235">
        <v>43709</v>
      </c>
      <c r="L12" s="235">
        <v>43739</v>
      </c>
      <c r="M12" s="235">
        <v>43770</v>
      </c>
      <c r="N12" s="235">
        <v>43800</v>
      </c>
      <c r="O12" s="236">
        <v>43831</v>
      </c>
      <c r="P12" s="236">
        <v>43862</v>
      </c>
      <c r="Q12" s="236">
        <v>43891</v>
      </c>
      <c r="R12" s="235">
        <v>43922</v>
      </c>
      <c r="S12" s="236">
        <v>43952</v>
      </c>
      <c r="T12" s="236">
        <v>43983</v>
      </c>
      <c r="U12" s="236">
        <v>44013</v>
      </c>
      <c r="V12" s="236">
        <v>44044</v>
      </c>
      <c r="W12" s="236">
        <v>44075</v>
      </c>
      <c r="X12" s="236">
        <v>44105</v>
      </c>
      <c r="Y12" s="236">
        <v>44136</v>
      </c>
      <c r="Z12" s="236">
        <v>44166</v>
      </c>
      <c r="AA12" s="236">
        <v>44197</v>
      </c>
      <c r="AB12" s="236">
        <v>44228</v>
      </c>
      <c r="AC12" s="236">
        <v>44256</v>
      </c>
      <c r="AD12" s="236">
        <v>44287</v>
      </c>
      <c r="AE12" s="236">
        <v>44317</v>
      </c>
      <c r="AF12" s="236">
        <v>44348</v>
      </c>
      <c r="AG12" s="304">
        <v>44378</v>
      </c>
      <c r="AH12" s="304">
        <v>44409</v>
      </c>
      <c r="AI12" s="304">
        <v>44440</v>
      </c>
      <c r="AJ12" s="304">
        <v>44470</v>
      </c>
      <c r="AK12" s="304">
        <v>44501</v>
      </c>
      <c r="AL12" s="304">
        <v>44531</v>
      </c>
      <c r="AM12" s="304">
        <v>44562</v>
      </c>
      <c r="AN12" s="304">
        <v>44593</v>
      </c>
      <c r="AO12" s="304">
        <v>44621</v>
      </c>
      <c r="AP12" s="304">
        <v>44652</v>
      </c>
      <c r="AQ12" s="304">
        <v>44682</v>
      </c>
      <c r="AR12" s="304">
        <v>44713</v>
      </c>
      <c r="AS12" s="304">
        <v>44743</v>
      </c>
      <c r="AT12" s="304">
        <v>44774</v>
      </c>
      <c r="AU12" s="304">
        <v>44805</v>
      </c>
      <c r="AV12" s="304">
        <v>44835</v>
      </c>
      <c r="AW12" s="304">
        <v>44866</v>
      </c>
      <c r="AX12" s="304">
        <v>44896</v>
      </c>
      <c r="AY12" s="304">
        <v>44927</v>
      </c>
      <c r="AZ12" s="304">
        <v>44958</v>
      </c>
      <c r="BA12" s="304">
        <v>44986</v>
      </c>
      <c r="BB12" s="304">
        <v>45017</v>
      </c>
      <c r="BC12" s="304">
        <v>45047</v>
      </c>
      <c r="BD12" s="304">
        <v>45078</v>
      </c>
      <c r="BE12" s="304">
        <v>45108</v>
      </c>
      <c r="BF12" s="304">
        <v>45139</v>
      </c>
      <c r="BG12" s="304">
        <v>45170</v>
      </c>
      <c r="BH12" s="304">
        <v>45200</v>
      </c>
      <c r="BI12" s="235">
        <v>45231</v>
      </c>
      <c r="BJ12" s="235">
        <v>45261</v>
      </c>
      <c r="BK12" s="235">
        <v>45292</v>
      </c>
      <c r="BL12" s="235">
        <v>45323</v>
      </c>
      <c r="BM12" s="235">
        <v>45352</v>
      </c>
      <c r="BN12" s="235">
        <v>45383</v>
      </c>
      <c r="BO12" s="235">
        <v>45413</v>
      </c>
      <c r="BP12" s="235">
        <v>45444</v>
      </c>
      <c r="BQ12" s="304">
        <v>45474</v>
      </c>
      <c r="BR12" s="304">
        <v>45505</v>
      </c>
      <c r="BS12" s="304">
        <v>45536</v>
      </c>
      <c r="BT12" s="304">
        <v>45566</v>
      </c>
      <c r="BU12" s="304">
        <v>45597</v>
      </c>
      <c r="BV12" s="304">
        <v>45627</v>
      </c>
      <c r="BW12" s="304">
        <v>45658</v>
      </c>
      <c r="BX12" s="304">
        <v>45689</v>
      </c>
      <c r="BY12" s="304">
        <v>45717</v>
      </c>
      <c r="BZ12" s="304">
        <v>45748</v>
      </c>
      <c r="CA12" s="304">
        <v>45778</v>
      </c>
      <c r="CB12" s="304">
        <v>45809</v>
      </c>
      <c r="CC12" s="304">
        <v>45839</v>
      </c>
      <c r="CD12" s="304">
        <v>45870</v>
      </c>
      <c r="CE12" s="304">
        <v>45901</v>
      </c>
      <c r="CF12" s="304">
        <v>45931</v>
      </c>
      <c r="CG12" s="304">
        <v>45962</v>
      </c>
      <c r="CH12" s="304">
        <v>45992</v>
      </c>
      <c r="CI12" s="405" t="s">
        <v>423</v>
      </c>
      <c r="CJ12" s="405" t="s">
        <v>429</v>
      </c>
      <c r="CK12" s="316" t="s">
        <v>187</v>
      </c>
    </row>
    <row r="13" spans="1:89" ht="13.2" customHeight="1" thickTop="1" x14ac:dyDescent="0.3">
      <c r="B13" s="244"/>
      <c r="C13" s="244"/>
      <c r="D13" s="244"/>
      <c r="E13" s="244"/>
      <c r="F13" s="245"/>
      <c r="G13" s="245"/>
      <c r="H13" s="245"/>
      <c r="I13" s="245"/>
      <c r="J13" s="245"/>
      <c r="K13" s="245"/>
      <c r="L13" s="245"/>
      <c r="M13" s="245"/>
      <c r="N13" s="245"/>
      <c r="O13" s="245"/>
      <c r="P13" s="245"/>
      <c r="Q13" s="245"/>
      <c r="R13" s="245"/>
      <c r="S13" s="245"/>
      <c r="T13" s="245"/>
      <c r="U13" s="245"/>
      <c r="V13" s="245"/>
      <c r="W13" s="245"/>
      <c r="X13" s="245"/>
      <c r="Y13" s="245"/>
      <c r="Z13" s="245"/>
      <c r="AA13" s="245"/>
      <c r="AB13" s="245"/>
      <c r="AC13" s="245"/>
      <c r="AD13" s="245"/>
      <c r="AE13" s="245"/>
      <c r="AF13" s="245"/>
      <c r="AG13" s="245"/>
      <c r="AH13" s="245"/>
      <c r="AI13" s="245"/>
      <c r="AJ13" s="307"/>
      <c r="AK13" s="307"/>
      <c r="AL13" s="307"/>
      <c r="AM13" s="307"/>
      <c r="AN13" s="307"/>
      <c r="AO13" s="307"/>
      <c r="AP13" s="307"/>
      <c r="AQ13" s="307"/>
      <c r="AR13" s="307"/>
      <c r="AS13" s="307"/>
      <c r="AT13" s="307"/>
      <c r="AU13" s="307"/>
      <c r="AV13" s="307"/>
      <c r="AW13" s="307"/>
      <c r="AX13" s="307"/>
      <c r="AY13" s="307"/>
      <c r="AZ13" s="307"/>
      <c r="BA13" s="307"/>
      <c r="BB13" s="307"/>
      <c r="BC13" s="307"/>
      <c r="BD13" s="307"/>
      <c r="BE13" s="307"/>
      <c r="BF13" s="307"/>
      <c r="BG13" s="307"/>
      <c r="BH13" s="307"/>
      <c r="BI13" s="307"/>
      <c r="BJ13" s="307"/>
      <c r="BK13" s="307"/>
      <c r="BL13" s="307"/>
      <c r="BM13" s="307"/>
      <c r="BN13" s="307"/>
      <c r="BO13" s="307"/>
      <c r="BP13" s="307"/>
      <c r="BQ13" s="307"/>
      <c r="BR13" s="307"/>
      <c r="BS13" s="307"/>
      <c r="BT13" s="307"/>
      <c r="BU13" s="307"/>
      <c r="BV13" s="307"/>
      <c r="BW13" s="307"/>
      <c r="BX13" s="307"/>
      <c r="BY13" s="307"/>
      <c r="BZ13" s="307"/>
      <c r="CA13" s="307"/>
      <c r="CB13" s="307"/>
      <c r="CC13" s="307"/>
      <c r="CD13" s="307"/>
      <c r="CE13" s="307"/>
      <c r="CF13" s="307"/>
      <c r="CG13" s="307"/>
      <c r="CH13" s="307"/>
      <c r="CI13" s="307"/>
      <c r="CJ13" s="307"/>
      <c r="CK13" s="369"/>
    </row>
    <row r="14" spans="1:89" ht="16.2" x14ac:dyDescent="0.3">
      <c r="B14" s="233" t="s">
        <v>136</v>
      </c>
      <c r="C14" s="246">
        <f t="shared" ref="C14:U14" si="0">+C16+C18+C20</f>
        <v>335661.3</v>
      </c>
      <c r="D14" s="246">
        <f t="shared" si="0"/>
        <v>334477</v>
      </c>
      <c r="E14" s="246">
        <f t="shared" si="0"/>
        <v>324898.3</v>
      </c>
      <c r="F14" s="246">
        <f t="shared" si="0"/>
        <v>334322.89999999997</v>
      </c>
      <c r="G14" s="246">
        <f t="shared" si="0"/>
        <v>329930.60000000003</v>
      </c>
      <c r="H14" s="246">
        <f t="shared" si="0"/>
        <v>337267.1</v>
      </c>
      <c r="I14" s="246">
        <f t="shared" si="0"/>
        <v>341957.50000000006</v>
      </c>
      <c r="J14" s="246">
        <f t="shared" si="0"/>
        <v>310102.3</v>
      </c>
      <c r="K14" s="246">
        <f t="shared" si="0"/>
        <v>311251.19999999995</v>
      </c>
      <c r="L14" s="246">
        <f t="shared" si="0"/>
        <v>312471</v>
      </c>
      <c r="M14" s="246">
        <f t="shared" si="0"/>
        <v>313299.10000000003</v>
      </c>
      <c r="N14" s="246">
        <f t="shared" si="0"/>
        <v>323064.60000000003</v>
      </c>
      <c r="O14" s="246">
        <f t="shared" si="0"/>
        <v>324440.59999999998</v>
      </c>
      <c r="P14" s="246">
        <f t="shared" si="0"/>
        <v>324369.90000000002</v>
      </c>
      <c r="Q14" s="246">
        <f t="shared" si="0"/>
        <v>323381.2</v>
      </c>
      <c r="R14" s="246">
        <f t="shared" si="0"/>
        <v>323254.8</v>
      </c>
      <c r="S14" s="246">
        <f t="shared" si="0"/>
        <v>324808.29999999993</v>
      </c>
      <c r="T14" s="246">
        <f t="shared" si="0"/>
        <v>324552.39999999997</v>
      </c>
      <c r="U14" s="246">
        <f t="shared" si="0"/>
        <v>328087.90000000002</v>
      </c>
      <c r="V14" s="246">
        <f t="shared" ref="V14" si="1">+V16+V18+V20</f>
        <v>329479.50000000006</v>
      </c>
      <c r="W14" s="246">
        <f t="shared" ref="W14:AA14" si="2">+W16+W18+W20</f>
        <v>332247.5</v>
      </c>
      <c r="X14" s="246">
        <f t="shared" si="2"/>
        <v>333194.7</v>
      </c>
      <c r="Y14" s="246">
        <f t="shared" si="2"/>
        <v>333253.8</v>
      </c>
      <c r="Z14" s="246">
        <f t="shared" si="2"/>
        <v>335582.2</v>
      </c>
      <c r="AA14" s="246">
        <f t="shared" si="2"/>
        <v>334929.20000000007</v>
      </c>
      <c r="AB14" s="246">
        <f t="shared" ref="AB14:AZ14" si="3">+AB16+AB18+AB20</f>
        <v>334883.79999999993</v>
      </c>
      <c r="AC14" s="246">
        <f t="shared" si="3"/>
        <v>335556.1</v>
      </c>
      <c r="AD14" s="247">
        <f t="shared" si="3"/>
        <v>338332.10000000003</v>
      </c>
      <c r="AE14" s="247">
        <f t="shared" si="3"/>
        <v>341091.79999999993</v>
      </c>
      <c r="AF14" s="247">
        <f t="shared" si="3"/>
        <v>343523.89999999997</v>
      </c>
      <c r="AG14" s="247">
        <f t="shared" si="3"/>
        <v>345140.3</v>
      </c>
      <c r="AH14" s="247">
        <f t="shared" si="3"/>
        <v>345870.4</v>
      </c>
      <c r="AI14" s="247">
        <f t="shared" si="3"/>
        <v>342620.1</v>
      </c>
      <c r="AJ14" s="308">
        <f t="shared" si="3"/>
        <v>349229.1</v>
      </c>
      <c r="AK14" s="308">
        <f t="shared" si="3"/>
        <v>354422.29999999993</v>
      </c>
      <c r="AL14" s="308">
        <f t="shared" si="3"/>
        <v>363232.6</v>
      </c>
      <c r="AM14" s="308">
        <f t="shared" si="3"/>
        <v>365747.6</v>
      </c>
      <c r="AN14" s="308">
        <f t="shared" si="3"/>
        <v>366626.30000000005</v>
      </c>
      <c r="AO14" s="308">
        <f t="shared" si="3"/>
        <v>376300.4</v>
      </c>
      <c r="AP14" s="308">
        <f t="shared" si="3"/>
        <v>374198.89999999997</v>
      </c>
      <c r="AQ14" s="308">
        <f t="shared" si="3"/>
        <v>374577.8</v>
      </c>
      <c r="AR14" s="308">
        <f t="shared" si="3"/>
        <v>378505.60000000003</v>
      </c>
      <c r="AS14" s="308">
        <f t="shared" si="3"/>
        <v>380772.7</v>
      </c>
      <c r="AT14" s="308">
        <f t="shared" si="3"/>
        <v>381121</v>
      </c>
      <c r="AU14" s="308">
        <f t="shared" si="3"/>
        <v>382281.20000000007</v>
      </c>
      <c r="AV14" s="308">
        <f t="shared" si="3"/>
        <v>386272.39999999997</v>
      </c>
      <c r="AW14" s="308">
        <f t="shared" si="3"/>
        <v>386659.5</v>
      </c>
      <c r="AX14" s="308">
        <f t="shared" si="3"/>
        <v>396555.19999999995</v>
      </c>
      <c r="AY14" s="308">
        <f t="shared" si="3"/>
        <v>395856.3</v>
      </c>
      <c r="AZ14" s="308">
        <f t="shared" si="3"/>
        <v>394199.20000000007</v>
      </c>
      <c r="BA14" s="308">
        <f t="shared" ref="BA14" si="4">+BA16+BA18+BA20</f>
        <v>398245.7</v>
      </c>
      <c r="BB14" s="308">
        <f t="shared" ref="BB14:CJ14" si="5">+BB16+BB18+BB20</f>
        <v>396272.2</v>
      </c>
      <c r="BC14" s="308">
        <f t="shared" si="5"/>
        <v>398833.2</v>
      </c>
      <c r="BD14" s="308">
        <f t="shared" si="5"/>
        <v>403835.8</v>
      </c>
      <c r="BE14" s="308">
        <f t="shared" si="5"/>
        <v>406133.9</v>
      </c>
      <c r="BF14" s="308">
        <f t="shared" si="5"/>
        <v>395758.29999999993</v>
      </c>
      <c r="BG14" s="308">
        <f t="shared" si="5"/>
        <v>406948.1</v>
      </c>
      <c r="BH14" s="308">
        <f t="shared" si="5"/>
        <v>418019.1</v>
      </c>
      <c r="BI14" s="308">
        <f t="shared" si="5"/>
        <v>425555.9</v>
      </c>
      <c r="BJ14" s="308">
        <f t="shared" ref="BJ14:BL14" si="6">+BJ16+BJ18+BJ20</f>
        <v>370673.39999999997</v>
      </c>
      <c r="BK14" s="308">
        <f t="shared" si="6"/>
        <v>381272.8</v>
      </c>
      <c r="BL14" s="308">
        <f t="shared" si="6"/>
        <v>386539.8</v>
      </c>
      <c r="BM14" s="308">
        <f t="shared" ref="BM14:CI14" si="7">+BM16+BM18+BM20</f>
        <v>403052.39999999997</v>
      </c>
      <c r="BN14" s="308">
        <f t="shared" si="7"/>
        <v>414035.60000000003</v>
      </c>
      <c r="BO14" s="308">
        <f t="shared" si="7"/>
        <v>435697.7</v>
      </c>
      <c r="BP14" s="308">
        <f t="shared" si="7"/>
        <v>442514.9</v>
      </c>
      <c r="BQ14" s="308">
        <f t="shared" si="7"/>
        <v>452070.5</v>
      </c>
      <c r="BR14" s="308">
        <f t="shared" si="7"/>
        <v>458408.7</v>
      </c>
      <c r="BS14" s="308">
        <f t="shared" si="7"/>
        <v>460068.80000000005</v>
      </c>
      <c r="BT14" s="308">
        <f t="shared" si="7"/>
        <v>463241.8</v>
      </c>
      <c r="BU14" s="308">
        <f t="shared" si="7"/>
        <v>464935.70000000007</v>
      </c>
      <c r="BV14" s="308">
        <f t="shared" si="7"/>
        <v>466921.20000000007</v>
      </c>
      <c r="BW14" s="308">
        <f t="shared" si="7"/>
        <v>467794.6</v>
      </c>
      <c r="BX14" s="308">
        <f t="shared" si="7"/>
        <v>471163.7</v>
      </c>
      <c r="BY14" s="308">
        <f t="shared" si="7"/>
        <v>473560.80000000005</v>
      </c>
      <c r="BZ14" s="308">
        <f t="shared" si="7"/>
        <v>472918</v>
      </c>
      <c r="CA14" s="308">
        <f t="shared" si="7"/>
        <v>461017.20000000007</v>
      </c>
      <c r="CB14" s="308">
        <f t="shared" si="7"/>
        <v>465353.10000000003</v>
      </c>
      <c r="CC14" s="308">
        <f t="shared" si="7"/>
        <v>447177.10000000003</v>
      </c>
      <c r="CD14" s="308">
        <f t="shared" si="7"/>
        <v>454263.4</v>
      </c>
      <c r="CE14" s="308">
        <f t="shared" si="7"/>
        <v>454037</v>
      </c>
      <c r="CF14" s="308">
        <f t="shared" si="7"/>
        <v>443238.49999999994</v>
      </c>
      <c r="CG14" s="308">
        <f t="shared" si="7"/>
        <v>447031.69999999995</v>
      </c>
      <c r="CH14" s="308">
        <f t="shared" si="7"/>
        <v>455076.7</v>
      </c>
      <c r="CI14" s="308">
        <f t="shared" si="7"/>
        <v>460934.2</v>
      </c>
      <c r="CJ14" s="308">
        <f t="shared" si="5"/>
        <v>472134.69999999995</v>
      </c>
      <c r="CK14" s="248">
        <v>1</v>
      </c>
    </row>
    <row r="15" spans="1:89" ht="18" x14ac:dyDescent="0.35">
      <c r="B15" s="95"/>
      <c r="C15" s="95"/>
      <c r="D15" s="95"/>
      <c r="E15" s="95"/>
      <c r="F15" s="96"/>
      <c r="G15" s="96"/>
      <c r="H15" s="96"/>
      <c r="I15" s="96"/>
      <c r="J15" s="96"/>
      <c r="K15" s="96"/>
      <c r="L15" s="96">
        <v>0</v>
      </c>
      <c r="M15" s="96">
        <v>0</v>
      </c>
      <c r="N15" s="96">
        <v>0</v>
      </c>
      <c r="O15" s="96"/>
      <c r="P15" s="96"/>
      <c r="Q15" s="96"/>
      <c r="R15" s="96"/>
      <c r="S15" s="96"/>
      <c r="T15" s="96"/>
      <c r="U15" s="96"/>
      <c r="V15" s="96"/>
      <c r="W15" s="96"/>
      <c r="X15" s="96"/>
      <c r="Y15" s="96"/>
      <c r="Z15" s="96"/>
      <c r="AA15" s="96"/>
      <c r="AB15" s="96"/>
      <c r="AC15" s="96"/>
      <c r="AD15" s="96"/>
      <c r="AE15" s="96"/>
      <c r="AF15" s="96"/>
      <c r="AG15" s="96"/>
      <c r="AH15" s="96"/>
      <c r="AI15" s="96"/>
      <c r="AJ15" s="280"/>
      <c r="AK15" s="280"/>
      <c r="AL15" s="280"/>
      <c r="AM15" s="280"/>
      <c r="AN15" s="280"/>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280"/>
      <c r="BS15" s="280"/>
      <c r="BT15" s="280"/>
      <c r="BU15" s="280"/>
      <c r="BV15" s="280"/>
      <c r="BW15" s="280"/>
      <c r="BX15" s="280"/>
      <c r="BY15" s="280"/>
      <c r="BZ15" s="280"/>
      <c r="CA15" s="280"/>
      <c r="CB15" s="280"/>
      <c r="CC15" s="280"/>
      <c r="CD15" s="280"/>
      <c r="CE15" s="280"/>
      <c r="CF15" s="280"/>
      <c r="CG15" s="280"/>
      <c r="CH15" s="280"/>
      <c r="CI15" s="280"/>
      <c r="CJ15" s="280"/>
      <c r="CK15" s="97"/>
    </row>
    <row r="16" spans="1:89" x14ac:dyDescent="0.3">
      <c r="B16" s="105" t="s">
        <v>130</v>
      </c>
      <c r="C16" s="250">
        <f>+C25+C33</f>
        <v>332746.59999999998</v>
      </c>
      <c r="D16" s="250">
        <f t="shared" ref="D16:U16" si="8">+D25+D33</f>
        <v>331571.20000000001</v>
      </c>
      <c r="E16" s="250">
        <f t="shared" si="8"/>
        <v>322317.3</v>
      </c>
      <c r="F16" s="250">
        <f t="shared" si="8"/>
        <v>331741.09999999998</v>
      </c>
      <c r="G16" s="250">
        <f t="shared" si="8"/>
        <v>327350.40000000002</v>
      </c>
      <c r="H16" s="250">
        <f t="shared" si="8"/>
        <v>334706.09999999998</v>
      </c>
      <c r="I16" s="250">
        <f t="shared" si="8"/>
        <v>339420.30000000005</v>
      </c>
      <c r="J16" s="250">
        <f t="shared" si="8"/>
        <v>307589.2</v>
      </c>
      <c r="K16" s="250">
        <f t="shared" si="8"/>
        <v>308742.69999999995</v>
      </c>
      <c r="L16" s="250">
        <f t="shared" si="8"/>
        <v>309941.59999999998</v>
      </c>
      <c r="M16" s="250">
        <f t="shared" si="8"/>
        <v>310778.5</v>
      </c>
      <c r="N16" s="250">
        <f t="shared" si="8"/>
        <v>320525.40000000002</v>
      </c>
      <c r="O16" s="250">
        <f t="shared" si="8"/>
        <v>321908.59999999998</v>
      </c>
      <c r="P16" s="250">
        <f t="shared" si="8"/>
        <v>321843.5</v>
      </c>
      <c r="Q16" s="250">
        <f t="shared" si="8"/>
        <v>320855.3</v>
      </c>
      <c r="R16" s="250">
        <f t="shared" si="8"/>
        <v>320737.5</v>
      </c>
      <c r="S16" s="250">
        <f t="shared" si="8"/>
        <v>322280.09999999998</v>
      </c>
      <c r="T16" s="250">
        <f t="shared" si="8"/>
        <v>322014.59999999998</v>
      </c>
      <c r="U16" s="250">
        <f t="shared" si="8"/>
        <v>325507.80000000005</v>
      </c>
      <c r="V16" s="250">
        <f t="shared" ref="V16" si="9">+V25+V33</f>
        <v>326886.7</v>
      </c>
      <c r="W16" s="250">
        <f t="shared" ref="W16:AA16" si="10">+W25+W33</f>
        <v>329672.40000000002</v>
      </c>
      <c r="X16" s="250">
        <f t="shared" si="10"/>
        <v>330633.30000000005</v>
      </c>
      <c r="Y16" s="250">
        <f t="shared" si="10"/>
        <v>330670.09999999998</v>
      </c>
      <c r="Z16" s="250">
        <f t="shared" si="10"/>
        <v>332975</v>
      </c>
      <c r="AA16" s="250">
        <f t="shared" si="10"/>
        <v>332328.90000000002</v>
      </c>
      <c r="AB16" s="250">
        <f t="shared" ref="AB16:AX16" si="11">+AB25+AB33</f>
        <v>332288.69999999995</v>
      </c>
      <c r="AC16" s="250">
        <f t="shared" si="11"/>
        <v>332989.59999999998</v>
      </c>
      <c r="AD16" s="250">
        <f t="shared" si="11"/>
        <v>335741.9</v>
      </c>
      <c r="AE16" s="250">
        <f t="shared" si="11"/>
        <v>338483.19999999995</v>
      </c>
      <c r="AF16" s="250">
        <f t="shared" si="11"/>
        <v>340944.19999999995</v>
      </c>
      <c r="AG16" s="250">
        <f t="shared" si="11"/>
        <v>342559.6</v>
      </c>
      <c r="AH16" s="250">
        <f t="shared" si="11"/>
        <v>343294</v>
      </c>
      <c r="AI16" s="250">
        <f t="shared" si="11"/>
        <v>340061.3</v>
      </c>
      <c r="AJ16" s="309">
        <f t="shared" si="11"/>
        <v>346671.6</v>
      </c>
      <c r="AK16" s="309">
        <f t="shared" si="11"/>
        <v>351881.19999999995</v>
      </c>
      <c r="AL16" s="309">
        <f t="shared" si="11"/>
        <v>360688.7</v>
      </c>
      <c r="AM16" s="309">
        <f t="shared" si="11"/>
        <v>363214.3</v>
      </c>
      <c r="AN16" s="309">
        <f t="shared" si="11"/>
        <v>364093.2</v>
      </c>
      <c r="AO16" s="309">
        <f t="shared" si="11"/>
        <v>373780.7</v>
      </c>
      <c r="AP16" s="309">
        <f t="shared" si="11"/>
        <v>371722.3</v>
      </c>
      <c r="AQ16" s="309">
        <f t="shared" si="11"/>
        <v>372084.19999999995</v>
      </c>
      <c r="AR16" s="309">
        <v>376032.5</v>
      </c>
      <c r="AS16" s="309">
        <f t="shared" si="11"/>
        <v>378320.2</v>
      </c>
      <c r="AT16" s="309">
        <f t="shared" si="11"/>
        <v>378682.4</v>
      </c>
      <c r="AU16" s="309">
        <f t="shared" si="11"/>
        <v>379863.80000000005</v>
      </c>
      <c r="AV16" s="309">
        <f t="shared" si="11"/>
        <v>383850.1</v>
      </c>
      <c r="AW16" s="309">
        <f t="shared" si="11"/>
        <v>384193.5</v>
      </c>
      <c r="AX16" s="309">
        <f t="shared" si="11"/>
        <v>394064.19999999995</v>
      </c>
      <c r="AY16" s="309">
        <f t="shared" ref="AY16:BC16" si="12">+AY25+AY33</f>
        <v>393353.1</v>
      </c>
      <c r="AZ16" s="309">
        <f t="shared" si="12"/>
        <v>391720.4</v>
      </c>
      <c r="BA16" s="309">
        <f t="shared" si="12"/>
        <v>395744.7</v>
      </c>
      <c r="BB16" s="309">
        <f t="shared" si="12"/>
        <v>393756.7</v>
      </c>
      <c r="BC16" s="309">
        <f t="shared" si="12"/>
        <v>396344.4</v>
      </c>
      <c r="BD16" s="309">
        <f t="shared" ref="BD16" si="13">+BD25+BD33</f>
        <v>401329.6</v>
      </c>
      <c r="BE16" s="309">
        <f>+BE25+BE33</f>
        <v>403621.4</v>
      </c>
      <c r="BF16" s="309">
        <f>+BF25+BF33</f>
        <v>393268.69999999995</v>
      </c>
      <c r="BG16" s="309">
        <f>+BG25+BG33</f>
        <v>404476.6</v>
      </c>
      <c r="BH16" s="309">
        <f>+BH25+BH33</f>
        <v>415540.1</v>
      </c>
      <c r="BI16" s="309">
        <f>+BI25+BI33</f>
        <v>423046.40000000002</v>
      </c>
      <c r="BJ16" s="309">
        <f t="shared" ref="BJ16:CJ16" si="14">+BJ25+BJ33</f>
        <v>368225</v>
      </c>
      <c r="BK16" s="309">
        <f t="shared" ref="BK16:BL16" si="15">+BK25+BK33</f>
        <v>378837.8</v>
      </c>
      <c r="BL16" s="309">
        <f t="shared" si="15"/>
        <v>384099</v>
      </c>
      <c r="BM16" s="309">
        <f t="shared" ref="BM16:CB18" si="16">+BM25+BM33</f>
        <v>400605.6</v>
      </c>
      <c r="BN16" s="309">
        <f t="shared" si="16"/>
        <v>411603.4</v>
      </c>
      <c r="BO16" s="309">
        <f t="shared" si="16"/>
        <v>433246.5</v>
      </c>
      <c r="BP16" s="309">
        <f t="shared" si="16"/>
        <v>440072.4</v>
      </c>
      <c r="BQ16" s="309">
        <f t="shared" si="16"/>
        <v>449617.8</v>
      </c>
      <c r="BR16" s="309">
        <f t="shared" si="16"/>
        <v>455936.1</v>
      </c>
      <c r="BS16" s="309">
        <f t="shared" si="16"/>
        <v>457587.7</v>
      </c>
      <c r="BT16" s="309">
        <f t="shared" si="16"/>
        <v>460781.5</v>
      </c>
      <c r="BU16" s="309">
        <f t="shared" si="16"/>
        <v>462498.80000000005</v>
      </c>
      <c r="BV16" s="309">
        <f t="shared" si="16"/>
        <v>464503.20000000007</v>
      </c>
      <c r="BW16" s="309">
        <f t="shared" si="16"/>
        <v>465375.1</v>
      </c>
      <c r="BX16" s="309">
        <f t="shared" si="16"/>
        <v>468741.7</v>
      </c>
      <c r="BY16" s="309">
        <f t="shared" si="16"/>
        <v>471102.9</v>
      </c>
      <c r="BZ16" s="309">
        <f t="shared" si="16"/>
        <v>470421.2</v>
      </c>
      <c r="CA16" s="309">
        <f t="shared" si="16"/>
        <v>458517.80000000005</v>
      </c>
      <c r="CB16" s="309">
        <f t="shared" si="16"/>
        <v>462817.5</v>
      </c>
      <c r="CC16" s="309">
        <f t="shared" ref="CC16:CI16" si="17">+CC25+CC33</f>
        <v>444678.7</v>
      </c>
      <c r="CD16" s="309">
        <f t="shared" si="17"/>
        <v>451740.5</v>
      </c>
      <c r="CE16" s="309">
        <f t="shared" si="17"/>
        <v>451511.5</v>
      </c>
      <c r="CF16" s="309">
        <f t="shared" si="17"/>
        <v>440731.19999999995</v>
      </c>
      <c r="CG16" s="309">
        <f t="shared" si="17"/>
        <v>444518.69999999995</v>
      </c>
      <c r="CH16" s="309">
        <f t="shared" si="17"/>
        <v>452551.1</v>
      </c>
      <c r="CI16" s="309">
        <f t="shared" si="17"/>
        <v>458397.5</v>
      </c>
      <c r="CJ16" s="309">
        <f t="shared" si="14"/>
        <v>469597.39999999997</v>
      </c>
      <c r="CK16" s="253">
        <f>+CJ16/$CJ$14</f>
        <v>0.99462589807527391</v>
      </c>
    </row>
    <row r="17" spans="1:89" ht="5.25" customHeight="1" x14ac:dyDescent="0.3">
      <c r="B17" s="251"/>
      <c r="C17" s="252"/>
      <c r="D17" s="252"/>
      <c r="E17" s="252"/>
      <c r="F17" s="252"/>
      <c r="G17" s="252"/>
      <c r="H17" s="252"/>
      <c r="I17" s="252"/>
      <c r="J17" s="252"/>
      <c r="K17" s="252"/>
      <c r="L17" s="252">
        <v>0</v>
      </c>
      <c r="M17" s="252">
        <v>0</v>
      </c>
      <c r="N17" s="252">
        <v>0</v>
      </c>
      <c r="O17" s="252">
        <v>0</v>
      </c>
      <c r="P17" s="252"/>
      <c r="Q17" s="252"/>
      <c r="R17" s="252"/>
      <c r="S17" s="252"/>
      <c r="T17" s="252"/>
      <c r="U17" s="252"/>
      <c r="V17" s="252"/>
      <c r="W17" s="252"/>
      <c r="X17" s="252"/>
      <c r="Y17" s="252"/>
      <c r="Z17" s="252"/>
      <c r="AA17" s="252"/>
      <c r="AB17" s="252"/>
      <c r="AC17" s="252"/>
      <c r="AD17" s="252"/>
      <c r="AE17" s="252"/>
      <c r="AF17" s="252"/>
      <c r="AG17" s="252"/>
      <c r="AH17" s="252"/>
      <c r="AI17" s="252"/>
      <c r="AJ17" s="310"/>
      <c r="AK17" s="310"/>
      <c r="AL17" s="310"/>
      <c r="AM17" s="310"/>
      <c r="AN17" s="310"/>
      <c r="AO17" s="310"/>
      <c r="AP17" s="310"/>
      <c r="AQ17" s="310"/>
      <c r="AR17" s="310"/>
      <c r="AS17" s="310"/>
      <c r="AT17" s="310"/>
      <c r="AU17" s="310"/>
      <c r="AV17" s="310"/>
      <c r="AW17" s="310"/>
      <c r="AX17" s="310"/>
      <c r="AY17" s="310"/>
      <c r="AZ17" s="310"/>
      <c r="BA17" s="310"/>
      <c r="BB17" s="310"/>
      <c r="BC17" s="310"/>
      <c r="BD17" s="310"/>
      <c r="BE17" s="310"/>
      <c r="BF17" s="310"/>
      <c r="BG17" s="310"/>
      <c r="BH17" s="310"/>
      <c r="BI17" s="310"/>
      <c r="BJ17" s="310"/>
      <c r="BK17" s="310"/>
      <c r="BL17" s="310"/>
      <c r="BM17" s="310"/>
      <c r="BN17" s="310"/>
      <c r="BO17" s="310"/>
      <c r="BP17" s="310"/>
      <c r="BQ17" s="310"/>
      <c r="BR17" s="310"/>
      <c r="BS17" s="310"/>
      <c r="BT17" s="310"/>
      <c r="BU17" s="310"/>
      <c r="BV17" s="310"/>
      <c r="BW17" s="310"/>
      <c r="BX17" s="310"/>
      <c r="BY17" s="310"/>
      <c r="BZ17" s="310"/>
      <c r="CA17" s="310"/>
      <c r="CB17" s="310"/>
      <c r="CC17" s="310"/>
      <c r="CD17" s="310"/>
      <c r="CE17" s="310"/>
      <c r="CF17" s="310"/>
      <c r="CG17" s="310"/>
      <c r="CH17" s="310"/>
      <c r="CI17" s="310"/>
      <c r="CJ17" s="310"/>
      <c r="CK17" s="370"/>
    </row>
    <row r="18" spans="1:89" x14ac:dyDescent="0.3">
      <c r="B18" s="105" t="s">
        <v>210</v>
      </c>
      <c r="C18" s="250">
        <f>+C27+C35</f>
        <v>105</v>
      </c>
      <c r="D18" s="250">
        <f t="shared" ref="D18:U18" si="18">+D27+D35</f>
        <v>104.69999999999999</v>
      </c>
      <c r="E18" s="250">
        <f t="shared" si="18"/>
        <v>104.1</v>
      </c>
      <c r="F18" s="250">
        <f t="shared" si="18"/>
        <v>104.1</v>
      </c>
      <c r="G18" s="250">
        <f t="shared" si="18"/>
        <v>104</v>
      </c>
      <c r="H18" s="250">
        <f t="shared" si="18"/>
        <v>104.7</v>
      </c>
      <c r="I18" s="250">
        <f t="shared" si="18"/>
        <v>103.9</v>
      </c>
      <c r="J18" s="250">
        <f t="shared" si="18"/>
        <v>103.1</v>
      </c>
      <c r="K18" s="250">
        <f t="shared" si="18"/>
        <v>103</v>
      </c>
      <c r="L18" s="250">
        <f t="shared" si="18"/>
        <v>103.7</v>
      </c>
      <c r="M18" s="250">
        <f t="shared" si="18"/>
        <v>103.4</v>
      </c>
      <c r="N18" s="250">
        <f t="shared" si="18"/>
        <v>104</v>
      </c>
      <c r="O18" s="250">
        <f t="shared" si="18"/>
        <v>103.7</v>
      </c>
      <c r="P18" s="250">
        <f t="shared" si="18"/>
        <v>103.5</v>
      </c>
      <c r="Q18" s="250">
        <f t="shared" si="18"/>
        <v>103.5</v>
      </c>
      <c r="R18" s="250">
        <f t="shared" si="18"/>
        <v>103.2</v>
      </c>
      <c r="S18" s="250">
        <f t="shared" si="18"/>
        <v>103.6</v>
      </c>
      <c r="T18" s="250">
        <f t="shared" si="18"/>
        <v>104</v>
      </c>
      <c r="U18" s="250">
        <f t="shared" si="18"/>
        <v>105.5</v>
      </c>
      <c r="V18" s="250">
        <f t="shared" ref="V18" si="19">+V27+V35</f>
        <v>105.9</v>
      </c>
      <c r="W18" s="250">
        <f t="shared" ref="W18:AA18" si="20">+W27+W35</f>
        <v>105.3</v>
      </c>
      <c r="X18" s="250">
        <f t="shared" si="20"/>
        <v>105.1</v>
      </c>
      <c r="Y18" s="250">
        <f t="shared" si="20"/>
        <v>105.9</v>
      </c>
      <c r="Z18" s="250">
        <f t="shared" si="20"/>
        <v>106.7</v>
      </c>
      <c r="AA18" s="250">
        <f t="shared" si="20"/>
        <v>106.4</v>
      </c>
      <c r="AB18" s="250">
        <f t="shared" ref="AB18:AZ18" si="21">+AB27+AB35</f>
        <v>106.3</v>
      </c>
      <c r="AC18" s="250">
        <f t="shared" si="21"/>
        <v>105.3</v>
      </c>
      <c r="AD18" s="250">
        <f t="shared" si="21"/>
        <v>106.2</v>
      </c>
      <c r="AE18" s="250">
        <f t="shared" si="21"/>
        <v>106.80000000000001</v>
      </c>
      <c r="AF18" s="250">
        <f t="shared" si="21"/>
        <v>105.80000000000001</v>
      </c>
      <c r="AG18" s="250">
        <f t="shared" si="21"/>
        <v>105.9</v>
      </c>
      <c r="AH18" s="250">
        <f t="shared" si="21"/>
        <v>105.7</v>
      </c>
      <c r="AI18" s="250">
        <f t="shared" si="21"/>
        <v>105.1</v>
      </c>
      <c r="AJ18" s="309">
        <f t="shared" si="21"/>
        <v>105.1</v>
      </c>
      <c r="AK18" s="309">
        <f t="shared" si="21"/>
        <v>104.5</v>
      </c>
      <c r="AL18" s="309">
        <f t="shared" si="21"/>
        <v>104.6</v>
      </c>
      <c r="AM18" s="309">
        <f t="shared" si="21"/>
        <v>104.19999999999999</v>
      </c>
      <c r="AN18" s="309">
        <f t="shared" si="21"/>
        <v>104.19999999999999</v>
      </c>
      <c r="AO18" s="309">
        <f t="shared" si="21"/>
        <v>103.69999999999999</v>
      </c>
      <c r="AP18" s="309">
        <f t="shared" si="21"/>
        <v>102.3</v>
      </c>
      <c r="AQ18" s="309">
        <f t="shared" si="21"/>
        <v>102.9</v>
      </c>
      <c r="AR18" s="309">
        <f t="shared" si="21"/>
        <v>102.19999999999999</v>
      </c>
      <c r="AS18" s="309">
        <f t="shared" si="21"/>
        <v>101.4</v>
      </c>
      <c r="AT18" s="309">
        <f t="shared" si="21"/>
        <v>101</v>
      </c>
      <c r="AU18" s="309">
        <f t="shared" si="21"/>
        <v>100.19999999999999</v>
      </c>
      <c r="AV18" s="309">
        <f t="shared" si="21"/>
        <v>100.5</v>
      </c>
      <c r="AW18" s="309">
        <f t="shared" si="21"/>
        <v>101.9</v>
      </c>
      <c r="AX18" s="309">
        <f t="shared" si="21"/>
        <v>102.8</v>
      </c>
      <c r="AY18" s="309">
        <f t="shared" si="21"/>
        <v>103.19999999999999</v>
      </c>
      <c r="AZ18" s="309">
        <f t="shared" si="21"/>
        <v>102.4</v>
      </c>
      <c r="BA18" s="309">
        <f t="shared" ref="BA18" si="22">+BA27+BA35</f>
        <v>103.1</v>
      </c>
      <c r="BB18" s="309">
        <f t="shared" ref="BB18:CJ18" si="23">+BB27+BB35</f>
        <v>103.6</v>
      </c>
      <c r="BC18" s="309">
        <f t="shared" si="23"/>
        <v>102.69999999999999</v>
      </c>
      <c r="BD18" s="309">
        <f t="shared" si="23"/>
        <v>103.3</v>
      </c>
      <c r="BE18" s="309">
        <f t="shared" si="23"/>
        <v>103.6</v>
      </c>
      <c r="BF18" s="309">
        <f t="shared" si="23"/>
        <v>102.8</v>
      </c>
      <c r="BG18" s="309">
        <f t="shared" si="23"/>
        <v>102.2</v>
      </c>
      <c r="BH18" s="309">
        <f t="shared" si="23"/>
        <v>102.4</v>
      </c>
      <c r="BI18" s="309">
        <f t="shared" si="23"/>
        <v>103.5</v>
      </c>
      <c r="BJ18" s="309">
        <f t="shared" ref="BJ18:BL18" si="24">+BJ27+BJ35</f>
        <v>102.8</v>
      </c>
      <c r="BK18" s="309">
        <f t="shared" si="24"/>
        <v>102.4</v>
      </c>
      <c r="BL18" s="309">
        <f t="shared" si="24"/>
        <v>102.6</v>
      </c>
      <c r="BM18" s="309">
        <f t="shared" si="16"/>
        <v>102.80000000000001</v>
      </c>
      <c r="BN18" s="309">
        <f t="shared" si="16"/>
        <v>102.5</v>
      </c>
      <c r="BO18" s="309">
        <f t="shared" si="16"/>
        <v>103.19999999999999</v>
      </c>
      <c r="BP18" s="309">
        <f t="shared" si="16"/>
        <v>102.9</v>
      </c>
      <c r="BQ18" s="309">
        <f t="shared" si="16"/>
        <v>103.30000000000001</v>
      </c>
      <c r="BR18" s="309">
        <f t="shared" si="16"/>
        <v>103.9</v>
      </c>
      <c r="BS18" s="309">
        <f t="shared" si="16"/>
        <v>104.2</v>
      </c>
      <c r="BT18" s="309">
        <f t="shared" si="16"/>
        <v>103.6</v>
      </c>
      <c r="BU18" s="309">
        <f t="shared" si="16"/>
        <v>102.7</v>
      </c>
      <c r="BV18" s="309">
        <f t="shared" si="16"/>
        <v>102.1</v>
      </c>
      <c r="BW18" s="309">
        <f t="shared" si="16"/>
        <v>102.1</v>
      </c>
      <c r="BX18" s="309">
        <f t="shared" si="16"/>
        <v>102.2</v>
      </c>
      <c r="BY18" s="309">
        <f t="shared" si="16"/>
        <v>103.5</v>
      </c>
      <c r="BZ18" s="309">
        <f t="shared" si="16"/>
        <v>104.80000000000001</v>
      </c>
      <c r="CA18" s="309">
        <f t="shared" si="16"/>
        <v>104.9</v>
      </c>
      <c r="CB18" s="309">
        <f t="shared" si="16"/>
        <v>106.2</v>
      </c>
      <c r="CC18" s="309">
        <f t="shared" ref="CC18:CI18" si="25">+CC27+CC35</f>
        <v>104.9</v>
      </c>
      <c r="CD18" s="309">
        <f t="shared" si="25"/>
        <v>105.7</v>
      </c>
      <c r="CE18" s="309">
        <f t="shared" si="25"/>
        <v>105.8</v>
      </c>
      <c r="CF18" s="309">
        <f t="shared" si="25"/>
        <v>105.19999999999999</v>
      </c>
      <c r="CG18" s="309">
        <f t="shared" si="25"/>
        <v>105.4</v>
      </c>
      <c r="CH18" s="309">
        <f t="shared" si="25"/>
        <v>105.9</v>
      </c>
      <c r="CI18" s="309">
        <f t="shared" si="25"/>
        <v>106.2</v>
      </c>
      <c r="CJ18" s="309">
        <f t="shared" si="23"/>
        <v>106.2</v>
      </c>
      <c r="CK18" s="253">
        <f>+CJ18/$CJ$14</f>
        <v>2.249358075142539E-4</v>
      </c>
    </row>
    <row r="19" spans="1:89" ht="5.25" customHeight="1" x14ac:dyDescent="0.3">
      <c r="B19" s="108"/>
      <c r="C19" s="250"/>
      <c r="D19" s="250"/>
      <c r="E19" s="250"/>
      <c r="F19" s="250"/>
      <c r="G19" s="250"/>
      <c r="H19" s="250"/>
      <c r="I19" s="250"/>
      <c r="J19" s="250"/>
      <c r="K19" s="250"/>
      <c r="L19" s="250">
        <v>0</v>
      </c>
      <c r="M19" s="250">
        <v>0</v>
      </c>
      <c r="N19" s="250">
        <v>0</v>
      </c>
      <c r="O19" s="250">
        <v>0</v>
      </c>
      <c r="P19" s="250"/>
      <c r="Q19" s="250"/>
      <c r="R19" s="250"/>
      <c r="S19" s="250"/>
      <c r="T19" s="250"/>
      <c r="U19" s="250"/>
      <c r="V19" s="250"/>
      <c r="W19" s="250"/>
      <c r="X19" s="250"/>
      <c r="Y19" s="250"/>
      <c r="Z19" s="250"/>
      <c r="AA19" s="250"/>
      <c r="AB19" s="250"/>
      <c r="AC19" s="250"/>
      <c r="AD19" s="250"/>
      <c r="AE19" s="250"/>
      <c r="AF19" s="250"/>
      <c r="AG19" s="250"/>
      <c r="AH19" s="250"/>
      <c r="AI19" s="250"/>
      <c r="AJ19" s="309"/>
      <c r="AK19" s="309"/>
      <c r="AL19" s="309"/>
      <c r="AM19" s="309"/>
      <c r="AN19" s="309"/>
      <c r="AO19" s="309"/>
      <c r="AP19" s="309"/>
      <c r="AQ19" s="309"/>
      <c r="AR19" s="309"/>
      <c r="AS19" s="309"/>
      <c r="AT19" s="309"/>
      <c r="AU19" s="309"/>
      <c r="AV19" s="309"/>
      <c r="AW19" s="309"/>
      <c r="AX19" s="309"/>
      <c r="AY19" s="309"/>
      <c r="AZ19" s="309"/>
      <c r="BA19" s="309"/>
      <c r="BB19" s="309"/>
      <c r="BC19" s="309"/>
      <c r="BD19" s="309"/>
      <c r="BE19" s="309"/>
      <c r="BF19" s="309"/>
      <c r="BG19" s="309"/>
      <c r="BH19" s="309"/>
      <c r="BI19" s="309"/>
      <c r="BJ19" s="309"/>
      <c r="BK19" s="309"/>
      <c r="BL19" s="309"/>
      <c r="BM19" s="309"/>
      <c r="BN19" s="309"/>
      <c r="BO19" s="309"/>
      <c r="BP19" s="309"/>
      <c r="BQ19" s="309"/>
      <c r="BR19" s="309"/>
      <c r="BS19" s="309"/>
      <c r="BT19" s="309"/>
      <c r="BU19" s="309"/>
      <c r="BV19" s="309"/>
      <c r="BW19" s="309"/>
      <c r="BX19" s="309"/>
      <c r="BY19" s="309"/>
      <c r="BZ19" s="309"/>
      <c r="CA19" s="309"/>
      <c r="CB19" s="309"/>
      <c r="CC19" s="309"/>
      <c r="CD19" s="309"/>
      <c r="CE19" s="309"/>
      <c r="CF19" s="309"/>
      <c r="CG19" s="309"/>
      <c r="CH19" s="309"/>
      <c r="CI19" s="309"/>
      <c r="CJ19" s="309"/>
      <c r="CK19" s="253"/>
    </row>
    <row r="20" spans="1:89" x14ac:dyDescent="0.3">
      <c r="B20" s="105" t="s">
        <v>211</v>
      </c>
      <c r="C20" s="250">
        <f>+C29+C37</f>
        <v>2809.7000000000003</v>
      </c>
      <c r="D20" s="250">
        <f t="shared" ref="D20:U20" si="26">+D29+D37</f>
        <v>2801.1</v>
      </c>
      <c r="E20" s="250">
        <f t="shared" si="26"/>
        <v>2476.9</v>
      </c>
      <c r="F20" s="250">
        <f t="shared" si="26"/>
        <v>2477.7000000000003</v>
      </c>
      <c r="G20" s="250">
        <f t="shared" si="26"/>
        <v>2476.1999999999998</v>
      </c>
      <c r="H20" s="250">
        <f t="shared" si="26"/>
        <v>2456.2999999999997</v>
      </c>
      <c r="I20" s="250">
        <f t="shared" si="26"/>
        <v>2433.3000000000002</v>
      </c>
      <c r="J20" s="250">
        <f t="shared" si="26"/>
        <v>2410</v>
      </c>
      <c r="K20" s="250">
        <f t="shared" si="26"/>
        <v>2405.5</v>
      </c>
      <c r="L20" s="250">
        <f t="shared" si="26"/>
        <v>2425.7000000000003</v>
      </c>
      <c r="M20" s="250">
        <f t="shared" si="26"/>
        <v>2417.2000000000003</v>
      </c>
      <c r="N20" s="250">
        <f t="shared" si="26"/>
        <v>2435.1999999999998</v>
      </c>
      <c r="O20" s="250">
        <f t="shared" si="26"/>
        <v>2428.3000000000002</v>
      </c>
      <c r="P20" s="250">
        <f t="shared" si="26"/>
        <v>2422.9</v>
      </c>
      <c r="Q20" s="250">
        <f t="shared" si="26"/>
        <v>2422.4</v>
      </c>
      <c r="R20" s="250">
        <f t="shared" si="26"/>
        <v>2414.1</v>
      </c>
      <c r="S20" s="250">
        <f t="shared" si="26"/>
        <v>2424.6</v>
      </c>
      <c r="T20" s="250">
        <f t="shared" si="26"/>
        <v>2433.7999999999997</v>
      </c>
      <c r="U20" s="250">
        <f t="shared" si="26"/>
        <v>2474.6000000000004</v>
      </c>
      <c r="V20" s="250">
        <f t="shared" ref="V20" si="27">+V29+V37</f>
        <v>2486.9</v>
      </c>
      <c r="W20" s="250">
        <f t="shared" ref="W20:AA20" si="28">+W29+W37</f>
        <v>2469.7999999999997</v>
      </c>
      <c r="X20" s="250">
        <f t="shared" si="28"/>
        <v>2456.3000000000002</v>
      </c>
      <c r="Y20" s="250">
        <f t="shared" si="28"/>
        <v>2477.8000000000002</v>
      </c>
      <c r="Z20" s="250">
        <f t="shared" si="28"/>
        <v>2500.5</v>
      </c>
      <c r="AA20" s="250">
        <f t="shared" si="28"/>
        <v>2493.9</v>
      </c>
      <c r="AB20" s="250">
        <f t="shared" ref="AB20:AZ20" si="29">+AB29+AB37</f>
        <v>2488.8000000000002</v>
      </c>
      <c r="AC20" s="250">
        <f t="shared" si="29"/>
        <v>2461.1999999999998</v>
      </c>
      <c r="AD20" s="250">
        <f t="shared" si="29"/>
        <v>2484</v>
      </c>
      <c r="AE20" s="250">
        <f t="shared" si="29"/>
        <v>2501.8000000000002</v>
      </c>
      <c r="AF20" s="250">
        <f t="shared" si="29"/>
        <v>2473.8999999999996</v>
      </c>
      <c r="AG20" s="250">
        <f t="shared" si="29"/>
        <v>2474.8000000000002</v>
      </c>
      <c r="AH20" s="250">
        <f t="shared" si="29"/>
        <v>2470.7000000000003</v>
      </c>
      <c r="AI20" s="250">
        <f t="shared" si="29"/>
        <v>2453.6999999999998</v>
      </c>
      <c r="AJ20" s="309">
        <f t="shared" si="29"/>
        <v>2452.4</v>
      </c>
      <c r="AK20" s="309">
        <f t="shared" si="29"/>
        <v>2436.6</v>
      </c>
      <c r="AL20" s="309">
        <f t="shared" si="29"/>
        <v>2439.2999999999997</v>
      </c>
      <c r="AM20" s="309">
        <f t="shared" si="29"/>
        <v>2429.1</v>
      </c>
      <c r="AN20" s="309">
        <f t="shared" si="29"/>
        <v>2428.8999999999996</v>
      </c>
      <c r="AO20" s="309">
        <f t="shared" si="29"/>
        <v>2416</v>
      </c>
      <c r="AP20" s="309">
        <f t="shared" si="29"/>
        <v>2374.3000000000002</v>
      </c>
      <c r="AQ20" s="309">
        <f t="shared" si="29"/>
        <v>2390.6999999999998</v>
      </c>
      <c r="AR20" s="309">
        <f t="shared" si="29"/>
        <v>2370.9</v>
      </c>
      <c r="AS20" s="309">
        <f t="shared" si="29"/>
        <v>2351.1</v>
      </c>
      <c r="AT20" s="309">
        <f t="shared" si="29"/>
        <v>2337.6</v>
      </c>
      <c r="AU20" s="309">
        <f t="shared" si="29"/>
        <v>2317.1999999999998</v>
      </c>
      <c r="AV20" s="309">
        <f t="shared" si="29"/>
        <v>2321.8000000000002</v>
      </c>
      <c r="AW20" s="309">
        <f t="shared" si="29"/>
        <v>2364.1</v>
      </c>
      <c r="AX20" s="309">
        <f t="shared" si="29"/>
        <v>2388.2000000000003</v>
      </c>
      <c r="AY20" s="309">
        <f t="shared" si="29"/>
        <v>2400</v>
      </c>
      <c r="AZ20" s="309">
        <f t="shared" si="29"/>
        <v>2376.4</v>
      </c>
      <c r="BA20" s="309">
        <f t="shared" ref="BA20" si="30">+BA29+BA37</f>
        <v>2397.9</v>
      </c>
      <c r="BB20" s="309">
        <f t="shared" ref="BB20:CJ20" si="31">+BB29+BB37</f>
        <v>2411.9</v>
      </c>
      <c r="BC20" s="309">
        <f t="shared" si="31"/>
        <v>2386.1</v>
      </c>
      <c r="BD20" s="309">
        <f t="shared" si="31"/>
        <v>2402.9</v>
      </c>
      <c r="BE20" s="309">
        <f t="shared" si="31"/>
        <v>2408.8999999999996</v>
      </c>
      <c r="BF20" s="309">
        <f t="shared" si="31"/>
        <v>2386.8000000000002</v>
      </c>
      <c r="BG20" s="309">
        <f t="shared" si="31"/>
        <v>2369.3000000000002</v>
      </c>
      <c r="BH20" s="309">
        <f t="shared" si="31"/>
        <v>2376.6</v>
      </c>
      <c r="BI20" s="309">
        <f t="shared" si="31"/>
        <v>2406</v>
      </c>
      <c r="BJ20" s="309">
        <f t="shared" ref="BJ20:BL20" si="32">+BJ29+BJ37</f>
        <v>2345.6</v>
      </c>
      <c r="BK20" s="309">
        <f t="shared" si="32"/>
        <v>2332.6</v>
      </c>
      <c r="BL20" s="309">
        <f t="shared" si="32"/>
        <v>2338.2000000000003</v>
      </c>
      <c r="BM20" s="309">
        <f t="shared" ref="BM20:CI20" si="33">+BM29+BM37</f>
        <v>2344</v>
      </c>
      <c r="BN20" s="309">
        <f t="shared" si="33"/>
        <v>2329.6999999999998</v>
      </c>
      <c r="BO20" s="309">
        <f t="shared" si="33"/>
        <v>2348</v>
      </c>
      <c r="BP20" s="309">
        <f t="shared" si="33"/>
        <v>2339.6000000000004</v>
      </c>
      <c r="BQ20" s="309">
        <f t="shared" si="33"/>
        <v>2349.4</v>
      </c>
      <c r="BR20" s="309">
        <f t="shared" si="33"/>
        <v>2368.6999999999998</v>
      </c>
      <c r="BS20" s="309">
        <f t="shared" si="33"/>
        <v>2376.9</v>
      </c>
      <c r="BT20" s="309">
        <f t="shared" si="33"/>
        <v>2356.6999999999998</v>
      </c>
      <c r="BU20" s="309">
        <f t="shared" si="33"/>
        <v>2334.1999999999998</v>
      </c>
      <c r="BV20" s="309">
        <f t="shared" si="33"/>
        <v>2315.9</v>
      </c>
      <c r="BW20" s="309">
        <f t="shared" si="33"/>
        <v>2317.4</v>
      </c>
      <c r="BX20" s="309">
        <f t="shared" si="33"/>
        <v>2319.7999999999997</v>
      </c>
      <c r="BY20" s="309">
        <f t="shared" si="33"/>
        <v>2354.4</v>
      </c>
      <c r="BZ20" s="309">
        <f t="shared" si="33"/>
        <v>2392</v>
      </c>
      <c r="CA20" s="309">
        <f t="shared" si="33"/>
        <v>2394.5</v>
      </c>
      <c r="CB20" s="309">
        <f t="shared" si="33"/>
        <v>2429.4</v>
      </c>
      <c r="CC20" s="309">
        <f t="shared" si="33"/>
        <v>2393.5</v>
      </c>
      <c r="CD20" s="309">
        <f t="shared" si="33"/>
        <v>2417.1999999999998</v>
      </c>
      <c r="CE20" s="309">
        <f t="shared" si="33"/>
        <v>2419.6999999999998</v>
      </c>
      <c r="CF20" s="309">
        <f t="shared" si="33"/>
        <v>2402.1</v>
      </c>
      <c r="CG20" s="309">
        <f t="shared" si="33"/>
        <v>2407.6000000000004</v>
      </c>
      <c r="CH20" s="309">
        <f t="shared" si="33"/>
        <v>2419.7000000000003</v>
      </c>
      <c r="CI20" s="309">
        <f t="shared" si="33"/>
        <v>2430.5</v>
      </c>
      <c r="CJ20" s="309">
        <f t="shared" si="31"/>
        <v>2431.1</v>
      </c>
      <c r="CK20" s="253">
        <f>+CJ20/$CJ$14</f>
        <v>5.1491661172118888E-3</v>
      </c>
    </row>
    <row r="21" spans="1:89" ht="15.6" thickBot="1" x14ac:dyDescent="0.35">
      <c r="B21" s="98"/>
      <c r="C21" s="98"/>
      <c r="D21" s="98"/>
      <c r="E21" s="98"/>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281"/>
      <c r="AK21" s="281"/>
      <c r="AL21" s="281"/>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1"/>
      <c r="BP21" s="281"/>
      <c r="BQ21" s="281"/>
      <c r="BR21" s="281"/>
      <c r="BS21" s="281"/>
      <c r="BT21" s="281"/>
      <c r="BU21" s="281"/>
      <c r="BV21" s="281"/>
      <c r="BW21" s="281"/>
      <c r="BX21" s="281"/>
      <c r="BY21" s="281"/>
      <c r="BZ21" s="281"/>
      <c r="CA21" s="281"/>
      <c r="CB21" s="281"/>
      <c r="CC21" s="281"/>
      <c r="CD21" s="281"/>
      <c r="CE21" s="281"/>
      <c r="CF21" s="281"/>
      <c r="CG21" s="281"/>
      <c r="CH21" s="281"/>
      <c r="CI21" s="281"/>
      <c r="CJ21" s="281"/>
      <c r="CK21" s="100"/>
    </row>
    <row r="22" spans="1:89" ht="15.6" thickTop="1" x14ac:dyDescent="0.3">
      <c r="B22" s="93"/>
      <c r="C22" s="93"/>
      <c r="D22" s="93"/>
      <c r="E22" s="93"/>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c r="CI22" s="279"/>
      <c r="CJ22" s="279"/>
      <c r="CK22" s="101"/>
    </row>
    <row r="23" spans="1:89" ht="16.2" x14ac:dyDescent="0.3">
      <c r="A23" s="102" t="s">
        <v>294</v>
      </c>
      <c r="B23" s="249" t="s">
        <v>131</v>
      </c>
      <c r="C23" s="246">
        <f t="shared" ref="C23:U23" si="34">+C25+C27+C29</f>
        <v>204875.5</v>
      </c>
      <c r="D23" s="246">
        <f t="shared" si="34"/>
        <v>203718</v>
      </c>
      <c r="E23" s="246">
        <f t="shared" si="34"/>
        <v>195075.8</v>
      </c>
      <c r="F23" s="246">
        <f t="shared" si="34"/>
        <v>196393.59999999998</v>
      </c>
      <c r="G23" s="246">
        <f t="shared" si="34"/>
        <v>193222.3</v>
      </c>
      <c r="H23" s="246">
        <f t="shared" si="34"/>
        <v>199602.80000000002</v>
      </c>
      <c r="I23" s="246">
        <f t="shared" si="34"/>
        <v>199537.5</v>
      </c>
      <c r="J23" s="246">
        <f t="shared" si="34"/>
        <v>168245.80000000002</v>
      </c>
      <c r="K23" s="246">
        <f t="shared" si="34"/>
        <v>169801.69999999998</v>
      </c>
      <c r="L23" s="246">
        <f t="shared" si="34"/>
        <v>170180.4</v>
      </c>
      <c r="M23" s="246">
        <f t="shared" si="34"/>
        <v>171475.9</v>
      </c>
      <c r="N23" s="246">
        <f t="shared" si="34"/>
        <v>180470.7</v>
      </c>
      <c r="O23" s="246">
        <f t="shared" si="34"/>
        <v>182395.4</v>
      </c>
      <c r="P23" s="246">
        <f t="shared" si="34"/>
        <v>182622.9</v>
      </c>
      <c r="Q23" s="246">
        <f t="shared" si="34"/>
        <v>182025.3</v>
      </c>
      <c r="R23" s="246">
        <f t="shared" si="34"/>
        <v>181710.00000000003</v>
      </c>
      <c r="S23" s="246">
        <f t="shared" si="34"/>
        <v>182678.5</v>
      </c>
      <c r="T23" s="246">
        <f t="shared" si="34"/>
        <v>181556.40000000002</v>
      </c>
      <c r="U23" s="246">
        <f t="shared" si="34"/>
        <v>182950.6</v>
      </c>
      <c r="V23" s="246">
        <f t="shared" ref="V23" si="35">+V25+V27+V29</f>
        <v>183863.4</v>
      </c>
      <c r="W23" s="246">
        <f t="shared" ref="W23:AA23" si="36">+W25+W27+W29</f>
        <v>185701.2</v>
      </c>
      <c r="X23" s="246">
        <f t="shared" si="36"/>
        <v>186555.4</v>
      </c>
      <c r="Y23" s="246">
        <f t="shared" si="36"/>
        <v>185728.8</v>
      </c>
      <c r="Z23" s="246">
        <f t="shared" si="36"/>
        <v>186582.1</v>
      </c>
      <c r="AA23" s="246">
        <f t="shared" si="36"/>
        <v>186215.4</v>
      </c>
      <c r="AB23" s="246">
        <f t="shared" ref="AB23:AP23" si="37">+AB25+AB27+AB29</f>
        <v>186367.69999999998</v>
      </c>
      <c r="AC23" s="246">
        <f t="shared" si="37"/>
        <v>188098.1</v>
      </c>
      <c r="AD23" s="247">
        <f t="shared" si="37"/>
        <v>190256.90000000002</v>
      </c>
      <c r="AE23" s="247">
        <f t="shared" si="37"/>
        <v>192637.3</v>
      </c>
      <c r="AF23" s="247">
        <f t="shared" si="37"/>
        <v>195882.7</v>
      </c>
      <c r="AG23" s="247">
        <f t="shared" si="37"/>
        <v>197784</v>
      </c>
      <c r="AH23" s="247">
        <f t="shared" si="37"/>
        <v>198805.30000000002</v>
      </c>
      <c r="AI23" s="247">
        <f t="shared" si="37"/>
        <v>198011.2</v>
      </c>
      <c r="AJ23" s="308">
        <f t="shared" si="37"/>
        <v>203958.8</v>
      </c>
      <c r="AK23" s="308">
        <f t="shared" si="37"/>
        <v>208590.19999999998</v>
      </c>
      <c r="AL23" s="308">
        <f t="shared" si="37"/>
        <v>218700.1</v>
      </c>
      <c r="AM23" s="308">
        <f t="shared" si="37"/>
        <v>222492.69999999998</v>
      </c>
      <c r="AN23" s="308">
        <f t="shared" si="37"/>
        <v>223510.2</v>
      </c>
      <c r="AO23" s="308">
        <f t="shared" si="37"/>
        <v>226811.3</v>
      </c>
      <c r="AP23" s="308">
        <f t="shared" si="37"/>
        <v>227065.09999999998</v>
      </c>
      <c r="AQ23" s="308">
        <f t="shared" ref="AQ23:AY23" si="38">+AQ25+AQ27+AQ29</f>
        <v>227183.8</v>
      </c>
      <c r="AR23" s="308">
        <f t="shared" si="38"/>
        <v>230484.99999999997</v>
      </c>
      <c r="AS23" s="308">
        <f t="shared" si="38"/>
        <v>235107.80000000002</v>
      </c>
      <c r="AT23" s="308">
        <f t="shared" si="38"/>
        <v>236009.3</v>
      </c>
      <c r="AU23" s="308">
        <f t="shared" si="38"/>
        <v>240547.1</v>
      </c>
      <c r="AV23" s="308">
        <f t="shared" si="38"/>
        <v>241305.09999999998</v>
      </c>
      <c r="AW23" s="308">
        <f t="shared" si="38"/>
        <v>240051.5</v>
      </c>
      <c r="AX23" s="308">
        <f t="shared" si="38"/>
        <v>244675.09999999998</v>
      </c>
      <c r="AY23" s="308">
        <f t="shared" si="38"/>
        <v>246095.1</v>
      </c>
      <c r="AZ23" s="308">
        <f t="shared" ref="AZ23:BA23" si="39">+AZ25+AZ27+AZ29</f>
        <v>245350.6</v>
      </c>
      <c r="BA23" s="308">
        <f t="shared" si="39"/>
        <v>245545.69999999998</v>
      </c>
      <c r="BB23" s="308">
        <f t="shared" ref="BB23:CJ23" si="40">+BB25+BB27+BB29</f>
        <v>245949.2</v>
      </c>
      <c r="BC23" s="308">
        <f t="shared" si="40"/>
        <v>249370.19999999998</v>
      </c>
      <c r="BD23" s="308">
        <f t="shared" si="40"/>
        <v>256316.99999999997</v>
      </c>
      <c r="BE23" s="308">
        <f t="shared" si="40"/>
        <v>260479.80000000002</v>
      </c>
      <c r="BF23" s="308">
        <f t="shared" si="40"/>
        <v>243971.3</v>
      </c>
      <c r="BG23" s="308">
        <f t="shared" si="40"/>
        <v>255932.2</v>
      </c>
      <c r="BH23" s="308">
        <f t="shared" si="40"/>
        <v>268648.60000000003</v>
      </c>
      <c r="BI23" s="308">
        <f t="shared" si="40"/>
        <v>277510.8</v>
      </c>
      <c r="BJ23" s="308">
        <f t="shared" ref="BJ23:BL23" si="41">+BJ25+BJ27+BJ29</f>
        <v>222004.90000000002</v>
      </c>
      <c r="BK23" s="308">
        <f t="shared" si="41"/>
        <v>230830.2</v>
      </c>
      <c r="BL23" s="308">
        <f t="shared" si="41"/>
        <v>237283.59999999998</v>
      </c>
      <c r="BM23" s="308">
        <f t="shared" ref="BM23:CI23" si="42">+BM25+BM27+BM29</f>
        <v>254337.6</v>
      </c>
      <c r="BN23" s="308">
        <f t="shared" si="42"/>
        <v>267620.90000000002</v>
      </c>
      <c r="BO23" s="308">
        <f t="shared" si="42"/>
        <v>288915.7</v>
      </c>
      <c r="BP23" s="308">
        <f t="shared" si="42"/>
        <v>295411.09999999998</v>
      </c>
      <c r="BQ23" s="308">
        <f t="shared" si="42"/>
        <v>305642.79999999993</v>
      </c>
      <c r="BR23" s="308">
        <f t="shared" si="42"/>
        <v>310651.7</v>
      </c>
      <c r="BS23" s="308">
        <f t="shared" si="42"/>
        <v>312131.59999999998</v>
      </c>
      <c r="BT23" s="308">
        <f t="shared" si="42"/>
        <v>316308.60000000003</v>
      </c>
      <c r="BU23" s="308">
        <f t="shared" si="42"/>
        <v>318117.60000000003</v>
      </c>
      <c r="BV23" s="308">
        <f t="shared" si="42"/>
        <v>319025.40000000002</v>
      </c>
      <c r="BW23" s="308">
        <f t="shared" si="42"/>
        <v>321691.59999999998</v>
      </c>
      <c r="BX23" s="308">
        <f t="shared" si="42"/>
        <v>324960.8</v>
      </c>
      <c r="BY23" s="308">
        <f t="shared" si="42"/>
        <v>326863.3</v>
      </c>
      <c r="BZ23" s="308">
        <f t="shared" si="42"/>
        <v>311269.89999999997</v>
      </c>
      <c r="CA23" s="308">
        <f t="shared" si="42"/>
        <v>298808.90000000002</v>
      </c>
      <c r="CB23" s="308">
        <f t="shared" si="42"/>
        <v>302866.2</v>
      </c>
      <c r="CC23" s="308">
        <f t="shared" si="42"/>
        <v>285976.80000000005</v>
      </c>
      <c r="CD23" s="308">
        <f t="shared" si="42"/>
        <v>290151.3</v>
      </c>
      <c r="CE23" s="308">
        <f t="shared" si="42"/>
        <v>290250.8</v>
      </c>
      <c r="CF23" s="308">
        <f t="shared" si="42"/>
        <v>280109.90000000002</v>
      </c>
      <c r="CG23" s="308">
        <f t="shared" si="42"/>
        <v>283952.09999999998</v>
      </c>
      <c r="CH23" s="308">
        <f t="shared" si="42"/>
        <v>290376.19999999995</v>
      </c>
      <c r="CI23" s="308">
        <f t="shared" si="42"/>
        <v>296955.09999999998</v>
      </c>
      <c r="CJ23" s="308">
        <f t="shared" si="40"/>
        <v>308543.09999999998</v>
      </c>
      <c r="CK23" s="248">
        <f>+CJ23/$CJ$14</f>
        <v>0.65350650990067027</v>
      </c>
    </row>
    <row r="24" spans="1:89" ht="18" x14ac:dyDescent="0.35">
      <c r="B24" s="103"/>
      <c r="C24" s="104"/>
      <c r="D24" s="104"/>
      <c r="E24" s="104"/>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96"/>
      <c r="AH24" s="96"/>
      <c r="AI24" s="96"/>
      <c r="AJ24" s="280"/>
      <c r="AK24" s="280"/>
      <c r="AL24" s="280"/>
      <c r="AM24" s="280"/>
      <c r="AN24" s="280"/>
      <c r="AO24" s="280"/>
      <c r="AP24" s="280"/>
      <c r="AQ24" s="280"/>
      <c r="AR24" s="280"/>
      <c r="AS24" s="280"/>
      <c r="AT24" s="280"/>
      <c r="AU24" s="280"/>
      <c r="AV24" s="280"/>
      <c r="AW24" s="280"/>
      <c r="AX24" s="280"/>
      <c r="AY24" s="280"/>
      <c r="AZ24" s="280"/>
      <c r="BA24" s="280"/>
      <c r="BB24" s="280"/>
      <c r="BC24" s="280"/>
      <c r="BD24" s="280"/>
      <c r="BE24" s="280"/>
      <c r="BF24" s="280"/>
      <c r="BG24" s="280"/>
      <c r="BH24" s="280"/>
      <c r="BI24" s="280"/>
      <c r="BJ24" s="280"/>
      <c r="BK24" s="280"/>
      <c r="BL24" s="280"/>
      <c r="BM24" s="280"/>
      <c r="BN24" s="280"/>
      <c r="BO24" s="280"/>
      <c r="BP24" s="280"/>
      <c r="BQ24" s="280"/>
      <c r="BR24" s="280"/>
      <c r="BS24" s="280"/>
      <c r="BT24" s="280"/>
      <c r="BU24" s="280"/>
      <c r="BV24" s="280"/>
      <c r="BW24" s="280"/>
      <c r="BX24" s="280"/>
      <c r="BY24" s="280"/>
      <c r="BZ24" s="280"/>
      <c r="CA24" s="280"/>
      <c r="CB24" s="280"/>
      <c r="CC24" s="280"/>
      <c r="CD24" s="280"/>
      <c r="CE24" s="280"/>
      <c r="CF24" s="280"/>
      <c r="CG24" s="280"/>
      <c r="CH24" s="280"/>
      <c r="CI24" s="280"/>
      <c r="CJ24" s="280"/>
      <c r="CK24" s="97"/>
    </row>
    <row r="25" spans="1:89" x14ac:dyDescent="0.3">
      <c r="B25" s="105" t="s">
        <v>130</v>
      </c>
      <c r="C25" s="106">
        <v>204742.2</v>
      </c>
      <c r="D25" s="106">
        <v>203586.6</v>
      </c>
      <c r="E25" s="106">
        <v>194949.3</v>
      </c>
      <c r="F25" s="107">
        <v>196265.5</v>
      </c>
      <c r="G25" s="107">
        <v>193092.8</v>
      </c>
      <c r="H25" s="107">
        <v>199467.1</v>
      </c>
      <c r="I25" s="107">
        <v>199402.1</v>
      </c>
      <c r="J25" s="107">
        <v>168128.2</v>
      </c>
      <c r="K25" s="107">
        <v>169680.8</v>
      </c>
      <c r="L25" s="107">
        <v>170059.1</v>
      </c>
      <c r="M25" s="107">
        <v>171352</v>
      </c>
      <c r="N25" s="107">
        <v>180344.4</v>
      </c>
      <c r="O25" s="107">
        <v>182267.9</v>
      </c>
      <c r="P25" s="107">
        <v>182494.9</v>
      </c>
      <c r="Q25" s="107">
        <v>181898.3</v>
      </c>
      <c r="R25" s="107">
        <v>181585.80000000002</v>
      </c>
      <c r="S25" s="107">
        <v>182554.5</v>
      </c>
      <c r="T25" s="107">
        <v>181433.60000000001</v>
      </c>
      <c r="U25" s="107">
        <v>182828.7</v>
      </c>
      <c r="V25" s="107">
        <v>183742.6</v>
      </c>
      <c r="W25" s="107">
        <v>185580.5</v>
      </c>
      <c r="X25" s="107">
        <v>186443.1</v>
      </c>
      <c r="Y25" s="107">
        <v>185616.8</v>
      </c>
      <c r="Z25" s="107">
        <v>186470</v>
      </c>
      <c r="AA25" s="107">
        <v>186103.5</v>
      </c>
      <c r="AB25" s="107">
        <v>186255.4</v>
      </c>
      <c r="AC25" s="107">
        <v>187985.1</v>
      </c>
      <c r="AD25" s="107">
        <v>190144.1</v>
      </c>
      <c r="AE25" s="107">
        <v>192522.8</v>
      </c>
      <c r="AF25" s="107">
        <v>195766.8</v>
      </c>
      <c r="AG25" s="107">
        <v>197669</v>
      </c>
      <c r="AH25" s="107">
        <v>198689.30000000002</v>
      </c>
      <c r="AI25" s="107">
        <v>197894.3</v>
      </c>
      <c r="AJ25" s="282">
        <v>203841.2</v>
      </c>
      <c r="AK25" s="282">
        <v>208471.3</v>
      </c>
      <c r="AL25" s="282">
        <v>218580.6</v>
      </c>
      <c r="AM25" s="282">
        <v>222372.8</v>
      </c>
      <c r="AN25" s="282">
        <v>223389.6</v>
      </c>
      <c r="AO25" s="282">
        <v>226690.1</v>
      </c>
      <c r="AP25" s="282">
        <v>226942.9</v>
      </c>
      <c r="AQ25" s="282">
        <v>227060.3</v>
      </c>
      <c r="AR25" s="282">
        <v>230360.8</v>
      </c>
      <c r="AS25" s="282">
        <v>234983.7</v>
      </c>
      <c r="AT25" s="282">
        <v>235884.79999999999</v>
      </c>
      <c r="AU25" s="282">
        <v>240422.2</v>
      </c>
      <c r="AV25" s="282">
        <v>241181.3</v>
      </c>
      <c r="AW25" s="282">
        <v>239928</v>
      </c>
      <c r="AX25" s="282">
        <v>244551.8</v>
      </c>
      <c r="AY25" s="282">
        <v>245972.6</v>
      </c>
      <c r="AZ25" s="282">
        <v>245228.2</v>
      </c>
      <c r="BA25" s="282">
        <v>245423.1</v>
      </c>
      <c r="BB25" s="282">
        <v>245826.30000000002</v>
      </c>
      <c r="BC25" s="282">
        <v>249246.8</v>
      </c>
      <c r="BD25" s="282">
        <v>256193.4</v>
      </c>
      <c r="BE25" s="282">
        <v>260357.2</v>
      </c>
      <c r="BF25" s="282">
        <v>243858.9</v>
      </c>
      <c r="BG25" s="282">
        <v>255815.1</v>
      </c>
      <c r="BH25" s="282">
        <v>268524.3</v>
      </c>
      <c r="BI25" s="282">
        <v>277382</v>
      </c>
      <c r="BJ25" s="282">
        <v>221910.30000000002</v>
      </c>
      <c r="BK25" s="282">
        <v>230730</v>
      </c>
      <c r="BL25" s="282">
        <v>237175.8</v>
      </c>
      <c r="BM25" s="282">
        <v>254222.6</v>
      </c>
      <c r="BN25" s="282">
        <v>267509</v>
      </c>
      <c r="BO25" s="282">
        <v>288799.8</v>
      </c>
      <c r="BP25" s="282">
        <v>295292.79999999999</v>
      </c>
      <c r="BQ25" s="282">
        <v>305523.59999999998</v>
      </c>
      <c r="BR25" s="282">
        <v>310531.5</v>
      </c>
      <c r="BS25" s="282">
        <v>312010</v>
      </c>
      <c r="BT25" s="282">
        <v>316156.2</v>
      </c>
      <c r="BU25" s="282">
        <v>317964.7</v>
      </c>
      <c r="BV25" s="282">
        <v>318872.10000000003</v>
      </c>
      <c r="BW25" s="282">
        <v>321538.09999999998</v>
      </c>
      <c r="BX25" s="282">
        <v>324806.5</v>
      </c>
      <c r="BY25" s="282">
        <v>326708</v>
      </c>
      <c r="BZ25" s="282">
        <v>311118.2</v>
      </c>
      <c r="CA25" s="282">
        <v>298656.40000000002</v>
      </c>
      <c r="CB25" s="282">
        <v>302712.40000000002</v>
      </c>
      <c r="CC25" s="282">
        <v>285829.40000000002</v>
      </c>
      <c r="CD25" s="282">
        <v>290001.8</v>
      </c>
      <c r="CE25" s="282">
        <v>290102.09999999998</v>
      </c>
      <c r="CF25" s="282">
        <v>279963.09999999998</v>
      </c>
      <c r="CG25" s="282">
        <v>283804.3</v>
      </c>
      <c r="CH25" s="282">
        <v>290227.3</v>
      </c>
      <c r="CI25" s="282">
        <v>296804.3</v>
      </c>
      <c r="CJ25" s="282">
        <v>308389.09999999998</v>
      </c>
      <c r="CK25" s="371"/>
    </row>
    <row r="26" spans="1:89" ht="5.25" customHeight="1" x14ac:dyDescent="0.3">
      <c r="B26" s="108"/>
      <c r="C26" s="109"/>
      <c r="D26" s="109"/>
      <c r="E26" s="109"/>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372"/>
    </row>
    <row r="27" spans="1:89" x14ac:dyDescent="0.3">
      <c r="B27" s="105" t="s">
        <v>210</v>
      </c>
      <c r="C27" s="106">
        <v>62.5</v>
      </c>
      <c r="D27" s="106">
        <v>62.4</v>
      </c>
      <c r="E27" s="106">
        <v>62.2</v>
      </c>
      <c r="F27" s="111">
        <v>62.3</v>
      </c>
      <c r="G27" s="111">
        <v>62.3</v>
      </c>
      <c r="H27" s="111">
        <v>62.5</v>
      </c>
      <c r="I27" s="111">
        <v>62.5</v>
      </c>
      <c r="J27" s="111">
        <v>62</v>
      </c>
      <c r="K27" s="111">
        <v>62.1</v>
      </c>
      <c r="L27" s="111">
        <v>62</v>
      </c>
      <c r="M27" s="111">
        <v>62.1</v>
      </c>
      <c r="N27" s="111">
        <v>62.2</v>
      </c>
      <c r="O27" s="111">
        <v>62.2</v>
      </c>
      <c r="P27" s="111">
        <v>62.2</v>
      </c>
      <c r="Q27" s="111">
        <v>62.2</v>
      </c>
      <c r="R27" s="111">
        <v>62.1</v>
      </c>
      <c r="S27" s="111">
        <v>62.1</v>
      </c>
      <c r="T27" s="111">
        <v>62.1</v>
      </c>
      <c r="U27" s="111">
        <v>62.1</v>
      </c>
      <c r="V27" s="111">
        <v>62</v>
      </c>
      <c r="W27" s="111">
        <v>62</v>
      </c>
      <c r="X27" s="111">
        <v>62</v>
      </c>
      <c r="Y27" s="111">
        <v>62</v>
      </c>
      <c r="Z27" s="111">
        <v>62</v>
      </c>
      <c r="AA27" s="111">
        <v>62</v>
      </c>
      <c r="AB27" s="111">
        <v>62</v>
      </c>
      <c r="AC27" s="111">
        <v>62</v>
      </c>
      <c r="AD27" s="111">
        <v>62.1</v>
      </c>
      <c r="AE27" s="111">
        <v>62.1</v>
      </c>
      <c r="AF27" s="111">
        <v>62.2</v>
      </c>
      <c r="AG27" s="111">
        <v>62.2</v>
      </c>
      <c r="AH27" s="111">
        <v>62.2</v>
      </c>
      <c r="AI27" s="111">
        <v>62.2</v>
      </c>
      <c r="AJ27" s="284">
        <v>62.300000000000004</v>
      </c>
      <c r="AK27" s="284">
        <v>62.3</v>
      </c>
      <c r="AL27" s="284">
        <v>62.3</v>
      </c>
      <c r="AM27" s="284">
        <v>62.3</v>
      </c>
      <c r="AN27" s="284">
        <v>62.4</v>
      </c>
      <c r="AO27" s="284">
        <v>62.3</v>
      </c>
      <c r="AP27" s="284">
        <v>62.4</v>
      </c>
      <c r="AQ27" s="284">
        <v>62.4</v>
      </c>
      <c r="AR27" s="284">
        <v>62.4</v>
      </c>
      <c r="AS27" s="284">
        <v>62.4</v>
      </c>
      <c r="AT27" s="284">
        <v>62.5</v>
      </c>
      <c r="AU27" s="284">
        <v>62.4</v>
      </c>
      <c r="AV27" s="284">
        <v>62.4</v>
      </c>
      <c r="AW27" s="284">
        <v>62.4</v>
      </c>
      <c r="AX27" s="284">
        <v>62.4</v>
      </c>
      <c r="AY27" s="284">
        <v>62.4</v>
      </c>
      <c r="AZ27" s="284">
        <v>62.4</v>
      </c>
      <c r="BA27" s="284">
        <v>62.3</v>
      </c>
      <c r="BB27" s="284">
        <v>62.3</v>
      </c>
      <c r="BC27" s="284">
        <v>62.4</v>
      </c>
      <c r="BD27" s="284">
        <v>62.3</v>
      </c>
      <c r="BE27" s="284">
        <v>62.4</v>
      </c>
      <c r="BF27" s="284">
        <v>62</v>
      </c>
      <c r="BG27" s="284">
        <v>62.2</v>
      </c>
      <c r="BH27" s="284">
        <v>62.4</v>
      </c>
      <c r="BI27" s="284">
        <v>62.6</v>
      </c>
      <c r="BJ27" s="284">
        <v>61.5</v>
      </c>
      <c r="BK27" s="284">
        <v>61.7</v>
      </c>
      <c r="BL27" s="284">
        <v>61.9</v>
      </c>
      <c r="BM27" s="284">
        <v>62.2</v>
      </c>
      <c r="BN27" s="284">
        <v>62.199999999999996</v>
      </c>
      <c r="BO27" s="284">
        <v>62.4</v>
      </c>
      <c r="BP27" s="284">
        <v>62.5</v>
      </c>
      <c r="BQ27" s="284">
        <v>62.6</v>
      </c>
      <c r="BR27" s="284">
        <v>62.5</v>
      </c>
      <c r="BS27" s="284">
        <v>62.6</v>
      </c>
      <c r="BT27" s="284">
        <v>62.7</v>
      </c>
      <c r="BU27" s="284">
        <v>62.7</v>
      </c>
      <c r="BV27" s="284">
        <v>62.7</v>
      </c>
      <c r="BW27" s="284">
        <v>62.7</v>
      </c>
      <c r="BX27" s="284">
        <v>62.7</v>
      </c>
      <c r="BY27" s="284">
        <v>62.8</v>
      </c>
      <c r="BZ27" s="284">
        <v>62.6</v>
      </c>
      <c r="CA27" s="284">
        <v>62.7</v>
      </c>
      <c r="CB27" s="284">
        <v>62.7</v>
      </c>
      <c r="CC27" s="284">
        <v>62.5</v>
      </c>
      <c r="CD27" s="284">
        <v>62.5</v>
      </c>
      <c r="CE27" s="284">
        <v>62.5</v>
      </c>
      <c r="CF27" s="284">
        <v>62.4</v>
      </c>
      <c r="CG27" s="284">
        <v>62.5</v>
      </c>
      <c r="CH27" s="284">
        <v>62.6</v>
      </c>
      <c r="CI27" s="284">
        <v>62.6</v>
      </c>
      <c r="CJ27" s="284">
        <v>62.6</v>
      </c>
      <c r="CK27" s="373"/>
    </row>
    <row r="28" spans="1:89" ht="5.25" customHeight="1" x14ac:dyDescent="0.3">
      <c r="B28" s="108"/>
      <c r="C28" s="109"/>
      <c r="D28" s="109"/>
      <c r="E28" s="109"/>
      <c r="F28" s="110"/>
      <c r="G28" s="110"/>
      <c r="H28" s="110"/>
      <c r="I28" s="110"/>
      <c r="J28" s="110"/>
      <c r="K28" s="110"/>
      <c r="L28" s="110"/>
      <c r="M28" s="110"/>
      <c r="N28" s="110"/>
      <c r="O28" s="110"/>
      <c r="P28" s="110"/>
      <c r="Q28" s="110">
        <v>0</v>
      </c>
      <c r="R28" s="110"/>
      <c r="S28" s="110"/>
      <c r="T28" s="110"/>
      <c r="U28" s="110"/>
      <c r="V28" s="110"/>
      <c r="W28" s="110"/>
      <c r="X28" s="110"/>
      <c r="Y28" s="110"/>
      <c r="Z28" s="110"/>
      <c r="AA28" s="110"/>
      <c r="AB28" s="110"/>
      <c r="AC28" s="110"/>
      <c r="AD28" s="110"/>
      <c r="AE28" s="110"/>
      <c r="AF28" s="110"/>
      <c r="AG28" s="110"/>
      <c r="AH28" s="110"/>
      <c r="AI28" s="110"/>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372"/>
    </row>
    <row r="29" spans="1:89" x14ac:dyDescent="0.3">
      <c r="B29" s="105" t="s">
        <v>211</v>
      </c>
      <c r="C29" s="106">
        <v>70.8</v>
      </c>
      <c r="D29" s="106">
        <v>69</v>
      </c>
      <c r="E29" s="106">
        <v>64.3</v>
      </c>
      <c r="F29" s="111">
        <v>65.8</v>
      </c>
      <c r="G29" s="111">
        <v>67.2</v>
      </c>
      <c r="H29" s="111">
        <v>73.2</v>
      </c>
      <c r="I29" s="111">
        <v>72.900000000000006</v>
      </c>
      <c r="J29" s="111">
        <v>55.6</v>
      </c>
      <c r="K29" s="111">
        <v>58.8</v>
      </c>
      <c r="L29" s="111">
        <v>59.3</v>
      </c>
      <c r="M29" s="111">
        <v>61.8</v>
      </c>
      <c r="N29" s="111">
        <v>64.099999999999994</v>
      </c>
      <c r="O29" s="111">
        <v>65.3</v>
      </c>
      <c r="P29" s="111">
        <v>65.8</v>
      </c>
      <c r="Q29" s="111">
        <v>64.8</v>
      </c>
      <c r="R29" s="111">
        <v>62.1</v>
      </c>
      <c r="S29" s="111">
        <v>61.9</v>
      </c>
      <c r="T29" s="111">
        <v>60.7</v>
      </c>
      <c r="U29" s="111">
        <v>59.8</v>
      </c>
      <c r="V29" s="111">
        <v>58.8</v>
      </c>
      <c r="W29" s="111">
        <v>58.7</v>
      </c>
      <c r="X29" s="111">
        <v>50.3</v>
      </c>
      <c r="Y29" s="111">
        <v>50</v>
      </c>
      <c r="Z29" s="111">
        <v>50.1</v>
      </c>
      <c r="AA29" s="111">
        <v>49.9</v>
      </c>
      <c r="AB29" s="111">
        <v>50.3</v>
      </c>
      <c r="AC29" s="111">
        <v>51</v>
      </c>
      <c r="AD29" s="111">
        <v>50.699999999999996</v>
      </c>
      <c r="AE29" s="111">
        <v>52.4</v>
      </c>
      <c r="AF29" s="111">
        <v>53.7</v>
      </c>
      <c r="AG29" s="111">
        <v>52.8</v>
      </c>
      <c r="AH29" s="111">
        <v>53.8</v>
      </c>
      <c r="AI29" s="111">
        <v>54.7</v>
      </c>
      <c r="AJ29" s="284">
        <v>55.3</v>
      </c>
      <c r="AK29" s="284">
        <v>56.6</v>
      </c>
      <c r="AL29" s="284">
        <v>57.2</v>
      </c>
      <c r="AM29" s="284">
        <v>57.6</v>
      </c>
      <c r="AN29" s="284">
        <v>58.2</v>
      </c>
      <c r="AO29" s="284">
        <v>58.9</v>
      </c>
      <c r="AP29" s="284">
        <v>59.8</v>
      </c>
      <c r="AQ29" s="284">
        <v>61.1</v>
      </c>
      <c r="AR29" s="284">
        <v>61.8</v>
      </c>
      <c r="AS29" s="284">
        <v>61.7</v>
      </c>
      <c r="AT29" s="284">
        <v>62</v>
      </c>
      <c r="AU29" s="284">
        <v>62.5</v>
      </c>
      <c r="AV29" s="284">
        <v>61.4</v>
      </c>
      <c r="AW29" s="284">
        <v>61.1</v>
      </c>
      <c r="AX29" s="284">
        <v>60.9</v>
      </c>
      <c r="AY29" s="284">
        <v>60.1</v>
      </c>
      <c r="AZ29" s="284">
        <v>60</v>
      </c>
      <c r="BA29" s="284">
        <v>60.3</v>
      </c>
      <c r="BB29" s="284">
        <v>60.6</v>
      </c>
      <c r="BC29" s="284">
        <v>61</v>
      </c>
      <c r="BD29" s="284">
        <v>61.3</v>
      </c>
      <c r="BE29" s="284">
        <v>60.2</v>
      </c>
      <c r="BF29" s="284">
        <v>50.4</v>
      </c>
      <c r="BG29" s="284">
        <v>54.9</v>
      </c>
      <c r="BH29" s="284">
        <v>61.9</v>
      </c>
      <c r="BI29" s="284">
        <v>66.2</v>
      </c>
      <c r="BJ29" s="284">
        <v>33.1</v>
      </c>
      <c r="BK29" s="284">
        <v>38.5</v>
      </c>
      <c r="BL29" s="284">
        <v>45.9</v>
      </c>
      <c r="BM29" s="284">
        <v>52.8</v>
      </c>
      <c r="BN29" s="284">
        <v>49.7</v>
      </c>
      <c r="BO29" s="284">
        <v>53.5</v>
      </c>
      <c r="BP29" s="284">
        <v>55.8</v>
      </c>
      <c r="BQ29" s="284">
        <v>56.6</v>
      </c>
      <c r="BR29" s="284">
        <v>57.699999999999996</v>
      </c>
      <c r="BS29" s="284">
        <v>59</v>
      </c>
      <c r="BT29" s="284">
        <v>89.7</v>
      </c>
      <c r="BU29" s="284">
        <v>90.2</v>
      </c>
      <c r="BV29" s="284">
        <v>90.6</v>
      </c>
      <c r="BW29" s="284">
        <v>90.8</v>
      </c>
      <c r="BX29" s="284">
        <v>91.6</v>
      </c>
      <c r="BY29" s="284">
        <v>92.5</v>
      </c>
      <c r="BZ29" s="284">
        <v>89.1</v>
      </c>
      <c r="CA29" s="284">
        <v>89.8</v>
      </c>
      <c r="CB29" s="284">
        <v>91.1</v>
      </c>
      <c r="CC29" s="284">
        <v>84.9</v>
      </c>
      <c r="CD29" s="284">
        <v>87</v>
      </c>
      <c r="CE29" s="284">
        <v>86.2</v>
      </c>
      <c r="CF29" s="284">
        <v>84.4</v>
      </c>
      <c r="CG29" s="284">
        <v>85.3</v>
      </c>
      <c r="CH29" s="284">
        <v>86.3</v>
      </c>
      <c r="CI29" s="284">
        <v>88.2</v>
      </c>
      <c r="CJ29" s="284">
        <v>91.4</v>
      </c>
      <c r="CK29" s="373"/>
    </row>
    <row r="30" spans="1:89" ht="16.2" x14ac:dyDescent="0.3">
      <c r="B30" s="112"/>
      <c r="C30" s="112"/>
      <c r="D30" s="112"/>
      <c r="E30" s="112"/>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285"/>
      <c r="AK30" s="285"/>
      <c r="AL30" s="285"/>
      <c r="AM30" s="285"/>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5"/>
      <c r="BK30" s="285"/>
      <c r="BL30" s="285"/>
      <c r="BM30" s="285"/>
      <c r="BN30" s="285"/>
      <c r="BO30" s="285"/>
      <c r="BP30" s="285"/>
      <c r="BQ30" s="285"/>
      <c r="BR30" s="285"/>
      <c r="BS30" s="285"/>
      <c r="BT30" s="285"/>
      <c r="BU30" s="285"/>
      <c r="BV30" s="285"/>
      <c r="BW30" s="285"/>
      <c r="BX30" s="285"/>
      <c r="BY30" s="285"/>
      <c r="BZ30" s="285"/>
      <c r="CA30" s="285"/>
      <c r="CB30" s="285"/>
      <c r="CC30" s="285"/>
      <c r="CD30" s="285"/>
      <c r="CE30" s="285"/>
      <c r="CF30" s="285"/>
      <c r="CG30" s="285"/>
      <c r="CH30" s="285"/>
      <c r="CI30" s="285"/>
      <c r="CJ30" s="285"/>
      <c r="CK30" s="114"/>
    </row>
    <row r="31" spans="1:89" ht="16.2" x14ac:dyDescent="0.3">
      <c r="A31" s="102" t="s">
        <v>295</v>
      </c>
      <c r="B31" s="249" t="s">
        <v>132</v>
      </c>
      <c r="C31" s="246">
        <f t="shared" ref="C31:U31" si="43">+C33+C35+C37</f>
        <v>130785.79999999999</v>
      </c>
      <c r="D31" s="246">
        <f t="shared" si="43"/>
        <v>130759.00000000001</v>
      </c>
      <c r="E31" s="246">
        <f t="shared" si="43"/>
        <v>129822.5</v>
      </c>
      <c r="F31" s="246">
        <f t="shared" si="43"/>
        <v>137929.29999999999</v>
      </c>
      <c r="G31" s="246">
        <f t="shared" si="43"/>
        <v>136708.30000000002</v>
      </c>
      <c r="H31" s="246">
        <f t="shared" si="43"/>
        <v>137664.30000000002</v>
      </c>
      <c r="I31" s="246">
        <f t="shared" si="43"/>
        <v>142420</v>
      </c>
      <c r="J31" s="246">
        <f t="shared" si="43"/>
        <v>141856.5</v>
      </c>
      <c r="K31" s="246">
        <f t="shared" si="43"/>
        <v>141449.5</v>
      </c>
      <c r="L31" s="246">
        <f t="shared" si="43"/>
        <v>142290.6</v>
      </c>
      <c r="M31" s="246">
        <f t="shared" si="43"/>
        <v>141823.19999999998</v>
      </c>
      <c r="N31" s="246">
        <f t="shared" si="43"/>
        <v>142593.9</v>
      </c>
      <c r="O31" s="246">
        <f t="shared" si="43"/>
        <v>142045.20000000001</v>
      </c>
      <c r="P31" s="246">
        <f t="shared" si="43"/>
        <v>141747</v>
      </c>
      <c r="Q31" s="246">
        <f t="shared" si="43"/>
        <v>141355.9</v>
      </c>
      <c r="R31" s="246">
        <f t="shared" si="43"/>
        <v>141544.80000000002</v>
      </c>
      <c r="S31" s="246">
        <f t="shared" si="43"/>
        <v>142129.80000000002</v>
      </c>
      <c r="T31" s="246">
        <f t="shared" si="43"/>
        <v>142996</v>
      </c>
      <c r="U31" s="246">
        <f t="shared" si="43"/>
        <v>145137.29999999999</v>
      </c>
      <c r="V31" s="246">
        <f t="shared" ref="V31" si="44">+V33+V35+V37</f>
        <v>145616.1</v>
      </c>
      <c r="W31" s="246">
        <f t="shared" ref="W31:AA31" si="45">+W33+W35+W37</f>
        <v>146546.29999999999</v>
      </c>
      <c r="X31" s="246">
        <f t="shared" si="45"/>
        <v>146639.30000000002</v>
      </c>
      <c r="Y31" s="246">
        <f t="shared" si="45"/>
        <v>147524.99999999997</v>
      </c>
      <c r="Z31" s="246">
        <f t="shared" si="45"/>
        <v>149000.1</v>
      </c>
      <c r="AA31" s="246">
        <f t="shared" si="45"/>
        <v>148713.79999999999</v>
      </c>
      <c r="AB31" s="246">
        <f t="shared" ref="AB31:AP31" si="46">+AB33+AB35+AB37</f>
        <v>148516.09999999998</v>
      </c>
      <c r="AC31" s="246">
        <f t="shared" si="46"/>
        <v>147458</v>
      </c>
      <c r="AD31" s="247">
        <f t="shared" si="46"/>
        <v>148075.19999999998</v>
      </c>
      <c r="AE31" s="247">
        <f t="shared" si="46"/>
        <v>148454.5</v>
      </c>
      <c r="AF31" s="247">
        <f t="shared" si="46"/>
        <v>147641.20000000001</v>
      </c>
      <c r="AG31" s="247">
        <f t="shared" si="46"/>
        <v>147356.30000000002</v>
      </c>
      <c r="AH31" s="247">
        <f t="shared" si="46"/>
        <v>147065.1</v>
      </c>
      <c r="AI31" s="247">
        <f t="shared" si="46"/>
        <v>144608.9</v>
      </c>
      <c r="AJ31" s="308">
        <f t="shared" si="46"/>
        <v>145270.29999999999</v>
      </c>
      <c r="AK31" s="308">
        <f t="shared" si="46"/>
        <v>145832.1</v>
      </c>
      <c r="AL31" s="308">
        <f t="shared" si="46"/>
        <v>144532.5</v>
      </c>
      <c r="AM31" s="308">
        <f t="shared" si="46"/>
        <v>143254.9</v>
      </c>
      <c r="AN31" s="308">
        <f t="shared" si="46"/>
        <v>143116.1</v>
      </c>
      <c r="AO31" s="308">
        <f t="shared" si="46"/>
        <v>149489.1</v>
      </c>
      <c r="AP31" s="308">
        <f t="shared" si="46"/>
        <v>147133.79999999999</v>
      </c>
      <c r="AQ31" s="308">
        <f t="shared" ref="AQ31:AY31" si="47">+AQ33+AQ35+AQ37</f>
        <v>147394</v>
      </c>
      <c r="AR31" s="308">
        <f t="shared" si="47"/>
        <v>148020.6</v>
      </c>
      <c r="AS31" s="308">
        <f t="shared" si="47"/>
        <v>145664.9</v>
      </c>
      <c r="AT31" s="308">
        <f t="shared" si="47"/>
        <v>145111.70000000001</v>
      </c>
      <c r="AU31" s="308">
        <f t="shared" si="47"/>
        <v>141734.1</v>
      </c>
      <c r="AV31" s="308">
        <f t="shared" si="47"/>
        <v>144967.29999999999</v>
      </c>
      <c r="AW31" s="308">
        <f t="shared" si="47"/>
        <v>146608</v>
      </c>
      <c r="AX31" s="308">
        <f t="shared" si="47"/>
        <v>151880.09999999998</v>
      </c>
      <c r="AY31" s="308">
        <f t="shared" si="47"/>
        <v>149761.19999999998</v>
      </c>
      <c r="AZ31" s="308">
        <f t="shared" ref="AZ31:BA31" si="48">+AZ33+AZ35+AZ37</f>
        <v>148848.6</v>
      </c>
      <c r="BA31" s="308">
        <f t="shared" si="48"/>
        <v>152700</v>
      </c>
      <c r="BB31" s="308">
        <f t="shared" ref="BB31:BC31" si="49">+BB33+BB35+BB37</f>
        <v>150322.99999999997</v>
      </c>
      <c r="BC31" s="308">
        <f t="shared" si="49"/>
        <v>149463</v>
      </c>
      <c r="BD31" s="308">
        <f t="shared" ref="BD31:BH31" si="50">+BD33+BD35+BD37</f>
        <v>147518.80000000002</v>
      </c>
      <c r="BE31" s="308">
        <f t="shared" si="50"/>
        <v>145654.10000000003</v>
      </c>
      <c r="BF31" s="308">
        <f t="shared" si="50"/>
        <v>151786.99999999997</v>
      </c>
      <c r="BG31" s="308">
        <f t="shared" si="50"/>
        <v>151015.9</v>
      </c>
      <c r="BH31" s="308">
        <f t="shared" si="50"/>
        <v>149370.5</v>
      </c>
      <c r="BI31" s="308">
        <f t="shared" ref="BI31:CJ31" si="51">+BI33+BI35+BI37</f>
        <v>148045.09999999998</v>
      </c>
      <c r="BJ31" s="308">
        <f t="shared" ref="BJ31:BL31" si="52">+BJ33+BJ35+BJ37</f>
        <v>148668.5</v>
      </c>
      <c r="BK31" s="308">
        <f t="shared" si="52"/>
        <v>150442.6</v>
      </c>
      <c r="BL31" s="308">
        <f t="shared" si="52"/>
        <v>149256.20000000001</v>
      </c>
      <c r="BM31" s="308">
        <f t="shared" ref="BM31:CI31" si="53">+BM33+BM35+BM37</f>
        <v>148714.80000000002</v>
      </c>
      <c r="BN31" s="308">
        <f t="shared" si="53"/>
        <v>146414.69999999998</v>
      </c>
      <c r="BO31" s="308">
        <f t="shared" si="53"/>
        <v>146782</v>
      </c>
      <c r="BP31" s="308">
        <f t="shared" si="53"/>
        <v>147103.79999999999</v>
      </c>
      <c r="BQ31" s="308">
        <f t="shared" si="53"/>
        <v>146427.70000000001</v>
      </c>
      <c r="BR31" s="308">
        <f t="shared" si="53"/>
        <v>147757</v>
      </c>
      <c r="BS31" s="308">
        <f t="shared" si="53"/>
        <v>147937.20000000001</v>
      </c>
      <c r="BT31" s="308">
        <f t="shared" si="53"/>
        <v>146933.19999999998</v>
      </c>
      <c r="BU31" s="308">
        <f t="shared" si="53"/>
        <v>146818.1</v>
      </c>
      <c r="BV31" s="308">
        <f t="shared" si="53"/>
        <v>147895.79999999999</v>
      </c>
      <c r="BW31" s="308">
        <f t="shared" si="53"/>
        <v>146103</v>
      </c>
      <c r="BX31" s="308">
        <f t="shared" si="53"/>
        <v>146202.90000000002</v>
      </c>
      <c r="BY31" s="308">
        <f t="shared" si="53"/>
        <v>146697.5</v>
      </c>
      <c r="BZ31" s="308">
        <f t="shared" si="53"/>
        <v>161648.1</v>
      </c>
      <c r="CA31" s="308">
        <f t="shared" si="53"/>
        <v>162208.30000000002</v>
      </c>
      <c r="CB31" s="308">
        <f t="shared" si="53"/>
        <v>162486.9</v>
      </c>
      <c r="CC31" s="308">
        <f t="shared" si="53"/>
        <v>161200.29999999999</v>
      </c>
      <c r="CD31" s="308">
        <f t="shared" si="53"/>
        <v>164112.10000000003</v>
      </c>
      <c r="CE31" s="308">
        <f t="shared" si="53"/>
        <v>163786.19999999998</v>
      </c>
      <c r="CF31" s="308">
        <f t="shared" si="53"/>
        <v>163128.6</v>
      </c>
      <c r="CG31" s="308">
        <f t="shared" si="53"/>
        <v>163079.59999999998</v>
      </c>
      <c r="CH31" s="308">
        <f t="shared" si="53"/>
        <v>164700.49999999997</v>
      </c>
      <c r="CI31" s="308">
        <f t="shared" si="53"/>
        <v>163979.1</v>
      </c>
      <c r="CJ31" s="308">
        <f t="shared" si="51"/>
        <v>163591.6</v>
      </c>
      <c r="CK31" s="248">
        <f>+CJ31/$CJ$14</f>
        <v>0.34649349009932973</v>
      </c>
    </row>
    <row r="32" spans="1:89" ht="18" x14ac:dyDescent="0.35">
      <c r="B32" s="103"/>
      <c r="C32" s="103">
        <v>0</v>
      </c>
      <c r="D32" s="103">
        <v>0</v>
      </c>
      <c r="E32" s="103">
        <v>0</v>
      </c>
      <c r="F32" s="115">
        <v>0</v>
      </c>
      <c r="G32" s="115">
        <v>0</v>
      </c>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286"/>
      <c r="AK32" s="286"/>
      <c r="AL32" s="286"/>
      <c r="AM32" s="286"/>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6"/>
      <c r="BK32" s="286"/>
      <c r="BL32" s="286"/>
      <c r="BM32" s="286"/>
      <c r="BN32" s="286"/>
      <c r="BO32" s="286"/>
      <c r="BP32" s="286"/>
      <c r="BQ32" s="286"/>
      <c r="BR32" s="286"/>
      <c r="BS32" s="286"/>
      <c r="BT32" s="286"/>
      <c r="BU32" s="286"/>
      <c r="BV32" s="286"/>
      <c r="BW32" s="286"/>
      <c r="BX32" s="286"/>
      <c r="BY32" s="286"/>
      <c r="BZ32" s="286"/>
      <c r="CA32" s="286"/>
      <c r="CB32" s="286"/>
      <c r="CC32" s="286"/>
      <c r="CD32" s="286"/>
      <c r="CE32" s="286"/>
      <c r="CF32" s="286"/>
      <c r="CG32" s="286"/>
      <c r="CH32" s="286"/>
      <c r="CI32" s="286"/>
      <c r="CJ32" s="286"/>
      <c r="CK32" s="116"/>
    </row>
    <row r="33" spans="2:89" x14ac:dyDescent="0.3">
      <c r="B33" s="105" t="s">
        <v>130</v>
      </c>
      <c r="C33" s="117">
        <v>128004.4</v>
      </c>
      <c r="D33" s="117">
        <v>127984.6</v>
      </c>
      <c r="E33" s="117">
        <v>127368</v>
      </c>
      <c r="F33" s="111">
        <v>135475.6</v>
      </c>
      <c r="G33" s="111">
        <v>134257.60000000001</v>
      </c>
      <c r="H33" s="111">
        <v>135239</v>
      </c>
      <c r="I33" s="111">
        <v>140018.20000000001</v>
      </c>
      <c r="J33" s="111">
        <v>139461</v>
      </c>
      <c r="K33" s="111">
        <v>139061.9</v>
      </c>
      <c r="L33" s="111">
        <v>139882.5</v>
      </c>
      <c r="M33" s="111">
        <v>139426.5</v>
      </c>
      <c r="N33" s="111">
        <v>140181</v>
      </c>
      <c r="O33" s="111">
        <v>139640.70000000001</v>
      </c>
      <c r="P33" s="111">
        <v>139348.6</v>
      </c>
      <c r="Q33" s="111">
        <v>138957</v>
      </c>
      <c r="R33" s="111">
        <v>139151.70000000001</v>
      </c>
      <c r="S33" s="111">
        <v>139725.6</v>
      </c>
      <c r="T33" s="111">
        <v>140581</v>
      </c>
      <c r="U33" s="111">
        <v>142679.1</v>
      </c>
      <c r="V33" s="111">
        <v>143144.1</v>
      </c>
      <c r="W33" s="111">
        <v>144091.9</v>
      </c>
      <c r="X33" s="111">
        <v>144190.20000000001</v>
      </c>
      <c r="Y33" s="111">
        <v>145053.29999999999</v>
      </c>
      <c r="Z33" s="111">
        <v>146505</v>
      </c>
      <c r="AA33" s="111">
        <v>146225.4</v>
      </c>
      <c r="AB33" s="111">
        <v>146033.29999999999</v>
      </c>
      <c r="AC33" s="111">
        <v>145004.5</v>
      </c>
      <c r="AD33" s="111">
        <v>145597.79999999999</v>
      </c>
      <c r="AE33" s="111">
        <v>145960.4</v>
      </c>
      <c r="AF33" s="111">
        <v>145177.4</v>
      </c>
      <c r="AG33" s="111">
        <v>144890.6</v>
      </c>
      <c r="AH33" s="111">
        <v>144604.70000000001</v>
      </c>
      <c r="AI33" s="111">
        <v>142167</v>
      </c>
      <c r="AJ33" s="284">
        <v>142830.39999999999</v>
      </c>
      <c r="AK33" s="284">
        <v>143409.9</v>
      </c>
      <c r="AL33" s="284">
        <v>142108.1</v>
      </c>
      <c r="AM33" s="284">
        <v>140841.5</v>
      </c>
      <c r="AN33" s="284">
        <v>140703.6</v>
      </c>
      <c r="AO33" s="284">
        <v>147090.6</v>
      </c>
      <c r="AP33" s="284">
        <v>144779.4</v>
      </c>
      <c r="AQ33" s="284">
        <v>145023.9</v>
      </c>
      <c r="AR33" s="284">
        <v>145671.70000000001</v>
      </c>
      <c r="AS33" s="284">
        <v>143336.5</v>
      </c>
      <c r="AT33" s="284">
        <v>142797.6</v>
      </c>
      <c r="AU33" s="284">
        <v>139441.60000000001</v>
      </c>
      <c r="AV33" s="284">
        <v>142668.79999999999</v>
      </c>
      <c r="AW33" s="284">
        <v>144265.5</v>
      </c>
      <c r="AX33" s="284">
        <v>149512.4</v>
      </c>
      <c r="AY33" s="284">
        <v>147380.5</v>
      </c>
      <c r="AZ33" s="284">
        <v>146492.20000000001</v>
      </c>
      <c r="BA33" s="284">
        <v>150321.60000000001</v>
      </c>
      <c r="BB33" s="284">
        <v>147930.4</v>
      </c>
      <c r="BC33" s="284">
        <v>147097.60000000001</v>
      </c>
      <c r="BD33" s="284">
        <v>145136.20000000001</v>
      </c>
      <c r="BE33" s="284">
        <v>143264.20000000001</v>
      </c>
      <c r="BF33" s="284">
        <v>149409.79999999999</v>
      </c>
      <c r="BG33" s="284">
        <v>148661.5</v>
      </c>
      <c r="BH33" s="284">
        <v>147015.79999999999</v>
      </c>
      <c r="BI33" s="284">
        <v>145664.4</v>
      </c>
      <c r="BJ33" s="284">
        <v>146314.70000000001</v>
      </c>
      <c r="BK33" s="284">
        <v>148107.79999999999</v>
      </c>
      <c r="BL33" s="284">
        <v>146923.20000000001</v>
      </c>
      <c r="BM33" s="284">
        <v>146383</v>
      </c>
      <c r="BN33" s="284">
        <v>144094.39999999999</v>
      </c>
      <c r="BO33" s="284">
        <v>144446.70000000001</v>
      </c>
      <c r="BP33" s="284">
        <v>144779.6</v>
      </c>
      <c r="BQ33" s="284">
        <v>144094.20000000001</v>
      </c>
      <c r="BR33" s="284">
        <v>145404.6</v>
      </c>
      <c r="BS33" s="284">
        <v>145577.70000000001</v>
      </c>
      <c r="BT33" s="284">
        <v>144625.29999999999</v>
      </c>
      <c r="BU33" s="284">
        <v>144534.1</v>
      </c>
      <c r="BV33" s="284">
        <v>145631.1</v>
      </c>
      <c r="BW33" s="284">
        <v>143837</v>
      </c>
      <c r="BX33" s="284">
        <v>143935.20000000001</v>
      </c>
      <c r="BY33" s="284">
        <v>144394.9</v>
      </c>
      <c r="BZ33" s="284">
        <v>159303</v>
      </c>
      <c r="CA33" s="284">
        <v>159861.4</v>
      </c>
      <c r="CB33" s="284">
        <v>160105.1</v>
      </c>
      <c r="CC33" s="284">
        <v>158849.29999999999</v>
      </c>
      <c r="CD33" s="284">
        <v>161738.70000000001</v>
      </c>
      <c r="CE33" s="284">
        <v>161409.4</v>
      </c>
      <c r="CF33" s="284">
        <v>160768.1</v>
      </c>
      <c r="CG33" s="284">
        <v>160714.4</v>
      </c>
      <c r="CH33" s="284">
        <v>162323.79999999999</v>
      </c>
      <c r="CI33" s="284">
        <v>161593.20000000001</v>
      </c>
      <c r="CJ33" s="284">
        <v>161208.29999999999</v>
      </c>
      <c r="CK33" s="373"/>
    </row>
    <row r="34" spans="2:89" ht="5.25" customHeight="1" x14ac:dyDescent="0.3">
      <c r="B34" s="108"/>
      <c r="C34" s="118"/>
      <c r="D34" s="118"/>
      <c r="E34" s="118"/>
      <c r="F34" s="110"/>
      <c r="G34" s="110"/>
      <c r="H34" s="110"/>
      <c r="I34" s="110"/>
      <c r="J34" s="110"/>
      <c r="K34" s="110"/>
      <c r="L34" s="110"/>
      <c r="M34" s="110"/>
      <c r="N34" s="110"/>
      <c r="O34" s="110">
        <v>0</v>
      </c>
      <c r="P34" s="110"/>
      <c r="Q34" s="110"/>
      <c r="R34" s="110"/>
      <c r="S34" s="110"/>
      <c r="T34" s="110"/>
      <c r="U34" s="110"/>
      <c r="V34" s="110"/>
      <c r="W34" s="110"/>
      <c r="X34" s="110"/>
      <c r="Y34" s="110"/>
      <c r="Z34" s="110"/>
      <c r="AA34" s="110"/>
      <c r="AB34" s="110"/>
      <c r="AC34" s="110"/>
      <c r="AD34" s="110"/>
      <c r="AE34" s="110"/>
      <c r="AF34" s="110"/>
      <c r="AG34" s="110"/>
      <c r="AH34" s="110"/>
      <c r="AI34" s="110"/>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372"/>
    </row>
    <row r="35" spans="2:89" x14ac:dyDescent="0.3">
      <c r="B35" s="105" t="s">
        <v>210</v>
      </c>
      <c r="C35" s="117">
        <v>42.5</v>
      </c>
      <c r="D35" s="117">
        <v>42.3</v>
      </c>
      <c r="E35" s="117">
        <v>41.9</v>
      </c>
      <c r="F35" s="111">
        <v>41.8</v>
      </c>
      <c r="G35" s="111">
        <v>41.7</v>
      </c>
      <c r="H35" s="111">
        <v>42.2</v>
      </c>
      <c r="I35" s="111">
        <v>41.4</v>
      </c>
      <c r="J35" s="111">
        <v>41.1</v>
      </c>
      <c r="K35" s="111">
        <v>40.9</v>
      </c>
      <c r="L35" s="111">
        <v>41.7</v>
      </c>
      <c r="M35" s="111">
        <v>41.3</v>
      </c>
      <c r="N35" s="111">
        <v>41.8</v>
      </c>
      <c r="O35" s="111">
        <v>41.5</v>
      </c>
      <c r="P35" s="111">
        <v>41.3</v>
      </c>
      <c r="Q35" s="111">
        <v>41.3</v>
      </c>
      <c r="R35" s="111">
        <v>41.1</v>
      </c>
      <c r="S35" s="111">
        <v>41.5</v>
      </c>
      <c r="T35" s="111">
        <v>41.9</v>
      </c>
      <c r="U35" s="111">
        <v>43.4</v>
      </c>
      <c r="V35" s="111">
        <v>43.9</v>
      </c>
      <c r="W35" s="111">
        <v>43.3</v>
      </c>
      <c r="X35" s="111">
        <v>43.1</v>
      </c>
      <c r="Y35" s="111">
        <v>43.9</v>
      </c>
      <c r="Z35" s="111">
        <v>44.7</v>
      </c>
      <c r="AA35" s="111">
        <v>44.4</v>
      </c>
      <c r="AB35" s="111">
        <v>44.3</v>
      </c>
      <c r="AC35" s="111">
        <v>43.3</v>
      </c>
      <c r="AD35" s="111">
        <v>44.1</v>
      </c>
      <c r="AE35" s="111">
        <v>44.7</v>
      </c>
      <c r="AF35" s="111">
        <v>43.6</v>
      </c>
      <c r="AG35" s="111">
        <v>43.7</v>
      </c>
      <c r="AH35" s="111">
        <v>43.5</v>
      </c>
      <c r="AI35" s="111">
        <v>42.9</v>
      </c>
      <c r="AJ35" s="284">
        <v>42.8</v>
      </c>
      <c r="AK35" s="284">
        <v>42.2</v>
      </c>
      <c r="AL35" s="284">
        <v>42.3</v>
      </c>
      <c r="AM35" s="284">
        <v>41.9</v>
      </c>
      <c r="AN35" s="284">
        <v>41.8</v>
      </c>
      <c r="AO35" s="284">
        <v>41.4</v>
      </c>
      <c r="AP35" s="284">
        <v>39.9</v>
      </c>
      <c r="AQ35" s="284">
        <v>40.5</v>
      </c>
      <c r="AR35" s="284">
        <v>39.799999999999997</v>
      </c>
      <c r="AS35" s="284">
        <v>39</v>
      </c>
      <c r="AT35" s="284">
        <v>38.5</v>
      </c>
      <c r="AU35" s="284">
        <v>37.799999999999997</v>
      </c>
      <c r="AV35" s="284">
        <v>38.1</v>
      </c>
      <c r="AW35" s="284">
        <v>39.5</v>
      </c>
      <c r="AX35" s="284">
        <v>40.4</v>
      </c>
      <c r="AY35" s="284">
        <v>40.799999999999997</v>
      </c>
      <c r="AZ35" s="284">
        <v>40</v>
      </c>
      <c r="BA35" s="284">
        <v>40.799999999999997</v>
      </c>
      <c r="BB35" s="284">
        <v>41.3</v>
      </c>
      <c r="BC35" s="284">
        <v>40.299999999999997</v>
      </c>
      <c r="BD35" s="284">
        <v>41</v>
      </c>
      <c r="BE35" s="284">
        <v>41.2</v>
      </c>
      <c r="BF35" s="284">
        <v>40.799999999999997</v>
      </c>
      <c r="BG35" s="284">
        <v>40</v>
      </c>
      <c r="BH35" s="284">
        <v>40</v>
      </c>
      <c r="BI35" s="284">
        <v>40.9</v>
      </c>
      <c r="BJ35" s="284">
        <v>41.3</v>
      </c>
      <c r="BK35" s="284">
        <v>40.700000000000003</v>
      </c>
      <c r="BL35" s="284">
        <v>40.700000000000003</v>
      </c>
      <c r="BM35" s="284">
        <v>40.6</v>
      </c>
      <c r="BN35" s="284">
        <v>40.299999999999997</v>
      </c>
      <c r="BO35" s="284">
        <v>40.799999999999997</v>
      </c>
      <c r="BP35" s="284">
        <v>40.4</v>
      </c>
      <c r="BQ35" s="284">
        <v>40.700000000000003</v>
      </c>
      <c r="BR35" s="284">
        <v>41.4</v>
      </c>
      <c r="BS35" s="284">
        <v>41.6</v>
      </c>
      <c r="BT35" s="284">
        <v>40.9</v>
      </c>
      <c r="BU35" s="284">
        <v>40</v>
      </c>
      <c r="BV35" s="284">
        <v>39.4</v>
      </c>
      <c r="BW35" s="284">
        <v>39.4</v>
      </c>
      <c r="BX35" s="284">
        <v>39.5</v>
      </c>
      <c r="BY35" s="284">
        <v>40.700000000000003</v>
      </c>
      <c r="BZ35" s="284">
        <v>42.2</v>
      </c>
      <c r="CA35" s="284">
        <v>42.2</v>
      </c>
      <c r="CB35" s="284">
        <v>43.5</v>
      </c>
      <c r="CC35" s="284">
        <v>42.4</v>
      </c>
      <c r="CD35" s="284">
        <v>43.2</v>
      </c>
      <c r="CE35" s="284">
        <v>43.3</v>
      </c>
      <c r="CF35" s="284">
        <v>42.8</v>
      </c>
      <c r="CG35" s="284">
        <v>42.9</v>
      </c>
      <c r="CH35" s="284">
        <v>43.3</v>
      </c>
      <c r="CI35" s="284">
        <v>43.6</v>
      </c>
      <c r="CJ35" s="284">
        <v>43.6</v>
      </c>
      <c r="CK35" s="373"/>
    </row>
    <row r="36" spans="2:89" ht="5.25" customHeight="1" x14ac:dyDescent="0.3">
      <c r="B36" s="108"/>
      <c r="C36" s="118"/>
      <c r="D36" s="118"/>
      <c r="E36" s="118"/>
      <c r="F36" s="110"/>
      <c r="G36" s="110"/>
      <c r="H36" s="110"/>
      <c r="I36" s="110"/>
      <c r="J36" s="110"/>
      <c r="K36" s="110"/>
      <c r="L36" s="110"/>
      <c r="M36" s="110"/>
      <c r="N36" s="110"/>
      <c r="O36" s="110">
        <v>0</v>
      </c>
      <c r="P36" s="110"/>
      <c r="Q36" s="110"/>
      <c r="R36" s="110"/>
      <c r="S36" s="110"/>
      <c r="T36" s="110"/>
      <c r="U36" s="110"/>
      <c r="V36" s="110"/>
      <c r="W36" s="110"/>
      <c r="X36" s="110"/>
      <c r="Y36" s="110"/>
      <c r="Z36" s="110"/>
      <c r="AA36" s="110"/>
      <c r="AB36" s="110"/>
      <c r="AC36" s="110"/>
      <c r="AD36" s="110"/>
      <c r="AE36" s="110"/>
      <c r="AF36" s="110"/>
      <c r="AG36" s="110"/>
      <c r="AH36" s="110"/>
      <c r="AI36" s="110"/>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372"/>
    </row>
    <row r="37" spans="2:89" x14ac:dyDescent="0.3">
      <c r="B37" s="105" t="s">
        <v>211</v>
      </c>
      <c r="C37" s="117">
        <v>2738.9</v>
      </c>
      <c r="D37" s="117">
        <v>2732.1</v>
      </c>
      <c r="E37" s="117">
        <v>2412.6</v>
      </c>
      <c r="F37" s="107">
        <v>2411.9</v>
      </c>
      <c r="G37" s="107">
        <v>2409</v>
      </c>
      <c r="H37" s="107">
        <v>2383.1</v>
      </c>
      <c r="I37" s="107">
        <v>2360.4</v>
      </c>
      <c r="J37" s="107">
        <v>2354.4</v>
      </c>
      <c r="K37" s="107">
        <v>2346.6999999999998</v>
      </c>
      <c r="L37" s="107">
        <v>2366.4</v>
      </c>
      <c r="M37" s="107">
        <v>2355.4</v>
      </c>
      <c r="N37" s="107">
        <v>2371.1</v>
      </c>
      <c r="O37" s="107">
        <v>2363</v>
      </c>
      <c r="P37" s="107">
        <v>2357.1</v>
      </c>
      <c r="Q37" s="107">
        <v>2357.6</v>
      </c>
      <c r="R37" s="107">
        <v>2352</v>
      </c>
      <c r="S37" s="107">
        <v>2362.6999999999998</v>
      </c>
      <c r="T37" s="107">
        <v>2373.1</v>
      </c>
      <c r="U37" s="107">
        <v>2414.8000000000002</v>
      </c>
      <c r="V37" s="107">
        <v>2428.1</v>
      </c>
      <c r="W37" s="107">
        <v>2411.1</v>
      </c>
      <c r="X37" s="107">
        <v>2406</v>
      </c>
      <c r="Y37" s="107">
        <v>2427.8000000000002</v>
      </c>
      <c r="Z37" s="107">
        <v>2450.4</v>
      </c>
      <c r="AA37" s="107">
        <v>2444</v>
      </c>
      <c r="AB37" s="107">
        <v>2438.5</v>
      </c>
      <c r="AC37" s="107">
        <v>2410.1999999999998</v>
      </c>
      <c r="AD37" s="107">
        <v>2433.3000000000002</v>
      </c>
      <c r="AE37" s="107">
        <v>2449.4</v>
      </c>
      <c r="AF37" s="107">
        <v>2420.1999999999998</v>
      </c>
      <c r="AG37" s="107">
        <v>2422</v>
      </c>
      <c r="AH37" s="107">
        <v>2416.9</v>
      </c>
      <c r="AI37" s="107">
        <v>2399</v>
      </c>
      <c r="AJ37" s="282">
        <v>2397.1</v>
      </c>
      <c r="AK37" s="282">
        <v>2380</v>
      </c>
      <c r="AL37" s="282">
        <v>2382.1</v>
      </c>
      <c r="AM37" s="282">
        <v>2371.5</v>
      </c>
      <c r="AN37" s="282">
        <v>2370.6999999999998</v>
      </c>
      <c r="AO37" s="282">
        <v>2357.1</v>
      </c>
      <c r="AP37" s="282">
        <v>2314.5</v>
      </c>
      <c r="AQ37" s="282">
        <v>2329.6</v>
      </c>
      <c r="AR37" s="282">
        <v>2309.1</v>
      </c>
      <c r="AS37" s="282">
        <v>2289.4</v>
      </c>
      <c r="AT37" s="282">
        <v>2275.6</v>
      </c>
      <c r="AU37" s="282">
        <v>2254.6999999999998</v>
      </c>
      <c r="AV37" s="282">
        <v>2260.4</v>
      </c>
      <c r="AW37" s="282">
        <v>2303</v>
      </c>
      <c r="AX37" s="282">
        <v>2327.3000000000002</v>
      </c>
      <c r="AY37" s="282">
        <v>2339.9</v>
      </c>
      <c r="AZ37" s="282">
        <v>2316.4</v>
      </c>
      <c r="BA37" s="282">
        <v>2337.6</v>
      </c>
      <c r="BB37" s="282">
        <v>2351.3000000000002</v>
      </c>
      <c r="BC37" s="282">
        <v>2325.1</v>
      </c>
      <c r="BD37" s="282">
        <v>2341.6</v>
      </c>
      <c r="BE37" s="282">
        <v>2348.6999999999998</v>
      </c>
      <c r="BF37" s="282">
        <v>2336.4</v>
      </c>
      <c r="BG37" s="282">
        <v>2314.4</v>
      </c>
      <c r="BH37" s="282">
        <v>2314.6999999999998</v>
      </c>
      <c r="BI37" s="282">
        <v>2339.8000000000002</v>
      </c>
      <c r="BJ37" s="282">
        <v>2312.5</v>
      </c>
      <c r="BK37" s="282">
        <v>2294.1</v>
      </c>
      <c r="BL37" s="282">
        <v>2292.3000000000002</v>
      </c>
      <c r="BM37" s="282">
        <v>2291.1999999999998</v>
      </c>
      <c r="BN37" s="282">
        <v>2280</v>
      </c>
      <c r="BO37" s="282">
        <v>2294.5</v>
      </c>
      <c r="BP37" s="282">
        <v>2283.8000000000002</v>
      </c>
      <c r="BQ37" s="282">
        <v>2292.8000000000002</v>
      </c>
      <c r="BR37" s="282">
        <v>2311</v>
      </c>
      <c r="BS37" s="282">
        <v>2317.9</v>
      </c>
      <c r="BT37" s="282">
        <v>2267</v>
      </c>
      <c r="BU37" s="282">
        <v>2244</v>
      </c>
      <c r="BV37" s="282">
        <v>2225.3000000000002</v>
      </c>
      <c r="BW37" s="282">
        <v>2226.6</v>
      </c>
      <c r="BX37" s="282">
        <v>2228.1999999999998</v>
      </c>
      <c r="BY37" s="282">
        <v>2261.9</v>
      </c>
      <c r="BZ37" s="282">
        <v>2302.9</v>
      </c>
      <c r="CA37" s="282">
        <v>2304.6999999999998</v>
      </c>
      <c r="CB37" s="282">
        <v>2338.3000000000002</v>
      </c>
      <c r="CC37" s="282">
        <v>2308.6</v>
      </c>
      <c r="CD37" s="282">
        <v>2330.1999999999998</v>
      </c>
      <c r="CE37" s="282">
        <v>2333.5</v>
      </c>
      <c r="CF37" s="282">
        <v>2317.6999999999998</v>
      </c>
      <c r="CG37" s="282">
        <v>2322.3000000000002</v>
      </c>
      <c r="CH37" s="282">
        <v>2333.4</v>
      </c>
      <c r="CI37" s="282">
        <v>2342.3000000000002</v>
      </c>
      <c r="CJ37" s="282">
        <v>2339.6999999999998</v>
      </c>
      <c r="CK37" s="371"/>
    </row>
    <row r="38" spans="2:89" ht="15.6" thickBot="1" x14ac:dyDescent="0.35">
      <c r="B38" s="98"/>
      <c r="C38" s="98"/>
      <c r="D38" s="98"/>
      <c r="E38" s="98"/>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281"/>
      <c r="AK38" s="281"/>
      <c r="AL38" s="281"/>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1"/>
      <c r="BP38" s="281"/>
      <c r="BQ38" s="281"/>
      <c r="BR38" s="281"/>
      <c r="BS38" s="281"/>
      <c r="BT38" s="281"/>
      <c r="BU38" s="281"/>
      <c r="BV38" s="281"/>
      <c r="BW38" s="281"/>
      <c r="BX38" s="281"/>
      <c r="BY38" s="281"/>
      <c r="BZ38" s="281"/>
      <c r="CA38" s="281"/>
      <c r="CB38" s="281"/>
      <c r="CC38" s="281"/>
      <c r="CD38" s="281"/>
      <c r="CE38" s="281"/>
      <c r="CF38" s="281"/>
      <c r="CG38" s="281"/>
      <c r="CH38" s="281"/>
      <c r="CI38" s="281"/>
      <c r="CJ38" s="281"/>
      <c r="CK38" s="100"/>
    </row>
    <row r="39" spans="2:89" ht="15.6" thickTop="1" x14ac:dyDescent="0.3">
      <c r="B39" s="119"/>
      <c r="C39" s="119"/>
      <c r="D39" s="119"/>
      <c r="E39" s="119"/>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287"/>
      <c r="AK39" s="287"/>
      <c r="AL39" s="287"/>
      <c r="AM39" s="287"/>
      <c r="AN39" s="287"/>
      <c r="AO39" s="287"/>
      <c r="AP39" s="287"/>
      <c r="AQ39" s="287"/>
      <c r="AR39" s="287"/>
      <c r="AS39" s="287"/>
      <c r="AT39" s="287"/>
      <c r="AU39" s="287"/>
      <c r="AV39" s="287"/>
      <c r="AW39" s="287"/>
      <c r="AX39" s="287"/>
      <c r="AY39" s="287"/>
      <c r="AZ39" s="287"/>
      <c r="BA39" s="287"/>
      <c r="BB39" s="287"/>
      <c r="BC39" s="287"/>
      <c r="BD39" s="287"/>
      <c r="BE39" s="287"/>
      <c r="BF39" s="287"/>
      <c r="BG39" s="287"/>
      <c r="BH39" s="287"/>
      <c r="BI39" s="287"/>
      <c r="BJ39" s="287"/>
      <c r="BK39" s="287"/>
      <c r="BL39" s="287"/>
      <c r="BM39" s="287"/>
      <c r="BN39" s="287"/>
      <c r="BO39" s="287"/>
      <c r="BP39" s="287"/>
      <c r="BQ39" s="287"/>
      <c r="BR39" s="287"/>
      <c r="BS39" s="287"/>
      <c r="BT39" s="287"/>
      <c r="BU39" s="287"/>
      <c r="BV39" s="287"/>
      <c r="BW39" s="287"/>
      <c r="BX39" s="287"/>
      <c r="BY39" s="287"/>
      <c r="BZ39" s="287"/>
      <c r="CA39" s="287"/>
      <c r="CB39" s="287"/>
      <c r="CC39" s="287"/>
      <c r="CD39" s="287"/>
      <c r="CE39" s="287"/>
      <c r="CF39" s="287"/>
      <c r="CG39" s="287"/>
      <c r="CH39" s="287"/>
      <c r="CI39" s="287"/>
      <c r="CJ39" s="287"/>
      <c r="CK39" s="119"/>
    </row>
    <row r="40" spans="2:89" x14ac:dyDescent="0.3">
      <c r="B40" s="455" t="s">
        <v>298</v>
      </c>
      <c r="C40" s="455"/>
      <c r="D40" s="455"/>
      <c r="E40" s="455"/>
      <c r="F40" s="455"/>
      <c r="G40" s="455"/>
      <c r="H40" s="455"/>
      <c r="I40" s="455"/>
      <c r="J40" s="455"/>
      <c r="K40" s="121"/>
      <c r="L40" s="121"/>
      <c r="M40" s="121"/>
      <c r="N40" s="122"/>
      <c r="O40" s="122"/>
      <c r="P40" s="122"/>
      <c r="Q40" s="123"/>
      <c r="R40" s="123"/>
      <c r="S40" s="123"/>
      <c r="T40" s="123"/>
      <c r="U40" s="123"/>
      <c r="V40" s="123"/>
      <c r="W40" s="123"/>
      <c r="X40" s="123"/>
      <c r="Y40" s="123"/>
      <c r="Z40" s="123"/>
      <c r="AA40" s="123"/>
      <c r="AB40" s="123"/>
      <c r="AC40" s="123"/>
      <c r="AD40" s="123"/>
      <c r="AE40" s="123"/>
      <c r="AF40" s="123"/>
      <c r="AG40" s="123"/>
      <c r="AH40" s="123"/>
      <c r="AI40" s="123"/>
      <c r="AJ40" s="288"/>
      <c r="AK40" s="288"/>
      <c r="AL40" s="288"/>
      <c r="AM40" s="288"/>
      <c r="AN40" s="288"/>
      <c r="AO40" s="288"/>
      <c r="AP40" s="288"/>
      <c r="AQ40" s="288"/>
      <c r="AR40" s="288"/>
      <c r="AS40" s="288"/>
      <c r="AT40" s="288"/>
      <c r="AU40" s="288"/>
      <c r="AV40" s="288"/>
      <c r="AW40" s="288"/>
      <c r="AX40" s="288"/>
      <c r="AY40" s="288"/>
      <c r="AZ40" s="288"/>
      <c r="BA40" s="288"/>
      <c r="BB40" s="288"/>
      <c r="BC40" s="288"/>
      <c r="BD40" s="288"/>
      <c r="BE40" s="288"/>
      <c r="BF40" s="288"/>
      <c r="BG40" s="288"/>
      <c r="BH40" s="288"/>
      <c r="BI40" s="288"/>
      <c r="BJ40" s="288"/>
      <c r="BK40" s="288"/>
      <c r="BL40" s="288"/>
      <c r="BM40" s="288"/>
      <c r="BN40" s="288"/>
      <c r="BO40" s="288"/>
      <c r="BP40" s="288"/>
      <c r="BQ40" s="288"/>
      <c r="BR40" s="288"/>
      <c r="BS40" s="288"/>
      <c r="BT40" s="288"/>
      <c r="BU40" s="288"/>
      <c r="BV40" s="288"/>
      <c r="BW40" s="288"/>
      <c r="BX40" s="288"/>
      <c r="BY40" s="288"/>
      <c r="BZ40" s="288"/>
      <c r="CA40" s="288"/>
      <c r="CB40" s="288"/>
      <c r="CC40" s="288"/>
      <c r="CD40" s="288"/>
      <c r="CE40" s="288"/>
      <c r="CF40" s="288"/>
      <c r="CG40" s="288"/>
      <c r="CH40" s="288"/>
      <c r="CI40" s="288"/>
      <c r="CJ40" s="288"/>
      <c r="CK40" s="1"/>
    </row>
    <row r="41" spans="2:89" x14ac:dyDescent="0.3">
      <c r="B41" s="455" t="s">
        <v>300</v>
      </c>
      <c r="C41" s="455"/>
      <c r="D41" s="455"/>
      <c r="E41" s="455"/>
      <c r="F41" s="455"/>
      <c r="G41" s="455"/>
      <c r="H41" s="455"/>
      <c r="I41" s="455"/>
      <c r="J41" s="455"/>
      <c r="K41" s="121"/>
      <c r="L41" s="288"/>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c r="BH41" s="288"/>
      <c r="BI41" s="288"/>
      <c r="BJ41" s="288"/>
      <c r="BK41" s="288"/>
      <c r="BL41" s="288"/>
      <c r="BM41" s="288"/>
      <c r="BN41" s="288"/>
      <c r="BO41" s="288"/>
      <c r="BP41" s="288"/>
      <c r="BQ41" s="288"/>
      <c r="BR41" s="288"/>
      <c r="BS41" s="288"/>
      <c r="BT41" s="288"/>
      <c r="BU41" s="288"/>
      <c r="BV41" s="288"/>
      <c r="BW41" s="288"/>
      <c r="BX41" s="288"/>
      <c r="BY41" s="288"/>
      <c r="BZ41" s="288"/>
      <c r="CA41" s="288"/>
      <c r="CB41" s="288"/>
      <c r="CC41" s="288"/>
      <c r="CD41" s="288"/>
      <c r="CE41" s="288"/>
      <c r="CF41" s="288"/>
      <c r="CG41" s="288"/>
      <c r="CH41" s="288"/>
      <c r="CI41" s="288"/>
      <c r="CJ41" s="288"/>
      <c r="CK41" s="1"/>
    </row>
    <row r="42" spans="2:89" ht="16.5" customHeight="1" x14ac:dyDescent="0.3">
      <c r="B42" s="124" t="s">
        <v>143</v>
      </c>
      <c r="C42" s="125"/>
      <c r="D42" s="125"/>
      <c r="E42" s="125"/>
      <c r="F42" s="125"/>
      <c r="G42" s="125"/>
      <c r="H42" s="125"/>
      <c r="I42" s="125"/>
      <c r="J42" s="125"/>
      <c r="K42" s="125"/>
      <c r="L42" s="125"/>
      <c r="M42" s="125"/>
      <c r="N42" s="125"/>
      <c r="O42" s="125"/>
      <c r="P42" s="125"/>
      <c r="Q42" s="126"/>
      <c r="R42" s="126"/>
      <c r="S42" s="126"/>
      <c r="T42" s="126"/>
      <c r="U42" s="126"/>
      <c r="V42" s="126"/>
      <c r="W42" s="126"/>
      <c r="X42" s="126"/>
      <c r="Y42" s="126"/>
      <c r="Z42" s="126"/>
      <c r="AA42" s="126"/>
      <c r="AB42" s="126"/>
      <c r="AC42" s="126"/>
      <c r="AD42" s="126"/>
      <c r="AE42" s="126"/>
      <c r="AF42" s="126"/>
      <c r="AG42" s="126"/>
      <c r="AH42" s="126"/>
      <c r="AI42" s="126"/>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89"/>
      <c r="BK42" s="289"/>
      <c r="BL42" s="289"/>
      <c r="BM42" s="289"/>
      <c r="BN42" s="289"/>
      <c r="BO42" s="289"/>
      <c r="BP42" s="289"/>
      <c r="BQ42" s="289"/>
      <c r="BR42" s="289"/>
      <c r="BS42" s="289"/>
      <c r="BT42" s="289"/>
      <c r="BU42" s="289"/>
      <c r="BV42" s="289"/>
      <c r="BW42" s="289"/>
      <c r="BX42" s="289"/>
      <c r="BY42" s="289"/>
      <c r="BZ42" s="289"/>
      <c r="CA42" s="289"/>
      <c r="CB42" s="289"/>
      <c r="CC42" s="289"/>
      <c r="CD42" s="289"/>
      <c r="CE42" s="289"/>
      <c r="CF42" s="289"/>
      <c r="CG42" s="289"/>
      <c r="CH42" s="289"/>
      <c r="CI42" s="289"/>
      <c r="CJ42" s="289"/>
      <c r="CK42" s="359"/>
    </row>
    <row r="43" spans="2:89" ht="78.599999999999994" customHeight="1" x14ac:dyDescent="0.3">
      <c r="B43" s="447" t="s">
        <v>193</v>
      </c>
      <c r="C43" s="448"/>
      <c r="D43" s="448"/>
      <c r="E43" s="448"/>
      <c r="F43" s="448"/>
      <c r="G43" s="449"/>
      <c r="H43" s="127"/>
      <c r="I43" s="127"/>
      <c r="J43" s="127"/>
      <c r="K43" s="127"/>
      <c r="L43" s="127"/>
      <c r="M43" s="127"/>
      <c r="N43" s="127"/>
      <c r="O43" s="127"/>
      <c r="P43" s="127"/>
    </row>
    <row r="44" spans="2:89" ht="73.95" customHeight="1" x14ac:dyDescent="0.3">
      <c r="B44" s="450" t="s">
        <v>192</v>
      </c>
      <c r="C44" s="451"/>
      <c r="D44" s="451"/>
      <c r="E44" s="451"/>
      <c r="F44" s="451"/>
      <c r="G44" s="452"/>
      <c r="N44" s="129"/>
      <c r="O44" s="129"/>
      <c r="P44" s="129"/>
    </row>
    <row r="45" spans="2:89" x14ac:dyDescent="0.3">
      <c r="B45" s="129"/>
      <c r="C45" s="128"/>
      <c r="D45" s="128"/>
      <c r="E45" s="128"/>
    </row>
    <row r="46" spans="2:89" ht="58.95" customHeight="1" x14ac:dyDescent="0.3">
      <c r="B46" s="445" t="s">
        <v>334</v>
      </c>
      <c r="C46" s="445"/>
      <c r="D46" s="445"/>
      <c r="E46" s="445"/>
      <c r="F46" s="445"/>
      <c r="G46" s="445"/>
      <c r="H46" s="353"/>
    </row>
    <row r="47" spans="2:89" x14ac:dyDescent="0.3">
      <c r="B47" s="129"/>
      <c r="C47" s="128"/>
      <c r="D47" s="128"/>
      <c r="E47" s="128"/>
    </row>
    <row r="48" spans="2:89" x14ac:dyDescent="0.3">
      <c r="E48" s="129"/>
      <c r="F48" s="129"/>
      <c r="G48" s="129"/>
      <c r="H48" s="129"/>
      <c r="I48" s="129"/>
      <c r="J48" s="129"/>
      <c r="K48" s="129"/>
      <c r="L48" s="129"/>
      <c r="M48" s="129"/>
      <c r="N48" s="129"/>
      <c r="O48" s="129"/>
      <c r="P48" s="129"/>
    </row>
    <row r="49" spans="3:16" x14ac:dyDescent="0.3">
      <c r="C49" s="130"/>
      <c r="D49" s="130"/>
      <c r="E49" s="129"/>
      <c r="F49" s="129"/>
      <c r="G49" s="129"/>
      <c r="H49" s="129"/>
      <c r="I49" s="129"/>
      <c r="J49" s="129"/>
      <c r="K49" s="129"/>
      <c r="L49" s="129"/>
      <c r="M49" s="129"/>
      <c r="N49" s="129"/>
      <c r="O49" s="129"/>
      <c r="P49" s="129"/>
    </row>
    <row r="50" spans="3:16" x14ac:dyDescent="0.3">
      <c r="E50" s="129"/>
      <c r="F50" s="129"/>
      <c r="G50" s="129"/>
      <c r="H50" s="129"/>
      <c r="I50" s="129"/>
      <c r="J50" s="129"/>
      <c r="K50" s="129"/>
      <c r="L50" s="129"/>
      <c r="M50" s="129"/>
      <c r="N50" s="129"/>
      <c r="O50" s="129"/>
      <c r="P50" s="129"/>
    </row>
    <row r="51" spans="3:16" x14ac:dyDescent="0.3">
      <c r="C51" s="130"/>
      <c r="D51" s="130"/>
      <c r="E51" s="129"/>
      <c r="F51" s="129"/>
      <c r="G51" s="129"/>
      <c r="H51" s="129"/>
      <c r="I51" s="129"/>
      <c r="J51" s="129"/>
      <c r="K51" s="129"/>
      <c r="L51" s="129"/>
      <c r="M51" s="129"/>
      <c r="N51" s="129"/>
      <c r="O51" s="129"/>
      <c r="P51" s="129"/>
    </row>
    <row r="52" spans="3:16" x14ac:dyDescent="0.3">
      <c r="E52" s="129"/>
      <c r="F52" s="129"/>
      <c r="G52" s="129"/>
      <c r="H52" s="129"/>
      <c r="I52" s="129"/>
      <c r="J52" s="129"/>
      <c r="K52" s="129"/>
      <c r="L52" s="129"/>
      <c r="M52" s="129"/>
      <c r="N52" s="129"/>
      <c r="O52" s="129"/>
      <c r="P52" s="129"/>
    </row>
    <row r="53" spans="3:16" x14ac:dyDescent="0.3">
      <c r="C53" s="130"/>
      <c r="D53" s="130"/>
      <c r="E53" s="129"/>
      <c r="F53" s="129"/>
      <c r="G53" s="129"/>
      <c r="H53" s="129"/>
      <c r="I53" s="129"/>
      <c r="J53" s="129"/>
      <c r="K53" s="129"/>
      <c r="L53" s="129"/>
      <c r="M53" s="129"/>
      <c r="N53" s="129"/>
      <c r="O53" s="129"/>
      <c r="P53" s="129"/>
    </row>
    <row r="54" spans="3:16" x14ac:dyDescent="0.3">
      <c r="E54" s="129"/>
      <c r="F54" s="129"/>
      <c r="G54" s="129"/>
      <c r="H54" s="129"/>
      <c r="I54" s="129"/>
      <c r="J54" s="129"/>
      <c r="K54" s="129"/>
      <c r="L54" s="129"/>
      <c r="M54" s="129"/>
      <c r="N54" s="129"/>
      <c r="O54" s="129"/>
      <c r="P54" s="129"/>
    </row>
    <row r="56" spans="3:16" x14ac:dyDescent="0.3">
      <c r="C56" s="130"/>
      <c r="D56" s="130"/>
      <c r="E56" s="130"/>
      <c r="F56" s="130"/>
      <c r="G56" s="130"/>
      <c r="H56" s="130"/>
      <c r="I56" s="130"/>
      <c r="J56" s="130"/>
      <c r="K56" s="130"/>
      <c r="L56" s="130"/>
      <c r="M56" s="130"/>
      <c r="N56" s="130"/>
      <c r="O56" s="130"/>
      <c r="P56" s="130"/>
    </row>
  </sheetData>
  <mergeCells count="8">
    <mergeCell ref="B46:G46"/>
    <mergeCell ref="B6:M6"/>
    <mergeCell ref="B7:M7"/>
    <mergeCell ref="B44:G44"/>
    <mergeCell ref="B40:J40"/>
    <mergeCell ref="B43:G43"/>
    <mergeCell ref="B41:J41"/>
    <mergeCell ref="B8:M8"/>
  </mergeCells>
  <hyperlinks>
    <hyperlink ref="A1" location="Indice!A1" display="A.1"/>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CL204"/>
  <sheetViews>
    <sheetView zoomScale="80" zoomScaleNormal="80" workbookViewId="0">
      <pane xSplit="2" ySplit="12" topLeftCell="C13" activePane="bottomRight" state="frozen"/>
      <selection pane="topRight" activeCell="C1" sqref="C1"/>
      <selection pane="bottomLeft" activeCell="A13" sqref="A13"/>
      <selection pane="bottomRight" activeCell="B2" sqref="B2"/>
    </sheetView>
  </sheetViews>
  <sheetFormatPr baseColWidth="10" defaultColWidth="11.44140625" defaultRowHeight="14.4" x14ac:dyDescent="0.3"/>
  <cols>
    <col min="1" max="1" width="7.5546875" style="73" customWidth="1"/>
    <col min="2" max="2" width="71.33203125" style="73" customWidth="1"/>
    <col min="3" max="3" width="13.6640625" style="73" customWidth="1"/>
    <col min="4" max="4" width="13.6640625" style="134" customWidth="1"/>
    <col min="5" max="35" width="13.6640625" style="73" customWidth="1"/>
    <col min="36" max="65" width="13.6640625" style="271" customWidth="1"/>
    <col min="66" max="88" width="14.6640625" style="271" customWidth="1"/>
    <col min="89" max="89" width="13.5546875" style="73" customWidth="1"/>
    <col min="90" max="16384" width="11.44140625" style="73"/>
  </cols>
  <sheetData>
    <row r="1" spans="1:90" x14ac:dyDescent="0.3">
      <c r="A1" s="7" t="s">
        <v>108</v>
      </c>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291"/>
      <c r="AK1" s="291"/>
      <c r="AL1" s="291"/>
      <c r="AM1" s="291"/>
      <c r="AN1" s="291"/>
      <c r="AO1" s="291"/>
      <c r="AP1" s="291"/>
      <c r="AQ1" s="291"/>
      <c r="AR1" s="291"/>
      <c r="AS1" s="291"/>
      <c r="AT1" s="291"/>
      <c r="AU1" s="291"/>
      <c r="AV1" s="291"/>
      <c r="AW1" s="291"/>
      <c r="AX1" s="291"/>
      <c r="AY1" s="291"/>
      <c r="AZ1" s="291"/>
      <c r="BA1" s="291"/>
      <c r="BB1" s="291"/>
      <c r="BC1" s="291"/>
      <c r="BD1" s="291"/>
      <c r="BE1" s="291"/>
      <c r="BF1" s="291"/>
      <c r="BG1" s="291"/>
      <c r="BH1" s="291"/>
      <c r="BI1" s="291"/>
      <c r="BJ1" s="291"/>
      <c r="BK1" s="291"/>
      <c r="BL1" s="291"/>
      <c r="BM1" s="291"/>
      <c r="BN1" s="291"/>
      <c r="BO1" s="291"/>
      <c r="BP1" s="291"/>
      <c r="BQ1" s="291"/>
      <c r="BR1" s="291"/>
      <c r="BS1" s="291"/>
      <c r="BT1" s="291"/>
      <c r="BU1" s="291"/>
      <c r="BV1" s="291"/>
      <c r="BW1" s="291"/>
      <c r="BX1" s="291"/>
      <c r="BY1" s="291"/>
      <c r="BZ1" s="291"/>
      <c r="CA1" s="291"/>
      <c r="CB1" s="291"/>
      <c r="CC1" s="291"/>
      <c r="CD1" s="291"/>
      <c r="CE1" s="291"/>
      <c r="CF1" s="291"/>
      <c r="CG1" s="291"/>
      <c r="CH1" s="291"/>
      <c r="CI1" s="291"/>
      <c r="CJ1" s="291"/>
    </row>
    <row r="2" spans="1:90" ht="16.2" x14ac:dyDescent="0.3">
      <c r="A2" s="132"/>
      <c r="B2" s="75" t="s">
        <v>183</v>
      </c>
      <c r="C2" s="131"/>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c r="AK2" s="293"/>
      <c r="AL2" s="293"/>
      <c r="AM2" s="293"/>
      <c r="AN2" s="293"/>
      <c r="AO2" s="293"/>
      <c r="AP2" s="293"/>
      <c r="AQ2" s="293"/>
      <c r="AR2" s="293"/>
      <c r="AS2" s="293"/>
      <c r="AT2" s="293"/>
      <c r="AU2" s="293"/>
      <c r="AV2" s="293"/>
      <c r="AW2" s="293"/>
      <c r="AX2" s="293"/>
      <c r="AY2" s="293"/>
      <c r="AZ2" s="293"/>
      <c r="BA2" s="293"/>
      <c r="BB2" s="293"/>
      <c r="BC2" s="293"/>
      <c r="BD2" s="293"/>
      <c r="BE2" s="293"/>
      <c r="BF2" s="293"/>
      <c r="BG2" s="293"/>
      <c r="BH2" s="293"/>
      <c r="BI2" s="293"/>
      <c r="BJ2" s="293"/>
      <c r="BK2" s="293"/>
      <c r="BL2" s="293"/>
      <c r="BM2" s="293"/>
      <c r="BN2" s="293"/>
      <c r="BO2" s="293"/>
      <c r="BP2" s="293"/>
      <c r="BQ2" s="293"/>
      <c r="BR2" s="293"/>
      <c r="BS2" s="293"/>
      <c r="BT2" s="293"/>
      <c r="BU2" s="293"/>
      <c r="BV2" s="293"/>
      <c r="BW2" s="293"/>
      <c r="BX2" s="293"/>
      <c r="BY2" s="293"/>
      <c r="BZ2" s="293"/>
      <c r="CA2" s="293"/>
      <c r="CB2" s="293"/>
      <c r="CC2" s="293"/>
      <c r="CD2" s="293"/>
      <c r="CE2" s="293"/>
      <c r="CF2" s="293"/>
      <c r="CG2" s="293"/>
      <c r="CH2" s="293"/>
      <c r="CI2" s="293"/>
      <c r="CJ2" s="293"/>
    </row>
    <row r="3" spans="1:90" ht="16.2" x14ac:dyDescent="0.3">
      <c r="A3" s="132"/>
      <c r="B3" s="133" t="s">
        <v>0</v>
      </c>
      <c r="C3" s="87"/>
      <c r="D3" s="277"/>
      <c r="E3" s="277"/>
      <c r="F3" s="277"/>
      <c r="G3" s="277"/>
      <c r="H3" s="277"/>
      <c r="I3" s="277"/>
      <c r="J3" s="277"/>
      <c r="K3" s="277"/>
      <c r="L3" s="277"/>
      <c r="M3" s="277"/>
      <c r="N3" s="277"/>
      <c r="O3" s="277"/>
      <c r="P3" s="277"/>
      <c r="Q3" s="277"/>
      <c r="R3" s="277"/>
      <c r="S3" s="277"/>
      <c r="T3" s="277"/>
      <c r="U3" s="277"/>
      <c r="V3" s="277"/>
      <c r="W3" s="277"/>
      <c r="X3" s="277"/>
      <c r="Y3" s="277"/>
      <c r="Z3" s="277"/>
      <c r="AA3" s="277"/>
      <c r="AB3" s="277"/>
      <c r="AC3" s="277"/>
      <c r="AD3" s="277"/>
      <c r="AE3" s="277"/>
      <c r="AF3" s="277"/>
      <c r="AG3" s="277"/>
      <c r="AH3" s="277"/>
      <c r="AI3" s="277"/>
      <c r="AJ3" s="277"/>
      <c r="AK3" s="277"/>
      <c r="AL3" s="277"/>
      <c r="AM3" s="277"/>
      <c r="AN3" s="277"/>
      <c r="AO3" s="277"/>
      <c r="AP3" s="277"/>
      <c r="AQ3" s="277"/>
      <c r="AR3" s="277"/>
      <c r="AS3" s="277"/>
      <c r="AT3" s="277"/>
      <c r="AU3" s="277"/>
      <c r="AV3" s="277"/>
      <c r="AW3" s="277"/>
      <c r="AX3" s="277"/>
      <c r="AY3" s="277"/>
      <c r="AZ3" s="277"/>
      <c r="BA3" s="277"/>
      <c r="BB3" s="277"/>
      <c r="BC3" s="277"/>
      <c r="BD3" s="277"/>
      <c r="BE3" s="277"/>
      <c r="BF3" s="277"/>
      <c r="BG3" s="277"/>
      <c r="BH3" s="277"/>
      <c r="BI3" s="277"/>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c r="CH3" s="277"/>
      <c r="CI3" s="277"/>
      <c r="CJ3" s="277"/>
    </row>
    <row r="4" spans="1:90" x14ac:dyDescent="0.3">
      <c r="B4" s="77"/>
      <c r="C4" s="77"/>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294"/>
      <c r="AK4" s="294"/>
      <c r="AL4" s="294"/>
      <c r="AM4" s="294"/>
      <c r="AN4" s="294"/>
      <c r="AO4" s="294"/>
      <c r="AP4" s="294"/>
      <c r="AQ4" s="294"/>
      <c r="AR4" s="294"/>
      <c r="AS4" s="294"/>
      <c r="AT4" s="294"/>
      <c r="AU4" s="294"/>
      <c r="AV4" s="294"/>
      <c r="AW4" s="294"/>
      <c r="AX4" s="294"/>
      <c r="AY4" s="294"/>
      <c r="AZ4" s="294"/>
      <c r="BA4" s="294"/>
      <c r="BB4" s="294"/>
      <c r="BC4" s="294"/>
      <c r="BD4" s="294"/>
      <c r="BE4" s="294"/>
      <c r="BF4" s="294"/>
      <c r="BG4" s="294"/>
      <c r="BH4" s="294"/>
      <c r="BI4" s="294"/>
      <c r="BJ4" s="294"/>
      <c r="BK4" s="294"/>
      <c r="BL4" s="294"/>
      <c r="BM4" s="294"/>
      <c r="BN4" s="294"/>
      <c r="BO4" s="294"/>
      <c r="BP4" s="294"/>
      <c r="BQ4" s="294"/>
      <c r="BR4" s="294"/>
      <c r="BS4" s="294"/>
      <c r="BT4" s="294"/>
      <c r="BU4" s="294"/>
      <c r="BV4" s="294"/>
      <c r="BW4" s="294"/>
      <c r="BX4" s="294"/>
      <c r="BY4" s="294"/>
      <c r="BZ4" s="294"/>
      <c r="CA4" s="294"/>
      <c r="CB4" s="294"/>
      <c r="CC4" s="294"/>
      <c r="CD4" s="294"/>
      <c r="CE4" s="294"/>
      <c r="CF4" s="294"/>
      <c r="CG4" s="294"/>
      <c r="CH4" s="294"/>
      <c r="CI4" s="294"/>
      <c r="CJ4" s="294"/>
      <c r="CK4" s="135"/>
    </row>
    <row r="5" spans="1:90" ht="15" customHeight="1" x14ac:dyDescent="0.35">
      <c r="B5" s="136"/>
      <c r="C5" s="77"/>
    </row>
    <row r="6" spans="1:90" ht="27.75" customHeight="1" x14ac:dyDescent="0.3">
      <c r="B6" s="456" t="s">
        <v>190</v>
      </c>
      <c r="C6" s="456"/>
      <c r="D6" s="456"/>
      <c r="E6" s="456"/>
      <c r="F6" s="456"/>
      <c r="G6" s="456"/>
      <c r="H6" s="456"/>
      <c r="I6" s="456"/>
      <c r="J6" s="456"/>
      <c r="K6" s="456"/>
      <c r="L6" s="456"/>
      <c r="M6" s="456"/>
      <c r="N6" s="137"/>
      <c r="O6" s="137"/>
      <c r="P6" s="137"/>
      <c r="Q6" s="137"/>
      <c r="R6" s="137"/>
      <c r="S6" s="137"/>
      <c r="T6" s="137"/>
      <c r="U6" s="137"/>
      <c r="V6" s="137"/>
      <c r="W6" s="137"/>
      <c r="X6" s="137"/>
      <c r="Y6" s="137"/>
      <c r="Z6" s="137"/>
      <c r="AA6" s="137"/>
      <c r="AB6" s="137"/>
      <c r="AC6" s="137"/>
      <c r="AD6" s="137"/>
      <c r="AE6" s="137"/>
      <c r="AF6" s="137"/>
      <c r="AG6" s="137"/>
      <c r="AH6" s="137"/>
      <c r="AI6" s="137"/>
      <c r="AJ6" s="295"/>
      <c r="AK6" s="295"/>
      <c r="AL6" s="295"/>
      <c r="AM6" s="295"/>
      <c r="AN6" s="295"/>
      <c r="AO6" s="295"/>
      <c r="AP6" s="295"/>
      <c r="AQ6" s="295"/>
      <c r="AR6" s="295"/>
      <c r="AS6" s="295"/>
      <c r="AT6" s="352"/>
      <c r="AU6" s="352"/>
      <c r="AV6" s="352"/>
      <c r="AW6" s="352"/>
      <c r="AX6" s="352"/>
      <c r="AY6" s="352"/>
      <c r="AZ6" s="352"/>
      <c r="BA6" s="352"/>
      <c r="BB6" s="352"/>
      <c r="BC6" s="352"/>
      <c r="BD6" s="352"/>
      <c r="BE6" s="352"/>
      <c r="BF6" s="352"/>
      <c r="BG6" s="352"/>
      <c r="BH6" s="352"/>
      <c r="BI6" s="352"/>
      <c r="BJ6" s="352"/>
      <c r="BK6" s="352"/>
      <c r="BL6" s="352"/>
      <c r="BM6" s="352"/>
      <c r="BN6" s="352"/>
      <c r="BO6" s="352"/>
      <c r="BP6" s="352"/>
      <c r="BQ6" s="352"/>
      <c r="BR6" s="352"/>
      <c r="BS6" s="352"/>
      <c r="BT6" s="352"/>
      <c r="BU6" s="352"/>
      <c r="BV6" s="352"/>
      <c r="BW6" s="352"/>
      <c r="BX6" s="352"/>
      <c r="BY6" s="352"/>
      <c r="BZ6" s="352"/>
      <c r="CA6" s="352"/>
      <c r="CB6" s="352"/>
      <c r="CC6" s="352"/>
      <c r="CD6" s="352"/>
      <c r="CE6" s="352"/>
      <c r="CF6" s="352"/>
      <c r="CG6" s="352"/>
      <c r="CH6" s="352"/>
      <c r="CI6" s="352"/>
      <c r="CJ6" s="352"/>
      <c r="CK6" s="137"/>
    </row>
    <row r="7" spans="1:90" ht="18" x14ac:dyDescent="0.35">
      <c r="B7" s="457" t="s">
        <v>139</v>
      </c>
      <c r="C7" s="457"/>
      <c r="D7" s="457"/>
      <c r="E7" s="457"/>
      <c r="F7" s="457"/>
      <c r="G7" s="457"/>
      <c r="H7" s="457"/>
      <c r="I7" s="457"/>
      <c r="J7" s="457"/>
      <c r="K7" s="457"/>
      <c r="L7" s="457"/>
      <c r="M7" s="457"/>
      <c r="N7" s="138"/>
      <c r="O7" s="138"/>
      <c r="P7" s="138"/>
      <c r="Q7" s="138"/>
      <c r="R7" s="138"/>
      <c r="S7" s="138"/>
      <c r="T7" s="138"/>
      <c r="U7" s="138"/>
      <c r="V7" s="138"/>
      <c r="W7" s="138"/>
      <c r="X7" s="138"/>
      <c r="Y7" s="138"/>
      <c r="Z7" s="138"/>
      <c r="AA7" s="138"/>
      <c r="AB7" s="138"/>
      <c r="AC7" s="138"/>
      <c r="AD7" s="138"/>
      <c r="AE7" s="138"/>
      <c r="AF7" s="138"/>
      <c r="AG7" s="138"/>
      <c r="AH7" s="138"/>
      <c r="AI7" s="138"/>
      <c r="AJ7" s="296"/>
      <c r="AK7" s="296"/>
      <c r="AL7" s="296"/>
      <c r="AM7" s="296"/>
      <c r="AN7" s="296"/>
      <c r="AO7" s="296"/>
      <c r="AP7" s="296"/>
      <c r="AQ7" s="296"/>
      <c r="AR7" s="296"/>
      <c r="AS7" s="296"/>
      <c r="AT7" s="358"/>
      <c r="AU7" s="358"/>
      <c r="AV7" s="358"/>
      <c r="AW7" s="358"/>
      <c r="AX7" s="358"/>
      <c r="AY7" s="358"/>
      <c r="AZ7" s="358"/>
      <c r="BA7" s="358"/>
      <c r="BB7" s="358"/>
      <c r="BC7" s="358"/>
      <c r="BD7" s="358"/>
      <c r="BE7" s="358"/>
      <c r="BF7" s="358"/>
      <c r="BG7" s="358"/>
      <c r="BH7" s="358"/>
      <c r="BI7" s="358"/>
      <c r="BJ7" s="358"/>
      <c r="BK7" s="358"/>
      <c r="BL7" s="358"/>
      <c r="BM7" s="358"/>
      <c r="BN7" s="358"/>
      <c r="BO7" s="358"/>
      <c r="BP7" s="358"/>
      <c r="BQ7" s="358"/>
      <c r="BR7" s="358"/>
      <c r="BS7" s="358"/>
      <c r="BT7" s="358"/>
      <c r="BU7" s="358"/>
      <c r="BV7" s="358"/>
      <c r="BW7" s="358"/>
      <c r="BX7" s="358"/>
      <c r="BY7" s="358"/>
      <c r="BZ7" s="358"/>
      <c r="CA7" s="358"/>
      <c r="CB7" s="358"/>
      <c r="CC7" s="358"/>
      <c r="CD7" s="358"/>
      <c r="CE7" s="358"/>
      <c r="CF7" s="358"/>
      <c r="CG7" s="358"/>
      <c r="CH7" s="358"/>
      <c r="CI7" s="358"/>
      <c r="CJ7" s="358"/>
      <c r="CK7" s="138"/>
    </row>
    <row r="8" spans="1:90" ht="16.2" x14ac:dyDescent="0.3">
      <c r="B8" s="453" t="s">
        <v>426</v>
      </c>
      <c r="C8" s="453"/>
      <c r="D8" s="453"/>
      <c r="E8" s="453"/>
      <c r="F8" s="453"/>
      <c r="G8" s="453"/>
      <c r="H8" s="453"/>
      <c r="I8" s="453"/>
      <c r="J8" s="453"/>
      <c r="K8" s="453"/>
      <c r="L8" s="453"/>
      <c r="M8" s="453"/>
      <c r="N8" s="18"/>
      <c r="O8" s="19"/>
      <c r="P8" s="19"/>
      <c r="Q8" s="19"/>
      <c r="R8" s="19"/>
      <c r="S8" s="19"/>
      <c r="T8" s="19"/>
      <c r="U8" s="19"/>
      <c r="V8" s="19"/>
      <c r="W8" s="19"/>
      <c r="X8" s="19"/>
      <c r="Y8" s="19"/>
      <c r="Z8" s="19"/>
      <c r="AA8" s="19"/>
      <c r="AB8" s="19"/>
      <c r="AC8" s="19"/>
      <c r="AD8" s="19"/>
      <c r="AE8" s="19"/>
      <c r="AF8" s="19"/>
      <c r="AG8" s="19"/>
      <c r="AH8" s="19"/>
      <c r="AI8" s="19"/>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265"/>
      <c r="CE8" s="265"/>
      <c r="CF8" s="265"/>
      <c r="CG8" s="265"/>
      <c r="CH8" s="265"/>
      <c r="CI8" s="265"/>
      <c r="CJ8" s="265"/>
      <c r="CK8" s="18"/>
    </row>
    <row r="9" spans="1:90" ht="6.9" customHeight="1" x14ac:dyDescent="0.3">
      <c r="B9" s="139"/>
      <c r="C9" s="140"/>
      <c r="D9" s="140"/>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297"/>
      <c r="AK9" s="297"/>
      <c r="AL9" s="297"/>
      <c r="AM9" s="297"/>
      <c r="AN9" s="297"/>
      <c r="AO9" s="297"/>
      <c r="AP9" s="297"/>
      <c r="AQ9" s="297"/>
      <c r="AR9" s="297"/>
      <c r="AS9" s="297"/>
      <c r="AT9" s="297"/>
      <c r="AU9" s="297"/>
      <c r="AV9" s="297"/>
      <c r="AW9" s="297"/>
      <c r="AX9" s="297"/>
      <c r="AY9" s="297"/>
      <c r="AZ9" s="297"/>
      <c r="BA9" s="297"/>
      <c r="BB9" s="297"/>
      <c r="BC9" s="297"/>
      <c r="BD9" s="297"/>
      <c r="BE9" s="297"/>
      <c r="BF9" s="297"/>
      <c r="BG9" s="297"/>
      <c r="BH9" s="297"/>
      <c r="BI9" s="297"/>
      <c r="BJ9" s="297"/>
      <c r="BK9" s="297"/>
      <c r="BL9" s="297"/>
      <c r="BM9" s="297"/>
      <c r="BN9" s="297"/>
      <c r="BO9" s="297"/>
      <c r="BP9" s="297"/>
      <c r="BQ9" s="297"/>
      <c r="BR9" s="297"/>
      <c r="BS9" s="297"/>
      <c r="BT9" s="297"/>
      <c r="BU9" s="297"/>
      <c r="BV9" s="297"/>
      <c r="BW9" s="297"/>
      <c r="BX9" s="297"/>
      <c r="BY9" s="297"/>
      <c r="BZ9" s="297"/>
      <c r="CA9" s="297"/>
      <c r="CB9" s="297"/>
      <c r="CC9" s="297"/>
      <c r="CD9" s="297"/>
      <c r="CE9" s="297"/>
      <c r="CF9" s="297"/>
      <c r="CG9" s="297"/>
      <c r="CH9" s="297"/>
      <c r="CI9" s="297"/>
      <c r="CJ9" s="297"/>
    </row>
    <row r="10" spans="1:90" ht="6.9" customHeight="1" thickBot="1" x14ac:dyDescent="0.35">
      <c r="B10" s="77"/>
      <c r="C10" s="140"/>
      <c r="D10" s="140"/>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297"/>
      <c r="AK10" s="297"/>
      <c r="AL10" s="297"/>
      <c r="AM10" s="297"/>
      <c r="AN10" s="297"/>
      <c r="AO10" s="297"/>
      <c r="AP10" s="297"/>
      <c r="AQ10" s="297"/>
      <c r="AR10" s="297"/>
      <c r="AS10" s="297"/>
      <c r="AT10" s="297"/>
      <c r="AU10" s="297"/>
      <c r="AV10" s="297"/>
      <c r="AW10" s="297"/>
      <c r="AX10" s="297"/>
      <c r="AY10" s="297"/>
      <c r="AZ10" s="297"/>
      <c r="BA10" s="297"/>
      <c r="BB10" s="297"/>
      <c r="BC10" s="297"/>
      <c r="BD10" s="297"/>
      <c r="BE10" s="297"/>
      <c r="BF10" s="297"/>
      <c r="BG10" s="297"/>
      <c r="BH10" s="297"/>
      <c r="BI10" s="297"/>
      <c r="BJ10" s="297"/>
      <c r="BK10" s="297"/>
      <c r="BL10" s="297"/>
      <c r="BM10" s="297"/>
      <c r="BN10" s="297"/>
      <c r="BO10" s="297"/>
      <c r="BP10" s="297"/>
      <c r="BQ10" s="297"/>
      <c r="BR10" s="297"/>
      <c r="BS10" s="297"/>
      <c r="BT10" s="297"/>
      <c r="BU10" s="297"/>
      <c r="BV10" s="297"/>
      <c r="BW10" s="297"/>
      <c r="BX10" s="297"/>
      <c r="BY10" s="297"/>
      <c r="BZ10" s="297"/>
      <c r="CA10" s="297"/>
      <c r="CB10" s="297"/>
      <c r="CC10" s="297"/>
      <c r="CD10" s="297"/>
      <c r="CE10" s="297"/>
      <c r="CF10" s="297"/>
      <c r="CG10" s="297"/>
      <c r="CH10" s="297"/>
      <c r="CI10" s="297"/>
      <c r="CJ10" s="297"/>
      <c r="CK10" s="77"/>
    </row>
    <row r="11" spans="1:90" ht="30" customHeight="1" thickTop="1" x14ac:dyDescent="0.3">
      <c r="B11" s="403"/>
      <c r="C11" s="404">
        <v>43466</v>
      </c>
      <c r="D11" s="404">
        <v>43497</v>
      </c>
      <c r="E11" s="404">
        <v>43525</v>
      </c>
      <c r="F11" s="404">
        <v>43556</v>
      </c>
      <c r="G11" s="404">
        <v>43586</v>
      </c>
      <c r="H11" s="404">
        <v>43617</v>
      </c>
      <c r="I11" s="404">
        <v>43647</v>
      </c>
      <c r="J11" s="404">
        <v>43678</v>
      </c>
      <c r="K11" s="404">
        <v>43709</v>
      </c>
      <c r="L11" s="404">
        <v>43739</v>
      </c>
      <c r="M11" s="404">
        <v>43770</v>
      </c>
      <c r="N11" s="404">
        <v>43800</v>
      </c>
      <c r="O11" s="405">
        <v>43831</v>
      </c>
      <c r="P11" s="405">
        <v>43862</v>
      </c>
      <c r="Q11" s="405">
        <v>43891</v>
      </c>
      <c r="R11" s="404">
        <v>43922</v>
      </c>
      <c r="S11" s="405">
        <v>43952</v>
      </c>
      <c r="T11" s="405">
        <v>43983</v>
      </c>
      <c r="U11" s="405">
        <v>44013</v>
      </c>
      <c r="V11" s="405">
        <v>44044</v>
      </c>
      <c r="W11" s="405">
        <v>44075</v>
      </c>
      <c r="X11" s="405">
        <v>44105</v>
      </c>
      <c r="Y11" s="405">
        <v>44136</v>
      </c>
      <c r="Z11" s="405">
        <v>44166</v>
      </c>
      <c r="AA11" s="405">
        <v>44197</v>
      </c>
      <c r="AB11" s="405">
        <v>44228</v>
      </c>
      <c r="AC11" s="405">
        <v>44256</v>
      </c>
      <c r="AD11" s="405">
        <v>44287</v>
      </c>
      <c r="AE11" s="405">
        <v>44317</v>
      </c>
      <c r="AF11" s="405">
        <v>44348</v>
      </c>
      <c r="AG11" s="405">
        <v>44378</v>
      </c>
      <c r="AH11" s="405">
        <v>44409</v>
      </c>
      <c r="AI11" s="405">
        <v>44440</v>
      </c>
      <c r="AJ11" s="405">
        <v>44470</v>
      </c>
      <c r="AK11" s="405">
        <v>44501</v>
      </c>
      <c r="AL11" s="405">
        <v>44531</v>
      </c>
      <c r="AM11" s="405">
        <v>44562</v>
      </c>
      <c r="AN11" s="405">
        <v>44593</v>
      </c>
      <c r="AO11" s="405">
        <v>44621</v>
      </c>
      <c r="AP11" s="405">
        <v>44652</v>
      </c>
      <c r="AQ11" s="405">
        <v>44682</v>
      </c>
      <c r="AR11" s="405">
        <v>44713</v>
      </c>
      <c r="AS11" s="405">
        <v>44743</v>
      </c>
      <c r="AT11" s="405">
        <v>44774</v>
      </c>
      <c r="AU11" s="405">
        <v>44805</v>
      </c>
      <c r="AV11" s="405">
        <v>44835</v>
      </c>
      <c r="AW11" s="405">
        <v>44866</v>
      </c>
      <c r="AX11" s="405">
        <v>44896</v>
      </c>
      <c r="AY11" s="405">
        <v>44927</v>
      </c>
      <c r="AZ11" s="405">
        <v>44958</v>
      </c>
      <c r="BA11" s="405">
        <v>44986</v>
      </c>
      <c r="BB11" s="405">
        <v>45017</v>
      </c>
      <c r="BC11" s="405">
        <v>45047</v>
      </c>
      <c r="BD11" s="405">
        <v>45078</v>
      </c>
      <c r="BE11" s="405">
        <v>45108</v>
      </c>
      <c r="BF11" s="405">
        <v>45139</v>
      </c>
      <c r="BG11" s="405">
        <v>45170</v>
      </c>
      <c r="BH11" s="405">
        <v>45200</v>
      </c>
      <c r="BI11" s="404">
        <v>45231</v>
      </c>
      <c r="BJ11" s="404">
        <v>45261</v>
      </c>
      <c r="BK11" s="404">
        <v>45292</v>
      </c>
      <c r="BL11" s="404">
        <v>45323</v>
      </c>
      <c r="BM11" s="404">
        <v>45352</v>
      </c>
      <c r="BN11" s="404">
        <v>45383</v>
      </c>
      <c r="BO11" s="404">
        <v>45413</v>
      </c>
      <c r="BP11" s="404">
        <v>45444</v>
      </c>
      <c r="BQ11" s="405">
        <v>45474</v>
      </c>
      <c r="BR11" s="405">
        <v>45505</v>
      </c>
      <c r="BS11" s="405">
        <v>45536</v>
      </c>
      <c r="BT11" s="405">
        <v>45566</v>
      </c>
      <c r="BU11" s="405">
        <v>45597</v>
      </c>
      <c r="BV11" s="405">
        <v>45627</v>
      </c>
      <c r="BW11" s="405">
        <v>45658</v>
      </c>
      <c r="BX11" s="405">
        <v>45689</v>
      </c>
      <c r="BY11" s="405">
        <v>45717</v>
      </c>
      <c r="BZ11" s="405">
        <v>45748</v>
      </c>
      <c r="CA11" s="405">
        <v>45778</v>
      </c>
      <c r="CB11" s="405">
        <v>45809</v>
      </c>
      <c r="CC11" s="405">
        <v>45839</v>
      </c>
      <c r="CD11" s="405">
        <v>45870</v>
      </c>
      <c r="CE11" s="405">
        <v>45901</v>
      </c>
      <c r="CF11" s="405">
        <v>45931</v>
      </c>
      <c r="CG11" s="405">
        <v>45962</v>
      </c>
      <c r="CH11" s="405">
        <v>45992</v>
      </c>
      <c r="CI11" s="405" t="s">
        <v>423</v>
      </c>
      <c r="CJ11" s="405" t="s">
        <v>429</v>
      </c>
      <c r="CK11" s="406" t="s">
        <v>187</v>
      </c>
    </row>
    <row r="12" spans="1:90" ht="16.2" x14ac:dyDescent="0.3">
      <c r="B12" s="238" t="s">
        <v>142</v>
      </c>
      <c r="C12" s="239">
        <f t="shared" ref="C12:U12" si="0">+C14+C25</f>
        <v>332746.60000000003</v>
      </c>
      <c r="D12" s="239">
        <f t="shared" si="0"/>
        <v>331571.20000000001</v>
      </c>
      <c r="E12" s="239">
        <f t="shared" si="0"/>
        <v>322317.3</v>
      </c>
      <c r="F12" s="239">
        <f t="shared" si="0"/>
        <v>331741.09999999998</v>
      </c>
      <c r="G12" s="239">
        <f t="shared" si="0"/>
        <v>327350.40000000002</v>
      </c>
      <c r="H12" s="239">
        <f t="shared" si="0"/>
        <v>334706.09999999998</v>
      </c>
      <c r="I12" s="239">
        <f t="shared" si="0"/>
        <v>339420.3</v>
      </c>
      <c r="J12" s="239">
        <f t="shared" si="0"/>
        <v>307589.2</v>
      </c>
      <c r="K12" s="239">
        <f t="shared" si="0"/>
        <v>308742.70000000007</v>
      </c>
      <c r="L12" s="239">
        <f t="shared" si="0"/>
        <v>309941.59999999998</v>
      </c>
      <c r="M12" s="239">
        <f t="shared" si="0"/>
        <v>310778.5</v>
      </c>
      <c r="N12" s="239">
        <f t="shared" si="0"/>
        <v>320525.39999999997</v>
      </c>
      <c r="O12" s="239">
        <f t="shared" si="0"/>
        <v>321908.59999999998</v>
      </c>
      <c r="P12" s="239">
        <f t="shared" si="0"/>
        <v>321843.5</v>
      </c>
      <c r="Q12" s="239">
        <f t="shared" si="0"/>
        <v>320855.3</v>
      </c>
      <c r="R12" s="239">
        <f t="shared" si="0"/>
        <v>320737.5</v>
      </c>
      <c r="S12" s="239">
        <f t="shared" si="0"/>
        <v>322280.09999999998</v>
      </c>
      <c r="T12" s="239">
        <f t="shared" si="0"/>
        <v>322014.59999999998</v>
      </c>
      <c r="U12" s="239">
        <f t="shared" si="0"/>
        <v>325507.80000000005</v>
      </c>
      <c r="V12" s="239">
        <f t="shared" ref="V12" si="1">+V14+V25</f>
        <v>326886.7</v>
      </c>
      <c r="W12" s="239">
        <f t="shared" ref="W12:AG12" si="2">+W14+W25</f>
        <v>329672.39999999997</v>
      </c>
      <c r="X12" s="239">
        <f t="shared" si="2"/>
        <v>330633.29999999993</v>
      </c>
      <c r="Y12" s="239">
        <f t="shared" si="2"/>
        <v>330670.09999999998</v>
      </c>
      <c r="Z12" s="239">
        <f t="shared" si="2"/>
        <v>332975</v>
      </c>
      <c r="AA12" s="239">
        <f t="shared" si="2"/>
        <v>332328.89999999997</v>
      </c>
      <c r="AB12" s="239">
        <f t="shared" si="2"/>
        <v>332288.69999999995</v>
      </c>
      <c r="AC12" s="239">
        <f t="shared" si="2"/>
        <v>332989.59999999998</v>
      </c>
      <c r="AD12" s="239">
        <f t="shared" si="2"/>
        <v>335741.89999999997</v>
      </c>
      <c r="AE12" s="239">
        <f t="shared" si="2"/>
        <v>338483.19999999995</v>
      </c>
      <c r="AF12" s="239">
        <f t="shared" si="2"/>
        <v>340944.2</v>
      </c>
      <c r="AG12" s="239">
        <f t="shared" si="2"/>
        <v>342559.6</v>
      </c>
      <c r="AH12" s="239">
        <f t="shared" ref="AH12:AL12" si="3">+AH14+AH25</f>
        <v>343293.99999999994</v>
      </c>
      <c r="AI12" s="239">
        <f t="shared" si="3"/>
        <v>340061.30000000005</v>
      </c>
      <c r="AJ12" s="305">
        <f t="shared" si="3"/>
        <v>346671.6</v>
      </c>
      <c r="AK12" s="305">
        <f t="shared" si="3"/>
        <v>351881.19999999995</v>
      </c>
      <c r="AL12" s="305">
        <f t="shared" si="3"/>
        <v>360688.7</v>
      </c>
      <c r="AM12" s="305">
        <f t="shared" ref="AM12:BA12" si="4">+AM14+AM25</f>
        <v>363214.2</v>
      </c>
      <c r="AN12" s="305">
        <f t="shared" si="4"/>
        <v>364093.2</v>
      </c>
      <c r="AO12" s="305">
        <f t="shared" si="4"/>
        <v>373780.70000000007</v>
      </c>
      <c r="AP12" s="305">
        <f t="shared" si="4"/>
        <v>371722.30000000005</v>
      </c>
      <c r="AQ12" s="305">
        <f t="shared" si="4"/>
        <v>372084.2</v>
      </c>
      <c r="AR12" s="305">
        <f t="shared" si="4"/>
        <v>376032.5</v>
      </c>
      <c r="AS12" s="305">
        <f t="shared" si="4"/>
        <v>378320.20000000007</v>
      </c>
      <c r="AT12" s="305">
        <f t="shared" si="4"/>
        <v>378682.4</v>
      </c>
      <c r="AU12" s="305">
        <f t="shared" si="4"/>
        <v>379863.8</v>
      </c>
      <c r="AV12" s="305">
        <f t="shared" si="4"/>
        <v>383850.1</v>
      </c>
      <c r="AW12" s="305">
        <f t="shared" si="4"/>
        <v>384193.5</v>
      </c>
      <c r="AX12" s="305">
        <f t="shared" si="4"/>
        <v>394064.19999999995</v>
      </c>
      <c r="AY12" s="305">
        <f t="shared" si="4"/>
        <v>393353.10000000003</v>
      </c>
      <c r="AZ12" s="305">
        <f t="shared" si="4"/>
        <v>391720.4</v>
      </c>
      <c r="BA12" s="305">
        <f t="shared" si="4"/>
        <v>395744.7</v>
      </c>
      <c r="BB12" s="305">
        <f t="shared" ref="BB12:CJ12" si="5">+BB14+BB25</f>
        <v>393756.6</v>
      </c>
      <c r="BC12" s="305">
        <f t="shared" si="5"/>
        <v>396344.3</v>
      </c>
      <c r="BD12" s="305">
        <f t="shared" si="5"/>
        <v>401329.5</v>
      </c>
      <c r="BE12" s="305">
        <f t="shared" si="5"/>
        <v>403621.4</v>
      </c>
      <c r="BF12" s="305">
        <f t="shared" si="5"/>
        <v>393268.69999999995</v>
      </c>
      <c r="BG12" s="305">
        <f t="shared" si="5"/>
        <v>404476.6</v>
      </c>
      <c r="BH12" s="305">
        <f t="shared" si="5"/>
        <v>415540.1</v>
      </c>
      <c r="BI12" s="305">
        <f t="shared" si="5"/>
        <v>423046.39999999997</v>
      </c>
      <c r="BJ12" s="305">
        <f t="shared" ref="BJ12:CI12" si="6">+BJ14+BJ25</f>
        <v>368225.00000000006</v>
      </c>
      <c r="BK12" s="305">
        <f t="shared" si="6"/>
        <v>378837.8</v>
      </c>
      <c r="BL12" s="305">
        <f t="shared" si="6"/>
        <v>384099</v>
      </c>
      <c r="BM12" s="305">
        <f t="shared" si="6"/>
        <v>400605.5</v>
      </c>
      <c r="BN12" s="305">
        <f t="shared" si="6"/>
        <v>411603.39999999997</v>
      </c>
      <c r="BO12" s="305">
        <f t="shared" si="6"/>
        <v>433246.5</v>
      </c>
      <c r="BP12" s="305">
        <f t="shared" si="6"/>
        <v>440072.4</v>
      </c>
      <c r="BQ12" s="305">
        <f t="shared" si="6"/>
        <v>449617.8</v>
      </c>
      <c r="BR12" s="305">
        <f t="shared" si="6"/>
        <v>455936.1</v>
      </c>
      <c r="BS12" s="305">
        <f t="shared" si="6"/>
        <v>457587.7</v>
      </c>
      <c r="BT12" s="305">
        <f t="shared" si="6"/>
        <v>460781.5</v>
      </c>
      <c r="BU12" s="305">
        <f t="shared" si="6"/>
        <v>462498.80000000005</v>
      </c>
      <c r="BV12" s="305">
        <f t="shared" si="6"/>
        <v>464503.20000000007</v>
      </c>
      <c r="BW12" s="305">
        <f t="shared" si="6"/>
        <v>465375.1</v>
      </c>
      <c r="BX12" s="305">
        <f t="shared" si="6"/>
        <v>468741.69999999995</v>
      </c>
      <c r="BY12" s="305">
        <f t="shared" si="6"/>
        <v>471102.89999999997</v>
      </c>
      <c r="BZ12" s="305">
        <f t="shared" si="6"/>
        <v>470421.2</v>
      </c>
      <c r="CA12" s="305">
        <f t="shared" si="6"/>
        <v>458517.8</v>
      </c>
      <c r="CB12" s="305">
        <f t="shared" si="6"/>
        <v>462817.5</v>
      </c>
      <c r="CC12" s="305">
        <f t="shared" si="6"/>
        <v>444678.69999999995</v>
      </c>
      <c r="CD12" s="305">
        <f t="shared" si="6"/>
        <v>451740.5</v>
      </c>
      <c r="CE12" s="305">
        <f t="shared" si="6"/>
        <v>451511.5</v>
      </c>
      <c r="CF12" s="305">
        <f t="shared" si="6"/>
        <v>440731.2</v>
      </c>
      <c r="CG12" s="305">
        <f t="shared" si="6"/>
        <v>444518.7</v>
      </c>
      <c r="CH12" s="305">
        <f t="shared" si="6"/>
        <v>452551.1</v>
      </c>
      <c r="CI12" s="305">
        <f t="shared" si="6"/>
        <v>458397.5</v>
      </c>
      <c r="CJ12" s="305">
        <f t="shared" si="5"/>
        <v>469597.4</v>
      </c>
      <c r="CK12" s="240">
        <f>SUM(CK14:CK46)</f>
        <v>1</v>
      </c>
      <c r="CL12" s="292"/>
    </row>
    <row r="13" spans="1:90" x14ac:dyDescent="0.3">
      <c r="B13" s="141" t="s">
        <v>57</v>
      </c>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298"/>
      <c r="AK13" s="298"/>
      <c r="AL13" s="298"/>
      <c r="AM13" s="298"/>
      <c r="AN13" s="298"/>
      <c r="AO13" s="298"/>
      <c r="AP13" s="298"/>
      <c r="AQ13" s="298"/>
      <c r="AR13" s="298"/>
      <c r="AS13" s="298"/>
      <c r="AT13" s="298"/>
      <c r="AU13" s="298"/>
      <c r="AV13" s="298"/>
      <c r="AW13" s="298"/>
      <c r="AX13" s="298"/>
      <c r="AY13" s="298"/>
      <c r="AZ13" s="298"/>
      <c r="BA13" s="298"/>
      <c r="BB13" s="298"/>
      <c r="BC13" s="298"/>
      <c r="BD13" s="298"/>
      <c r="BE13" s="298"/>
      <c r="BF13" s="298"/>
      <c r="BG13" s="298"/>
      <c r="BH13" s="298"/>
      <c r="BI13" s="298"/>
      <c r="BJ13" s="298"/>
      <c r="BK13" s="298"/>
      <c r="BL13" s="298"/>
      <c r="BM13" s="298"/>
      <c r="BN13" s="298"/>
      <c r="BO13" s="298"/>
      <c r="BP13" s="298"/>
      <c r="BQ13" s="298"/>
      <c r="BR13" s="298"/>
      <c r="BS13" s="298"/>
      <c r="BT13" s="298"/>
      <c r="BU13" s="298"/>
      <c r="BV13" s="298"/>
      <c r="BW13" s="298"/>
      <c r="BX13" s="298"/>
      <c r="BY13" s="298"/>
      <c r="BZ13" s="298"/>
      <c r="CA13" s="298"/>
      <c r="CB13" s="298"/>
      <c r="CC13" s="298"/>
      <c r="CD13" s="298"/>
      <c r="CE13" s="298"/>
      <c r="CF13" s="298"/>
      <c r="CG13" s="298"/>
      <c r="CH13" s="298"/>
      <c r="CI13" s="298"/>
      <c r="CJ13" s="298"/>
      <c r="CK13" s="142"/>
    </row>
    <row r="14" spans="1:90" ht="15" x14ac:dyDescent="0.3">
      <c r="A14" s="143" t="s">
        <v>293</v>
      </c>
      <c r="B14" s="144" t="s">
        <v>58</v>
      </c>
      <c r="C14" s="145">
        <f t="shared" ref="C14:U14" si="7">+C16+C21</f>
        <v>80270.8</v>
      </c>
      <c r="D14" s="145">
        <f t="shared" si="7"/>
        <v>77088</v>
      </c>
      <c r="E14" s="145">
        <f t="shared" si="7"/>
        <v>71273</v>
      </c>
      <c r="F14" s="145">
        <f t="shared" si="7"/>
        <v>73061.899999999994</v>
      </c>
      <c r="G14" s="145">
        <f t="shared" si="7"/>
        <v>72730.399999999994</v>
      </c>
      <c r="H14" s="145">
        <f t="shared" si="7"/>
        <v>78268.2</v>
      </c>
      <c r="I14" s="145">
        <f t="shared" si="7"/>
        <v>77435.8</v>
      </c>
      <c r="J14" s="145">
        <f t="shared" si="7"/>
        <v>58924.5</v>
      </c>
      <c r="K14" s="145">
        <f t="shared" si="7"/>
        <v>61291</v>
      </c>
      <c r="L14" s="145">
        <f t="shared" si="7"/>
        <v>61450.3</v>
      </c>
      <c r="M14" s="145">
        <f t="shared" si="7"/>
        <v>63408</v>
      </c>
      <c r="N14" s="145">
        <f t="shared" si="7"/>
        <v>71580.7</v>
      </c>
      <c r="O14" s="145">
        <f t="shared" si="7"/>
        <v>72307.600000000006</v>
      </c>
      <c r="P14" s="145">
        <f t="shared" si="7"/>
        <v>71966.399999999994</v>
      </c>
      <c r="Q14" s="145">
        <f t="shared" si="7"/>
        <v>70777.2</v>
      </c>
      <c r="R14" s="145">
        <f t="shared" si="7"/>
        <v>70308.600000000006</v>
      </c>
      <c r="S14" s="145">
        <f t="shared" si="7"/>
        <v>72981.399999999994</v>
      </c>
      <c r="T14" s="145">
        <f t="shared" si="7"/>
        <v>71801.899999999994</v>
      </c>
      <c r="U14" s="145">
        <f t="shared" si="7"/>
        <v>76865.600000000006</v>
      </c>
      <c r="V14" s="145">
        <f t="shared" ref="V14" si="8">+V16+V21</f>
        <v>77780.600000000006</v>
      </c>
      <c r="W14" s="145">
        <f t="shared" ref="W14:BA14" si="9">+W16+W21</f>
        <v>79096.599999999991</v>
      </c>
      <c r="X14" s="145">
        <f t="shared" si="9"/>
        <v>79982.5</v>
      </c>
      <c r="Y14" s="145">
        <f t="shared" si="9"/>
        <v>78595.100000000006</v>
      </c>
      <c r="Z14" s="145">
        <f t="shared" si="9"/>
        <v>78978.700000000012</v>
      </c>
      <c r="AA14" s="145">
        <f t="shared" si="9"/>
        <v>78677.8</v>
      </c>
      <c r="AB14" s="145">
        <f t="shared" si="9"/>
        <v>78833.100000000006</v>
      </c>
      <c r="AC14" s="145">
        <f t="shared" si="9"/>
        <v>80563.5</v>
      </c>
      <c r="AD14" s="145">
        <f t="shared" si="9"/>
        <v>82786.799999999988</v>
      </c>
      <c r="AE14" s="145">
        <f t="shared" si="9"/>
        <v>85169.7</v>
      </c>
      <c r="AF14" s="145">
        <f t="shared" si="9"/>
        <v>88430.6</v>
      </c>
      <c r="AG14" s="145">
        <f t="shared" si="9"/>
        <v>90412.6</v>
      </c>
      <c r="AH14" s="145">
        <f t="shared" si="9"/>
        <v>91436.4</v>
      </c>
      <c r="AI14" s="145">
        <f t="shared" si="9"/>
        <v>88755.4</v>
      </c>
      <c r="AJ14" s="299">
        <f t="shared" si="9"/>
        <v>94741.200000000012</v>
      </c>
      <c r="AK14" s="299">
        <f t="shared" si="9"/>
        <v>99005.700000000012</v>
      </c>
      <c r="AL14" s="299">
        <f t="shared" si="9"/>
        <v>107807.8</v>
      </c>
      <c r="AM14" s="299">
        <f t="shared" si="9"/>
        <v>111859.1</v>
      </c>
      <c r="AN14" s="299">
        <f t="shared" si="9"/>
        <v>112885.6</v>
      </c>
      <c r="AO14" s="299">
        <f t="shared" si="9"/>
        <v>116185</v>
      </c>
      <c r="AP14" s="299">
        <f t="shared" si="9"/>
        <v>116084.29999999999</v>
      </c>
      <c r="AQ14" s="299">
        <f t="shared" si="9"/>
        <v>116207.8</v>
      </c>
      <c r="AR14" s="299">
        <f t="shared" si="9"/>
        <v>119537.60000000001</v>
      </c>
      <c r="AS14" s="299">
        <f t="shared" si="9"/>
        <v>124040.4</v>
      </c>
      <c r="AT14" s="299">
        <f t="shared" si="9"/>
        <v>124952.6</v>
      </c>
      <c r="AU14" s="299">
        <f t="shared" si="9"/>
        <v>126884.9</v>
      </c>
      <c r="AV14" s="299">
        <f t="shared" si="9"/>
        <v>127409.79999999999</v>
      </c>
      <c r="AW14" s="299">
        <f t="shared" si="9"/>
        <v>126167.79999999999</v>
      </c>
      <c r="AX14" s="299">
        <f t="shared" si="9"/>
        <v>131112.6</v>
      </c>
      <c r="AY14" s="299">
        <f t="shared" si="9"/>
        <v>132546</v>
      </c>
      <c r="AZ14" s="299">
        <f t="shared" si="9"/>
        <v>131788</v>
      </c>
      <c r="BA14" s="299">
        <f t="shared" si="9"/>
        <v>131929.5</v>
      </c>
      <c r="BB14" s="299">
        <f t="shared" ref="BB14:CJ14" si="10">+BB16+BB21</f>
        <v>132399.29999999999</v>
      </c>
      <c r="BC14" s="299">
        <f t="shared" si="10"/>
        <v>135817.29999999999</v>
      </c>
      <c r="BD14" s="299">
        <f t="shared" si="10"/>
        <v>142628.70000000001</v>
      </c>
      <c r="BE14" s="299">
        <f t="shared" si="10"/>
        <v>143955.4</v>
      </c>
      <c r="BF14" s="299">
        <f t="shared" si="10"/>
        <v>127418.19999999998</v>
      </c>
      <c r="BG14" s="299">
        <f t="shared" si="10"/>
        <v>137198.39999999999</v>
      </c>
      <c r="BH14" s="299">
        <f t="shared" si="10"/>
        <v>149955.79999999999</v>
      </c>
      <c r="BI14" s="299">
        <f t="shared" si="10"/>
        <v>158819.70000000001</v>
      </c>
      <c r="BJ14" s="299">
        <f t="shared" ref="BJ14:CI14" si="11">+BJ16+BJ21</f>
        <v>103744</v>
      </c>
      <c r="BK14" s="299">
        <f t="shared" si="11"/>
        <v>110846</v>
      </c>
      <c r="BL14" s="299">
        <f t="shared" si="11"/>
        <v>124863.8</v>
      </c>
      <c r="BM14" s="299">
        <f t="shared" si="11"/>
        <v>141879.1</v>
      </c>
      <c r="BN14" s="299">
        <f t="shared" si="11"/>
        <v>155142.5</v>
      </c>
      <c r="BO14" s="299">
        <f t="shared" si="11"/>
        <v>178573.69999999998</v>
      </c>
      <c r="BP14" s="299">
        <f t="shared" si="11"/>
        <v>185027.19999999998</v>
      </c>
      <c r="BQ14" s="299">
        <f t="shared" si="11"/>
        <v>195696.5</v>
      </c>
      <c r="BR14" s="299">
        <f t="shared" si="11"/>
        <v>200688.2</v>
      </c>
      <c r="BS14" s="299">
        <f t="shared" si="11"/>
        <v>202153.5</v>
      </c>
      <c r="BT14" s="299">
        <f t="shared" si="11"/>
        <v>206232.6</v>
      </c>
      <c r="BU14" s="299">
        <f t="shared" si="11"/>
        <v>208042</v>
      </c>
      <c r="BV14" s="299">
        <f t="shared" si="11"/>
        <v>209190.30000000002</v>
      </c>
      <c r="BW14" s="299">
        <f t="shared" si="11"/>
        <v>213024.8</v>
      </c>
      <c r="BX14" s="299">
        <f t="shared" si="11"/>
        <v>216275.7</v>
      </c>
      <c r="BY14" s="299">
        <f t="shared" si="11"/>
        <v>218153.60000000001</v>
      </c>
      <c r="BZ14" s="299">
        <f t="shared" si="11"/>
        <v>202523.5</v>
      </c>
      <c r="CA14" s="299">
        <f t="shared" si="11"/>
        <v>203679</v>
      </c>
      <c r="CB14" s="299">
        <f t="shared" si="11"/>
        <v>208171.2</v>
      </c>
      <c r="CC14" s="299">
        <f t="shared" si="11"/>
        <v>192474.19999999998</v>
      </c>
      <c r="CD14" s="299">
        <f t="shared" si="11"/>
        <v>199903.3</v>
      </c>
      <c r="CE14" s="299">
        <f t="shared" si="11"/>
        <v>200011.8</v>
      </c>
      <c r="CF14" s="299">
        <f t="shared" si="11"/>
        <v>189882.5</v>
      </c>
      <c r="CG14" s="299">
        <f t="shared" si="11"/>
        <v>193730.8</v>
      </c>
      <c r="CH14" s="299">
        <f t="shared" si="11"/>
        <v>190901.4</v>
      </c>
      <c r="CI14" s="299">
        <f t="shared" si="11"/>
        <v>198672.40000000002</v>
      </c>
      <c r="CJ14" s="299">
        <f t="shared" si="10"/>
        <v>209996</v>
      </c>
      <c r="CK14" s="146">
        <f>+CJ14/$CJ$12</f>
        <v>0.44718305510209383</v>
      </c>
      <c r="CL14" s="414"/>
    </row>
    <row r="15" spans="1:90" ht="15" x14ac:dyDescent="0.3">
      <c r="B15" s="144"/>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299"/>
      <c r="AK15" s="299"/>
      <c r="AL15" s="299"/>
      <c r="AM15" s="299"/>
      <c r="AN15" s="299"/>
      <c r="AO15" s="299"/>
      <c r="AP15" s="299"/>
      <c r="AQ15" s="299"/>
      <c r="AR15" s="299"/>
      <c r="AS15" s="299"/>
      <c r="AT15" s="299"/>
      <c r="AU15" s="299"/>
      <c r="AV15" s="299"/>
      <c r="AW15" s="299"/>
      <c r="AX15" s="299"/>
      <c r="AY15" s="299"/>
      <c r="AZ15" s="299"/>
      <c r="BA15" s="299"/>
      <c r="BB15" s="299"/>
      <c r="BC15" s="299"/>
      <c r="BD15" s="299"/>
      <c r="BE15" s="299"/>
      <c r="BF15" s="299"/>
      <c r="BG15" s="299"/>
      <c r="BH15" s="299"/>
      <c r="BI15" s="299"/>
      <c r="BJ15" s="299"/>
      <c r="BK15" s="299"/>
      <c r="BL15" s="299"/>
      <c r="BM15" s="299"/>
      <c r="BN15" s="299"/>
      <c r="BO15" s="299"/>
      <c r="BP15" s="299"/>
      <c r="BQ15" s="299"/>
      <c r="BR15" s="299"/>
      <c r="BS15" s="299"/>
      <c r="BT15" s="299"/>
      <c r="BU15" s="299"/>
      <c r="BV15" s="299"/>
      <c r="BW15" s="299"/>
      <c r="BX15" s="299"/>
      <c r="BY15" s="299"/>
      <c r="BZ15" s="299"/>
      <c r="CA15" s="299"/>
      <c r="CB15" s="299"/>
      <c r="CC15" s="299"/>
      <c r="CD15" s="299"/>
      <c r="CE15" s="299"/>
      <c r="CF15" s="299"/>
      <c r="CG15" s="299"/>
      <c r="CH15" s="299"/>
      <c r="CI15" s="299"/>
      <c r="CJ15" s="299"/>
      <c r="CK15" s="146"/>
    </row>
    <row r="16" spans="1:90" ht="15" x14ac:dyDescent="0.3">
      <c r="B16" s="144" t="s">
        <v>59</v>
      </c>
      <c r="C16" s="145">
        <f t="shared" ref="C16:U16" si="12">+SUM(C17:C19)</f>
        <v>58362.8</v>
      </c>
      <c r="D16" s="145">
        <f t="shared" si="12"/>
        <v>54664</v>
      </c>
      <c r="E16" s="145">
        <f t="shared" si="12"/>
        <v>47839.7</v>
      </c>
      <c r="F16" s="145">
        <f t="shared" si="12"/>
        <v>48809.5</v>
      </c>
      <c r="G16" s="145">
        <f t="shared" si="12"/>
        <v>48285.899999999994</v>
      </c>
      <c r="H16" s="145">
        <f t="shared" si="12"/>
        <v>51064</v>
      </c>
      <c r="I16" s="145">
        <f t="shared" si="12"/>
        <v>49104.5</v>
      </c>
      <c r="J16" s="145">
        <f t="shared" si="12"/>
        <v>37395.9</v>
      </c>
      <c r="K16" s="145">
        <f t="shared" si="12"/>
        <v>38682.199999999997</v>
      </c>
      <c r="L16" s="145">
        <f t="shared" si="12"/>
        <v>38586.9</v>
      </c>
      <c r="M16" s="145">
        <f t="shared" si="12"/>
        <v>39617.5</v>
      </c>
      <c r="N16" s="145">
        <f t="shared" si="12"/>
        <v>47129.5</v>
      </c>
      <c r="O16" s="145">
        <f t="shared" si="12"/>
        <v>48201.1</v>
      </c>
      <c r="P16" s="145">
        <f t="shared" si="12"/>
        <v>47922.9</v>
      </c>
      <c r="Q16" s="145">
        <f t="shared" si="12"/>
        <v>40667.699999999997</v>
      </c>
      <c r="R16" s="145">
        <f t="shared" si="12"/>
        <v>40720.300000000003</v>
      </c>
      <c r="S16" s="145">
        <f t="shared" si="12"/>
        <v>40791</v>
      </c>
      <c r="T16" s="145">
        <f t="shared" si="12"/>
        <v>39188.400000000001</v>
      </c>
      <c r="U16" s="145">
        <f t="shared" si="12"/>
        <v>40155.600000000006</v>
      </c>
      <c r="V16" s="145">
        <f t="shared" ref="V16" si="13">+SUM(V17:V19)</f>
        <v>39766.699999999997</v>
      </c>
      <c r="W16" s="145">
        <f t="shared" ref="W16" si="14">+SUM(W17:W19)</f>
        <v>39735.899999999994</v>
      </c>
      <c r="X16" s="145">
        <f t="shared" ref="X16:BA16" si="15">+SUM(X17:X19)</f>
        <v>40065.300000000003</v>
      </c>
      <c r="Y16" s="145">
        <f t="shared" si="15"/>
        <v>37960.400000000001</v>
      </c>
      <c r="Z16" s="145">
        <f t="shared" si="15"/>
        <v>36856.800000000003</v>
      </c>
      <c r="AA16" s="145">
        <f t="shared" si="15"/>
        <v>35644.1</v>
      </c>
      <c r="AB16" s="145">
        <f t="shared" si="15"/>
        <v>35778.1</v>
      </c>
      <c r="AC16" s="145">
        <f t="shared" si="15"/>
        <v>35860.9</v>
      </c>
      <c r="AD16" s="145">
        <f t="shared" si="15"/>
        <v>36424.799999999996</v>
      </c>
      <c r="AE16" s="145">
        <f t="shared" si="15"/>
        <v>37542.799999999996</v>
      </c>
      <c r="AF16" s="145">
        <f t="shared" si="15"/>
        <v>36824.9</v>
      </c>
      <c r="AG16" s="145">
        <f t="shared" si="15"/>
        <v>37665.699999999997</v>
      </c>
      <c r="AH16" s="145">
        <f t="shared" si="15"/>
        <v>38148.1</v>
      </c>
      <c r="AI16" s="145">
        <f t="shared" si="15"/>
        <v>33226.400000000001</v>
      </c>
      <c r="AJ16" s="299">
        <f t="shared" si="15"/>
        <v>36795.4</v>
      </c>
      <c r="AK16" s="299">
        <f t="shared" si="15"/>
        <v>37857.1</v>
      </c>
      <c r="AL16" s="299">
        <f t="shared" si="15"/>
        <v>45604.600000000006</v>
      </c>
      <c r="AM16" s="299">
        <f t="shared" si="15"/>
        <v>46373.4</v>
      </c>
      <c r="AN16" s="299">
        <f t="shared" si="15"/>
        <v>45970.400000000001</v>
      </c>
      <c r="AO16" s="299">
        <f t="shared" si="15"/>
        <v>45027.9</v>
      </c>
      <c r="AP16" s="299">
        <f t="shared" si="15"/>
        <v>42853</v>
      </c>
      <c r="AQ16" s="299">
        <f t="shared" si="15"/>
        <v>40253.5</v>
      </c>
      <c r="AR16" s="299">
        <f t="shared" si="15"/>
        <v>42395.1</v>
      </c>
      <c r="AS16" s="299">
        <f t="shared" si="15"/>
        <v>45712.6</v>
      </c>
      <c r="AT16" s="299">
        <f t="shared" si="15"/>
        <v>55863.5</v>
      </c>
      <c r="AU16" s="299">
        <f t="shared" si="15"/>
        <v>55420.700000000004</v>
      </c>
      <c r="AV16" s="299">
        <f t="shared" si="15"/>
        <v>54765.399999999994</v>
      </c>
      <c r="AW16" s="299">
        <f t="shared" si="15"/>
        <v>57892.9</v>
      </c>
      <c r="AX16" s="299">
        <f t="shared" si="15"/>
        <v>63179.100000000006</v>
      </c>
      <c r="AY16" s="299">
        <f t="shared" si="15"/>
        <v>76673.100000000006</v>
      </c>
      <c r="AZ16" s="299">
        <f t="shared" si="15"/>
        <v>75688.599999999991</v>
      </c>
      <c r="BA16" s="299">
        <f t="shared" si="15"/>
        <v>64599.7</v>
      </c>
      <c r="BB16" s="299">
        <f t="shared" ref="BB16" si="16">+SUM(BB17:BB19)</f>
        <v>63550.5</v>
      </c>
      <c r="BC16" s="299">
        <f t="shared" ref="BC16:CJ16" si="17">+SUM(BC17:BC19)</f>
        <v>62768.599999999991</v>
      </c>
      <c r="BD16" s="299">
        <f t="shared" si="17"/>
        <v>66261.2</v>
      </c>
      <c r="BE16" s="299">
        <f t="shared" si="17"/>
        <v>66682.599999999991</v>
      </c>
      <c r="BF16" s="299">
        <f t="shared" si="17"/>
        <v>60084.499999999993</v>
      </c>
      <c r="BG16" s="299">
        <f t="shared" si="17"/>
        <v>62861</v>
      </c>
      <c r="BH16" s="299">
        <f t="shared" si="17"/>
        <v>63819.1</v>
      </c>
      <c r="BI16" s="299">
        <f t="shared" si="17"/>
        <v>65888.899999999994</v>
      </c>
      <c r="BJ16" s="299">
        <f t="shared" ref="BJ16:CE16" si="18">+SUM(BJ17:BJ19)</f>
        <v>57601.2</v>
      </c>
      <c r="BK16" s="299">
        <f t="shared" si="18"/>
        <v>54769.4</v>
      </c>
      <c r="BL16" s="299">
        <f t="shared" si="18"/>
        <v>50201.5</v>
      </c>
      <c r="BM16" s="299">
        <f t="shared" si="18"/>
        <v>25417.3</v>
      </c>
      <c r="BN16" s="299">
        <f t="shared" si="18"/>
        <v>26032.400000000001</v>
      </c>
      <c r="BO16" s="299">
        <f t="shared" si="18"/>
        <v>41504.9</v>
      </c>
      <c r="BP16" s="299">
        <f t="shared" si="18"/>
        <v>41547.399999999994</v>
      </c>
      <c r="BQ16" s="299">
        <f t="shared" si="18"/>
        <v>72718.5</v>
      </c>
      <c r="BR16" s="299">
        <f t="shared" si="18"/>
        <v>75257.7</v>
      </c>
      <c r="BS16" s="299">
        <f t="shared" si="18"/>
        <v>72856</v>
      </c>
      <c r="BT16" s="299">
        <f t="shared" si="18"/>
        <v>75399.600000000006</v>
      </c>
      <c r="BU16" s="299">
        <f t="shared" si="18"/>
        <v>74369.8</v>
      </c>
      <c r="BV16" s="299">
        <f t="shared" si="18"/>
        <v>75341.200000000012</v>
      </c>
      <c r="BW16" s="299">
        <f t="shared" si="18"/>
        <v>82641</v>
      </c>
      <c r="BX16" s="299">
        <f t="shared" si="18"/>
        <v>89232.5</v>
      </c>
      <c r="BY16" s="299">
        <f t="shared" si="18"/>
        <v>89428.6</v>
      </c>
      <c r="BZ16" s="299">
        <f t="shared" si="18"/>
        <v>81834</v>
      </c>
      <c r="CA16" s="299">
        <f t="shared" si="18"/>
        <v>89747.4</v>
      </c>
      <c r="CB16" s="299">
        <f t="shared" si="18"/>
        <v>93401.9</v>
      </c>
      <c r="CC16" s="299">
        <f t="shared" si="18"/>
        <v>89254.9</v>
      </c>
      <c r="CD16" s="299">
        <f t="shared" si="18"/>
        <v>93408.8</v>
      </c>
      <c r="CE16" s="299">
        <f t="shared" si="18"/>
        <v>94813.1</v>
      </c>
      <c r="CF16" s="299">
        <f t="shared" ref="CF16:CI16" si="19">+SUM(CF17:CF19)</f>
        <v>88832.8</v>
      </c>
      <c r="CG16" s="299">
        <f t="shared" si="19"/>
        <v>89443.1</v>
      </c>
      <c r="CH16" s="299">
        <f t="shared" si="19"/>
        <v>95718</v>
      </c>
      <c r="CI16" s="299">
        <f t="shared" si="19"/>
        <v>97496.3</v>
      </c>
      <c r="CJ16" s="299">
        <f t="shared" si="17"/>
        <v>96933.3</v>
      </c>
      <c r="CK16" s="146"/>
    </row>
    <row r="17" spans="1:90" ht="24" customHeight="1" x14ac:dyDescent="0.3">
      <c r="B17" s="147" t="s">
        <v>114</v>
      </c>
      <c r="C17" s="142">
        <v>32021.599999999999</v>
      </c>
      <c r="D17" s="142">
        <v>28613.9</v>
      </c>
      <c r="E17" s="142">
        <v>25158.1</v>
      </c>
      <c r="F17" s="142">
        <v>26392.2</v>
      </c>
      <c r="G17" s="142">
        <v>26385.5</v>
      </c>
      <c r="H17" s="142">
        <v>27719.8</v>
      </c>
      <c r="I17" s="142">
        <v>26470.699999999997</v>
      </c>
      <c r="J17" s="142">
        <v>20528.8</v>
      </c>
      <c r="K17" s="142">
        <v>20850.599999999999</v>
      </c>
      <c r="L17" s="142">
        <v>20058.599999999999</v>
      </c>
      <c r="M17" s="142">
        <v>19830.8</v>
      </c>
      <c r="N17" s="142">
        <v>18925.2</v>
      </c>
      <c r="O17" s="142">
        <v>18170.5</v>
      </c>
      <c r="P17" s="142">
        <v>16968.5</v>
      </c>
      <c r="Q17" s="142">
        <v>10445.700000000001</v>
      </c>
      <c r="R17" s="142">
        <v>9809.5</v>
      </c>
      <c r="S17" s="142">
        <v>9484.7999999999993</v>
      </c>
      <c r="T17" s="142">
        <v>9249.1</v>
      </c>
      <c r="U17" s="142">
        <v>8896.4</v>
      </c>
      <c r="V17" s="142">
        <v>8555.4</v>
      </c>
      <c r="W17" s="142">
        <v>8399</v>
      </c>
      <c r="X17" s="142">
        <v>11248.9</v>
      </c>
      <c r="Y17" s="142">
        <v>11412.2</v>
      </c>
      <c r="Z17" s="142">
        <v>11138.3</v>
      </c>
      <c r="AA17" s="142">
        <v>10859.6</v>
      </c>
      <c r="AB17" s="142">
        <v>10647.1</v>
      </c>
      <c r="AC17" s="142">
        <v>10596</v>
      </c>
      <c r="AD17" s="142">
        <v>10789.8</v>
      </c>
      <c r="AE17" s="142">
        <v>11365.9</v>
      </c>
      <c r="AF17" s="142">
        <v>11280.8</v>
      </c>
      <c r="AG17" s="142">
        <v>11207.1</v>
      </c>
      <c r="AH17" s="142">
        <v>11722.3</v>
      </c>
      <c r="AI17" s="142">
        <v>10646.6</v>
      </c>
      <c r="AJ17" s="298">
        <v>11001.1</v>
      </c>
      <c r="AK17" s="298">
        <v>11289.1</v>
      </c>
      <c r="AL17" s="298">
        <v>11432.7</v>
      </c>
      <c r="AM17" s="298">
        <v>11532.1</v>
      </c>
      <c r="AN17" s="298">
        <v>11401.1</v>
      </c>
      <c r="AO17" s="298">
        <v>11531.1</v>
      </c>
      <c r="AP17" s="298">
        <v>10624.1</v>
      </c>
      <c r="AQ17" s="298">
        <v>7126.4</v>
      </c>
      <c r="AR17" s="298">
        <v>7356.9</v>
      </c>
      <c r="AS17" s="298">
        <v>7223.1</v>
      </c>
      <c r="AT17" s="298">
        <v>7128.1</v>
      </c>
      <c r="AU17" s="298">
        <v>7034.0000000000018</v>
      </c>
      <c r="AV17" s="298">
        <v>6834.7</v>
      </c>
      <c r="AW17" s="298">
        <v>5341.8</v>
      </c>
      <c r="AX17" s="298">
        <v>5394.4</v>
      </c>
      <c r="AY17" s="298">
        <v>5713.4</v>
      </c>
      <c r="AZ17" s="298">
        <v>5657.1</v>
      </c>
      <c r="BA17" s="298">
        <v>4930.2</v>
      </c>
      <c r="BB17" s="298">
        <v>3314.5</v>
      </c>
      <c r="BC17" s="298">
        <v>4440.2</v>
      </c>
      <c r="BD17" s="298">
        <v>5878.1</v>
      </c>
      <c r="BE17" s="298">
        <v>6596.2</v>
      </c>
      <c r="BF17" s="298">
        <v>6446.2</v>
      </c>
      <c r="BG17" s="298">
        <v>6566.9</v>
      </c>
      <c r="BH17" s="298">
        <v>8370.5</v>
      </c>
      <c r="BI17" s="298">
        <v>8929.9</v>
      </c>
      <c r="BJ17" s="298">
        <v>7879.7</v>
      </c>
      <c r="BK17" s="298">
        <v>7855.4</v>
      </c>
      <c r="BL17" s="298">
        <v>7839.6</v>
      </c>
      <c r="BM17" s="298">
        <v>5120.8999999999996</v>
      </c>
      <c r="BN17" s="298">
        <v>6181.9</v>
      </c>
      <c r="BO17" s="298">
        <v>21191.7</v>
      </c>
      <c r="BP17" s="298">
        <v>21823.8</v>
      </c>
      <c r="BQ17" s="298">
        <v>32663.4</v>
      </c>
      <c r="BR17" s="298">
        <v>36582.400000000001</v>
      </c>
      <c r="BS17" s="298">
        <v>33963.5</v>
      </c>
      <c r="BT17" s="298">
        <v>35638.400000000001</v>
      </c>
      <c r="BU17" s="298">
        <v>34732.300000000003</v>
      </c>
      <c r="BV17" s="298">
        <v>35160.300000000003</v>
      </c>
      <c r="BW17" s="298">
        <v>37720.9</v>
      </c>
      <c r="BX17" s="298">
        <v>43866</v>
      </c>
      <c r="BY17" s="298">
        <v>43955.9</v>
      </c>
      <c r="BZ17" s="298">
        <v>38353.1</v>
      </c>
      <c r="CA17" s="298">
        <v>41014.1</v>
      </c>
      <c r="CB17" s="298">
        <v>45762.3</v>
      </c>
      <c r="CC17" s="298">
        <v>66536.5</v>
      </c>
      <c r="CD17" s="298">
        <v>61321.3</v>
      </c>
      <c r="CE17" s="298">
        <v>57349.3</v>
      </c>
      <c r="CF17" s="298">
        <v>45142.7</v>
      </c>
      <c r="CG17" s="298">
        <v>48374.5</v>
      </c>
      <c r="CH17" s="298">
        <v>54937.7</v>
      </c>
      <c r="CI17" s="298">
        <v>60446.8</v>
      </c>
      <c r="CJ17" s="298">
        <v>59881</v>
      </c>
      <c r="CK17" s="146"/>
      <c r="CL17" s="292"/>
    </row>
    <row r="18" spans="1:90" ht="24" customHeight="1" x14ac:dyDescent="0.3">
      <c r="B18" s="147" t="s">
        <v>60</v>
      </c>
      <c r="C18" s="142">
        <v>16074.5</v>
      </c>
      <c r="D18" s="142">
        <v>15272.6</v>
      </c>
      <c r="E18" s="142">
        <v>14118.8</v>
      </c>
      <c r="F18" s="142">
        <v>13981.1</v>
      </c>
      <c r="G18" s="142">
        <v>13687.1</v>
      </c>
      <c r="H18" s="142">
        <v>14329.7</v>
      </c>
      <c r="I18" s="142">
        <v>13915.800000000001</v>
      </c>
      <c r="J18" s="142">
        <v>10643.1</v>
      </c>
      <c r="K18" s="142">
        <v>10831.2</v>
      </c>
      <c r="L18" s="142">
        <v>11129.7</v>
      </c>
      <c r="M18" s="142">
        <v>12052.9</v>
      </c>
      <c r="N18" s="142">
        <v>19378.7</v>
      </c>
      <c r="O18" s="142">
        <v>19194</v>
      </c>
      <c r="P18" s="142">
        <v>20234.5</v>
      </c>
      <c r="Q18" s="142">
        <v>20517.2</v>
      </c>
      <c r="R18" s="142">
        <v>22266</v>
      </c>
      <c r="S18" s="142">
        <v>23120.5</v>
      </c>
      <c r="T18" s="142">
        <v>23387.3</v>
      </c>
      <c r="U18" s="142">
        <v>25330.9</v>
      </c>
      <c r="V18" s="142">
        <v>26833.1</v>
      </c>
      <c r="W18" s="142">
        <v>27524.2</v>
      </c>
      <c r="X18" s="142">
        <v>25134.5</v>
      </c>
      <c r="Y18" s="142">
        <v>22330.2</v>
      </c>
      <c r="Z18" s="142">
        <v>21203.5</v>
      </c>
      <c r="AA18" s="142">
        <v>19830.3</v>
      </c>
      <c r="AB18" s="142">
        <v>19063.8</v>
      </c>
      <c r="AC18" s="142">
        <v>19516.8</v>
      </c>
      <c r="AD18" s="142">
        <v>19996.099999999999</v>
      </c>
      <c r="AE18" s="142">
        <v>20691.8</v>
      </c>
      <c r="AF18" s="142">
        <v>21134.3</v>
      </c>
      <c r="AG18" s="142">
        <v>22499.4</v>
      </c>
      <c r="AH18" s="142">
        <v>23050.2</v>
      </c>
      <c r="AI18" s="142">
        <v>19587.900000000001</v>
      </c>
      <c r="AJ18" s="298">
        <v>23414.5</v>
      </c>
      <c r="AK18" s="298">
        <v>24435.599999999999</v>
      </c>
      <c r="AL18" s="298">
        <v>32020.400000000001</v>
      </c>
      <c r="AM18" s="298">
        <v>31992.7</v>
      </c>
      <c r="AN18" s="298">
        <v>31777.200000000001</v>
      </c>
      <c r="AO18" s="298">
        <v>30608</v>
      </c>
      <c r="AP18" s="298">
        <v>30295.599999999999</v>
      </c>
      <c r="AQ18" s="298">
        <v>27311.5</v>
      </c>
      <c r="AR18" s="298">
        <v>29457.3</v>
      </c>
      <c r="AS18" s="298">
        <v>32443</v>
      </c>
      <c r="AT18" s="298">
        <v>43241.9</v>
      </c>
      <c r="AU18" s="298">
        <v>42888.4</v>
      </c>
      <c r="AV18" s="298">
        <v>42804.6</v>
      </c>
      <c r="AW18" s="298">
        <v>46891.9</v>
      </c>
      <c r="AX18" s="298">
        <v>52277.3</v>
      </c>
      <c r="AY18" s="298">
        <v>65967.600000000006</v>
      </c>
      <c r="AZ18" s="298">
        <v>65173.1</v>
      </c>
      <c r="BA18" s="298">
        <v>55024.2</v>
      </c>
      <c r="BB18" s="298">
        <v>55872</v>
      </c>
      <c r="BC18" s="298">
        <v>54263.7</v>
      </c>
      <c r="BD18" s="298">
        <v>56552.800000000003</v>
      </c>
      <c r="BE18" s="298">
        <v>56512.7</v>
      </c>
      <c r="BF18" s="298">
        <v>50821.2</v>
      </c>
      <c r="BG18" s="298">
        <v>53349.7</v>
      </c>
      <c r="BH18" s="298">
        <v>54088</v>
      </c>
      <c r="BI18" s="298">
        <v>55627.5</v>
      </c>
      <c r="BJ18" s="298">
        <v>49051.6</v>
      </c>
      <c r="BK18" s="298">
        <v>46258.5</v>
      </c>
      <c r="BL18" s="298">
        <v>41712.300000000003</v>
      </c>
      <c r="BM18" s="298">
        <v>19780.099999999999</v>
      </c>
      <c r="BN18" s="298">
        <v>19348.5</v>
      </c>
      <c r="BO18" s="298">
        <v>19814.8</v>
      </c>
      <c r="BP18" s="298">
        <v>19424.599999999999</v>
      </c>
      <c r="BQ18" s="298">
        <v>17989.400000000001</v>
      </c>
      <c r="BR18" s="298">
        <v>16335.1</v>
      </c>
      <c r="BS18" s="298">
        <v>16241.7</v>
      </c>
      <c r="BT18" s="298">
        <v>16805.099999999999</v>
      </c>
      <c r="BU18" s="298">
        <v>16550.099999999999</v>
      </c>
      <c r="BV18" s="298">
        <v>16929.5</v>
      </c>
      <c r="BW18" s="298">
        <v>8221.7000000000007</v>
      </c>
      <c r="BX18" s="298">
        <v>8245</v>
      </c>
      <c r="BY18" s="298">
        <v>7797.7</v>
      </c>
      <c r="BZ18" s="298">
        <v>7646.9</v>
      </c>
      <c r="CA18" s="298">
        <v>7567.4</v>
      </c>
      <c r="CB18" s="298">
        <v>5479.2</v>
      </c>
      <c r="CC18" s="298">
        <v>5951.8</v>
      </c>
      <c r="CD18" s="298">
        <v>6026.5</v>
      </c>
      <c r="CE18" s="298">
        <v>10594.9</v>
      </c>
      <c r="CF18" s="298">
        <v>17204.900000000001</v>
      </c>
      <c r="CG18" s="298">
        <v>14801</v>
      </c>
      <c r="CH18" s="298">
        <v>12597.6</v>
      </c>
      <c r="CI18" s="298">
        <v>9876.2000000000007</v>
      </c>
      <c r="CJ18" s="298">
        <v>9265.6</v>
      </c>
      <c r="CK18" s="146"/>
      <c r="CL18" s="292"/>
    </row>
    <row r="19" spans="1:90" ht="24" customHeight="1" x14ac:dyDescent="0.3">
      <c r="B19" s="147" t="s">
        <v>113</v>
      </c>
      <c r="C19" s="142">
        <v>10266.700000000001</v>
      </c>
      <c r="D19" s="142">
        <v>10777.5</v>
      </c>
      <c r="E19" s="142">
        <v>8562.7999999999993</v>
      </c>
      <c r="F19" s="142">
        <v>8436.2000000000007</v>
      </c>
      <c r="G19" s="142">
        <v>8213.2999999999993</v>
      </c>
      <c r="H19" s="142">
        <v>9014.5</v>
      </c>
      <c r="I19" s="142">
        <v>8718</v>
      </c>
      <c r="J19" s="142">
        <v>6224</v>
      </c>
      <c r="K19" s="142">
        <v>7000.4</v>
      </c>
      <c r="L19" s="142">
        <v>7398.6</v>
      </c>
      <c r="M19" s="142">
        <v>7733.8</v>
      </c>
      <c r="N19" s="142">
        <v>8825.6</v>
      </c>
      <c r="O19" s="142">
        <v>10836.6</v>
      </c>
      <c r="P19" s="142">
        <v>10719.9</v>
      </c>
      <c r="Q19" s="142">
        <v>9704.7999999999993</v>
      </c>
      <c r="R19" s="142">
        <v>8644.7999999999993</v>
      </c>
      <c r="S19" s="142">
        <v>8185.7</v>
      </c>
      <c r="T19" s="142">
        <v>6552</v>
      </c>
      <c r="U19" s="142">
        <v>5928.3</v>
      </c>
      <c r="V19" s="142">
        <v>4378.2</v>
      </c>
      <c r="W19" s="142">
        <v>3812.7</v>
      </c>
      <c r="X19" s="142">
        <v>3681.9</v>
      </c>
      <c r="Y19" s="142">
        <v>4218</v>
      </c>
      <c r="Z19" s="142">
        <v>4515</v>
      </c>
      <c r="AA19" s="142">
        <v>4954.2</v>
      </c>
      <c r="AB19" s="142">
        <v>6067.2</v>
      </c>
      <c r="AC19" s="142">
        <v>5748.1</v>
      </c>
      <c r="AD19" s="142">
        <v>5638.9</v>
      </c>
      <c r="AE19" s="142">
        <v>5485.1</v>
      </c>
      <c r="AF19" s="142">
        <v>4409.8</v>
      </c>
      <c r="AG19" s="142">
        <v>3959.2</v>
      </c>
      <c r="AH19" s="142">
        <v>3375.6</v>
      </c>
      <c r="AI19" s="142">
        <v>2991.9</v>
      </c>
      <c r="AJ19" s="298">
        <v>2379.8000000000002</v>
      </c>
      <c r="AK19" s="298">
        <v>2132.4</v>
      </c>
      <c r="AL19" s="298">
        <v>2151.5</v>
      </c>
      <c r="AM19" s="298">
        <v>2848.6</v>
      </c>
      <c r="AN19" s="298">
        <v>2792.1</v>
      </c>
      <c r="AO19" s="298">
        <v>2888.8</v>
      </c>
      <c r="AP19" s="298">
        <v>1933.3</v>
      </c>
      <c r="AQ19" s="298">
        <v>5815.6</v>
      </c>
      <c r="AR19" s="298">
        <v>5580.9</v>
      </c>
      <c r="AS19" s="298">
        <v>6046.5</v>
      </c>
      <c r="AT19" s="298">
        <v>5493.5</v>
      </c>
      <c r="AU19" s="298">
        <v>5498.3</v>
      </c>
      <c r="AV19" s="298">
        <v>5126.1000000000004</v>
      </c>
      <c r="AW19" s="298">
        <v>5659.2</v>
      </c>
      <c r="AX19" s="298">
        <v>5507.4</v>
      </c>
      <c r="AY19" s="298">
        <v>4992.1000000000004</v>
      </c>
      <c r="AZ19" s="298">
        <v>4858.3999999999996</v>
      </c>
      <c r="BA19" s="298">
        <v>4645.3</v>
      </c>
      <c r="BB19" s="298">
        <v>4364</v>
      </c>
      <c r="BC19" s="298">
        <v>4064.7</v>
      </c>
      <c r="BD19" s="298">
        <v>3830.3</v>
      </c>
      <c r="BE19" s="298">
        <v>3573.7</v>
      </c>
      <c r="BF19" s="298">
        <v>2817.1</v>
      </c>
      <c r="BG19" s="298">
        <v>2944.4</v>
      </c>
      <c r="BH19" s="298">
        <v>1360.6</v>
      </c>
      <c r="BI19" s="298">
        <v>1331.5</v>
      </c>
      <c r="BJ19" s="298">
        <v>669.9</v>
      </c>
      <c r="BK19" s="298">
        <v>655.5</v>
      </c>
      <c r="BL19" s="298">
        <v>649.6</v>
      </c>
      <c r="BM19" s="298">
        <v>516.29999999999995</v>
      </c>
      <c r="BN19" s="298">
        <v>502</v>
      </c>
      <c r="BO19" s="298">
        <v>498.4</v>
      </c>
      <c r="BP19" s="298">
        <v>299</v>
      </c>
      <c r="BQ19" s="298">
        <v>22065.7</v>
      </c>
      <c r="BR19" s="298">
        <v>22340.2</v>
      </c>
      <c r="BS19" s="298">
        <v>22650.799999999999</v>
      </c>
      <c r="BT19" s="298">
        <v>22956.1</v>
      </c>
      <c r="BU19" s="298">
        <v>23087.4</v>
      </c>
      <c r="BV19" s="298">
        <v>23251.4</v>
      </c>
      <c r="BW19" s="298">
        <v>36698.400000000001</v>
      </c>
      <c r="BX19" s="298">
        <v>37121.5</v>
      </c>
      <c r="BY19" s="298">
        <v>37675</v>
      </c>
      <c r="BZ19" s="298">
        <v>35834</v>
      </c>
      <c r="CA19" s="298">
        <v>41165.9</v>
      </c>
      <c r="CB19" s="298">
        <v>42160.4</v>
      </c>
      <c r="CC19" s="298">
        <v>16766.599999999999</v>
      </c>
      <c r="CD19" s="298">
        <v>26061</v>
      </c>
      <c r="CE19" s="298">
        <v>26868.9</v>
      </c>
      <c r="CF19" s="298">
        <v>26485.200000000001</v>
      </c>
      <c r="CG19" s="298">
        <v>26267.599999999999</v>
      </c>
      <c r="CH19" s="298">
        <v>28182.7</v>
      </c>
      <c r="CI19" s="298">
        <v>27173.3</v>
      </c>
      <c r="CJ19" s="298">
        <v>27786.7</v>
      </c>
      <c r="CK19" s="146"/>
    </row>
    <row r="20" spans="1:90" ht="15" x14ac:dyDescent="0.3">
      <c r="B20" s="147"/>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99"/>
      <c r="CF20" s="299"/>
      <c r="CG20" s="299"/>
      <c r="CH20" s="299"/>
      <c r="CI20" s="299"/>
      <c r="CJ20" s="299"/>
      <c r="CK20" s="146"/>
    </row>
    <row r="21" spans="1:90" ht="15" x14ac:dyDescent="0.3">
      <c r="B21" s="144" t="s">
        <v>61</v>
      </c>
      <c r="C21" s="145">
        <f t="shared" ref="C21:U21" si="20">+SUM(C22:C23)</f>
        <v>21908</v>
      </c>
      <c r="D21" s="145">
        <f t="shared" si="20"/>
        <v>22424</v>
      </c>
      <c r="E21" s="145">
        <f t="shared" si="20"/>
        <v>23433.300000000003</v>
      </c>
      <c r="F21" s="145">
        <f t="shared" si="20"/>
        <v>24252.400000000001</v>
      </c>
      <c r="G21" s="145">
        <f t="shared" si="20"/>
        <v>24444.5</v>
      </c>
      <c r="H21" s="145">
        <f t="shared" si="20"/>
        <v>27204.2</v>
      </c>
      <c r="I21" s="145">
        <f t="shared" si="20"/>
        <v>28331.3</v>
      </c>
      <c r="J21" s="145">
        <f t="shared" si="20"/>
        <v>21528.6</v>
      </c>
      <c r="K21" s="145">
        <f t="shared" si="20"/>
        <v>22608.799999999999</v>
      </c>
      <c r="L21" s="145">
        <f t="shared" si="20"/>
        <v>22863.399999999998</v>
      </c>
      <c r="M21" s="145">
        <f t="shared" si="20"/>
        <v>23790.5</v>
      </c>
      <c r="N21" s="145">
        <f t="shared" si="20"/>
        <v>24451.199999999997</v>
      </c>
      <c r="O21" s="145">
        <f t="shared" si="20"/>
        <v>24106.5</v>
      </c>
      <c r="P21" s="145">
        <f t="shared" si="20"/>
        <v>24043.5</v>
      </c>
      <c r="Q21" s="145">
        <f t="shared" si="20"/>
        <v>30109.5</v>
      </c>
      <c r="R21" s="145">
        <f t="shared" si="20"/>
        <v>29588.3</v>
      </c>
      <c r="S21" s="145">
        <f t="shared" si="20"/>
        <v>32190.400000000001</v>
      </c>
      <c r="T21" s="145">
        <f t="shared" si="20"/>
        <v>32613.5</v>
      </c>
      <c r="U21" s="145">
        <f t="shared" si="20"/>
        <v>36710</v>
      </c>
      <c r="V21" s="145">
        <f t="shared" ref="V21" si="21">+SUM(V22:V23)</f>
        <v>38013.9</v>
      </c>
      <c r="W21" s="145">
        <f t="shared" ref="W21:AA21" si="22">+SUM(W22:W23)</f>
        <v>39360.699999999997</v>
      </c>
      <c r="X21" s="145">
        <f t="shared" si="22"/>
        <v>39917.199999999997</v>
      </c>
      <c r="Y21" s="145">
        <f t="shared" si="22"/>
        <v>40634.699999999997</v>
      </c>
      <c r="Z21" s="145">
        <f t="shared" si="22"/>
        <v>42121.9</v>
      </c>
      <c r="AA21" s="145">
        <f t="shared" si="22"/>
        <v>43033.700000000004</v>
      </c>
      <c r="AB21" s="145">
        <f t="shared" ref="AB21:BA21" si="23">+SUM(AB22:AB23)</f>
        <v>43055</v>
      </c>
      <c r="AC21" s="145">
        <f t="shared" si="23"/>
        <v>44702.6</v>
      </c>
      <c r="AD21" s="145">
        <f t="shared" si="23"/>
        <v>46362</v>
      </c>
      <c r="AE21" s="145">
        <f t="shared" si="23"/>
        <v>47626.9</v>
      </c>
      <c r="AF21" s="145">
        <f t="shared" si="23"/>
        <v>51605.7</v>
      </c>
      <c r="AG21" s="145">
        <f t="shared" si="23"/>
        <v>52746.9</v>
      </c>
      <c r="AH21" s="145">
        <f t="shared" si="23"/>
        <v>53288.3</v>
      </c>
      <c r="AI21" s="145">
        <f t="shared" si="23"/>
        <v>55529</v>
      </c>
      <c r="AJ21" s="299">
        <f t="shared" si="23"/>
        <v>57945.8</v>
      </c>
      <c r="AK21" s="299">
        <f t="shared" si="23"/>
        <v>61148.600000000006</v>
      </c>
      <c r="AL21" s="299">
        <f t="shared" si="23"/>
        <v>62203.199999999997</v>
      </c>
      <c r="AM21" s="299">
        <f t="shared" si="23"/>
        <v>65485.7</v>
      </c>
      <c r="AN21" s="299">
        <f t="shared" si="23"/>
        <v>66915.199999999997</v>
      </c>
      <c r="AO21" s="299">
        <f t="shared" si="23"/>
        <v>71157.100000000006</v>
      </c>
      <c r="AP21" s="299">
        <f t="shared" si="23"/>
        <v>73231.299999999988</v>
      </c>
      <c r="AQ21" s="299">
        <f t="shared" si="23"/>
        <v>75954.3</v>
      </c>
      <c r="AR21" s="299">
        <f t="shared" si="23"/>
        <v>77142.5</v>
      </c>
      <c r="AS21" s="299">
        <f t="shared" si="23"/>
        <v>78327.8</v>
      </c>
      <c r="AT21" s="299">
        <f t="shared" si="23"/>
        <v>69089.100000000006</v>
      </c>
      <c r="AU21" s="299">
        <f t="shared" si="23"/>
        <v>71464.2</v>
      </c>
      <c r="AV21" s="299">
        <f t="shared" si="23"/>
        <v>72644.399999999994</v>
      </c>
      <c r="AW21" s="299">
        <f t="shared" si="23"/>
        <v>68274.899999999994</v>
      </c>
      <c r="AX21" s="299">
        <f t="shared" si="23"/>
        <v>67933.5</v>
      </c>
      <c r="AY21" s="299">
        <f t="shared" si="23"/>
        <v>55872.9</v>
      </c>
      <c r="AZ21" s="299">
        <f t="shared" si="23"/>
        <v>56099.4</v>
      </c>
      <c r="BA21" s="299">
        <f t="shared" si="23"/>
        <v>67329.8</v>
      </c>
      <c r="BB21" s="299">
        <f t="shared" ref="BB21:CJ21" si="24">+SUM(BB22:BB23)</f>
        <v>68848.800000000003</v>
      </c>
      <c r="BC21" s="299">
        <f t="shared" si="24"/>
        <v>73048.7</v>
      </c>
      <c r="BD21" s="299">
        <f t="shared" si="24"/>
        <v>76367.5</v>
      </c>
      <c r="BE21" s="299">
        <f t="shared" si="24"/>
        <v>77272.800000000003</v>
      </c>
      <c r="BF21" s="299">
        <f t="shared" si="24"/>
        <v>67333.7</v>
      </c>
      <c r="BG21" s="299">
        <f t="shared" si="24"/>
        <v>74337.399999999994</v>
      </c>
      <c r="BH21" s="299">
        <f t="shared" si="24"/>
        <v>86136.7</v>
      </c>
      <c r="BI21" s="299">
        <f t="shared" si="24"/>
        <v>92930.8</v>
      </c>
      <c r="BJ21" s="299">
        <f t="shared" ref="BJ21:CI21" si="25">+SUM(BJ22:BJ23)</f>
        <v>46142.799999999996</v>
      </c>
      <c r="BK21" s="299">
        <f t="shared" si="25"/>
        <v>56076.600000000006</v>
      </c>
      <c r="BL21" s="299">
        <f t="shared" si="25"/>
        <v>74662.3</v>
      </c>
      <c r="BM21" s="299">
        <f t="shared" si="25"/>
        <v>116461.8</v>
      </c>
      <c r="BN21" s="299">
        <f t="shared" si="25"/>
        <v>129110.1</v>
      </c>
      <c r="BO21" s="299">
        <f t="shared" si="25"/>
        <v>137068.79999999999</v>
      </c>
      <c r="BP21" s="299">
        <f t="shared" si="25"/>
        <v>143479.79999999999</v>
      </c>
      <c r="BQ21" s="299">
        <f t="shared" si="25"/>
        <v>122978</v>
      </c>
      <c r="BR21" s="299">
        <f t="shared" si="25"/>
        <v>125430.5</v>
      </c>
      <c r="BS21" s="299">
        <f t="shared" si="25"/>
        <v>129297.5</v>
      </c>
      <c r="BT21" s="299">
        <f t="shared" si="25"/>
        <v>130833</v>
      </c>
      <c r="BU21" s="299">
        <f t="shared" si="25"/>
        <v>133672.20000000001</v>
      </c>
      <c r="BV21" s="299">
        <f t="shared" si="25"/>
        <v>133849.1</v>
      </c>
      <c r="BW21" s="299">
        <f t="shared" si="25"/>
        <v>130383.79999999999</v>
      </c>
      <c r="BX21" s="299">
        <f t="shared" si="25"/>
        <v>127043.2</v>
      </c>
      <c r="BY21" s="299">
        <f t="shared" si="25"/>
        <v>128725</v>
      </c>
      <c r="BZ21" s="299">
        <f t="shared" si="25"/>
        <v>120689.5</v>
      </c>
      <c r="CA21" s="299">
        <f t="shared" si="25"/>
        <v>113931.6</v>
      </c>
      <c r="CB21" s="299">
        <f t="shared" si="25"/>
        <v>114769.3</v>
      </c>
      <c r="CC21" s="299">
        <f t="shared" si="25"/>
        <v>103219.29999999999</v>
      </c>
      <c r="CD21" s="299">
        <f t="shared" si="25"/>
        <v>106494.5</v>
      </c>
      <c r="CE21" s="299">
        <f t="shared" si="25"/>
        <v>105198.7</v>
      </c>
      <c r="CF21" s="299">
        <f t="shared" si="25"/>
        <v>101049.70000000001</v>
      </c>
      <c r="CG21" s="299">
        <f t="shared" si="25"/>
        <v>104287.7</v>
      </c>
      <c r="CH21" s="299">
        <f t="shared" si="25"/>
        <v>95183.4</v>
      </c>
      <c r="CI21" s="299">
        <f t="shared" si="25"/>
        <v>101176.1</v>
      </c>
      <c r="CJ21" s="299">
        <f t="shared" si="24"/>
        <v>113062.7</v>
      </c>
      <c r="CK21" s="146"/>
    </row>
    <row r="22" spans="1:90" ht="24" customHeight="1" x14ac:dyDescent="0.3">
      <c r="B22" s="147" t="s">
        <v>114</v>
      </c>
      <c r="C22" s="142">
        <v>21718.6</v>
      </c>
      <c r="D22" s="142">
        <v>21904.400000000001</v>
      </c>
      <c r="E22" s="142">
        <v>21914.9</v>
      </c>
      <c r="F22" s="142">
        <v>22672.2</v>
      </c>
      <c r="G22" s="142">
        <v>23145.9</v>
      </c>
      <c r="H22" s="142">
        <v>25787.7</v>
      </c>
      <c r="I22" s="142">
        <v>26920.3</v>
      </c>
      <c r="J22" s="142">
        <v>20482.5</v>
      </c>
      <c r="K22" s="142">
        <v>21660.2</v>
      </c>
      <c r="L22" s="142">
        <v>21903.3</v>
      </c>
      <c r="M22" s="142">
        <v>22834.6</v>
      </c>
      <c r="N22" s="142">
        <v>23718.1</v>
      </c>
      <c r="O22" s="142">
        <v>23349.599999999999</v>
      </c>
      <c r="P22" s="142">
        <v>23403.7</v>
      </c>
      <c r="Q22" s="142">
        <v>29374.799999999999</v>
      </c>
      <c r="R22" s="142">
        <v>27412.799999999999</v>
      </c>
      <c r="S22" s="142">
        <v>29935.5</v>
      </c>
      <c r="T22" s="142">
        <v>29987.9</v>
      </c>
      <c r="U22" s="142">
        <v>34103.699999999997</v>
      </c>
      <c r="V22" s="142">
        <v>34374.6</v>
      </c>
      <c r="W22" s="142">
        <v>35220.199999999997</v>
      </c>
      <c r="X22" s="142">
        <v>35318.699999999997</v>
      </c>
      <c r="Y22" s="142">
        <v>36223.5</v>
      </c>
      <c r="Z22" s="142">
        <v>37943</v>
      </c>
      <c r="AA22" s="142">
        <v>38650.400000000001</v>
      </c>
      <c r="AB22" s="142">
        <v>40243.9</v>
      </c>
      <c r="AC22" s="142">
        <v>41225.4</v>
      </c>
      <c r="AD22" s="142">
        <v>41130.699999999997</v>
      </c>
      <c r="AE22" s="142">
        <v>43024.3</v>
      </c>
      <c r="AF22" s="142">
        <v>44201</v>
      </c>
      <c r="AG22" s="142">
        <v>43640</v>
      </c>
      <c r="AH22" s="142">
        <v>42878.1</v>
      </c>
      <c r="AI22" s="142">
        <v>44435.3</v>
      </c>
      <c r="AJ22" s="298">
        <v>45909.9</v>
      </c>
      <c r="AK22" s="298">
        <v>47675.8</v>
      </c>
      <c r="AL22" s="298">
        <v>48567.4</v>
      </c>
      <c r="AM22" s="298">
        <v>49427.5</v>
      </c>
      <c r="AN22" s="298">
        <v>50899.7</v>
      </c>
      <c r="AO22" s="298">
        <v>50806.6</v>
      </c>
      <c r="AP22" s="298">
        <v>53821.2</v>
      </c>
      <c r="AQ22" s="298">
        <v>55464</v>
      </c>
      <c r="AR22" s="298">
        <v>56120.9</v>
      </c>
      <c r="AS22" s="298">
        <v>56376</v>
      </c>
      <c r="AT22" s="298">
        <v>50488.7</v>
      </c>
      <c r="AU22" s="298">
        <v>50049.4</v>
      </c>
      <c r="AV22" s="298">
        <v>51176.4</v>
      </c>
      <c r="AW22" s="298">
        <v>49755.5</v>
      </c>
      <c r="AX22" s="298">
        <v>49644.7</v>
      </c>
      <c r="AY22" s="298">
        <v>43604.9</v>
      </c>
      <c r="AZ22" s="298">
        <v>43494</v>
      </c>
      <c r="BA22" s="298">
        <v>61469.9</v>
      </c>
      <c r="BB22" s="298">
        <v>61849.599999999999</v>
      </c>
      <c r="BC22" s="298">
        <v>64145.3</v>
      </c>
      <c r="BD22" s="298">
        <v>67242.899999999994</v>
      </c>
      <c r="BE22" s="298">
        <v>68590.5</v>
      </c>
      <c r="BF22" s="298">
        <v>58316.9</v>
      </c>
      <c r="BG22" s="298">
        <v>65094.9</v>
      </c>
      <c r="BH22" s="298">
        <v>77527</v>
      </c>
      <c r="BI22" s="298">
        <v>86560.2</v>
      </c>
      <c r="BJ22" s="298">
        <v>42997.1</v>
      </c>
      <c r="BK22" s="298">
        <v>51004.3</v>
      </c>
      <c r="BL22" s="298">
        <v>61290.9</v>
      </c>
      <c r="BM22" s="298">
        <v>42794.3</v>
      </c>
      <c r="BN22" s="298">
        <v>46302.5</v>
      </c>
      <c r="BO22" s="298">
        <v>48185.2</v>
      </c>
      <c r="BP22" s="298">
        <v>50308.3</v>
      </c>
      <c r="BQ22" s="298">
        <v>39714.5</v>
      </c>
      <c r="BR22" s="298">
        <v>38109.9</v>
      </c>
      <c r="BS22" s="298">
        <v>38908.9</v>
      </c>
      <c r="BT22" s="298">
        <v>37355.4</v>
      </c>
      <c r="BU22" s="298">
        <v>33173.699999999997</v>
      </c>
      <c r="BV22" s="298">
        <v>32454</v>
      </c>
      <c r="BW22" s="298">
        <v>29599.4</v>
      </c>
      <c r="BX22" s="298">
        <v>24404</v>
      </c>
      <c r="BY22" s="298">
        <v>24773.200000000001</v>
      </c>
      <c r="BZ22" s="298">
        <v>21834.799999999999</v>
      </c>
      <c r="CA22" s="298">
        <v>20510.3</v>
      </c>
      <c r="CB22" s="298">
        <v>20812.3</v>
      </c>
      <c r="CC22" s="298">
        <v>18673.400000000001</v>
      </c>
      <c r="CD22" s="298">
        <v>19402.900000000001</v>
      </c>
      <c r="CE22" s="298">
        <v>19147.3</v>
      </c>
      <c r="CF22" s="298">
        <v>18502.099999999999</v>
      </c>
      <c r="CG22" s="298">
        <v>17669.3</v>
      </c>
      <c r="CH22" s="298">
        <v>17993</v>
      </c>
      <c r="CI22" s="298">
        <v>18529.900000000001</v>
      </c>
      <c r="CJ22" s="298">
        <v>19552.7</v>
      </c>
      <c r="CK22" s="146"/>
      <c r="CL22" s="292"/>
    </row>
    <row r="23" spans="1:90" ht="24" customHeight="1" x14ac:dyDescent="0.3">
      <c r="B23" s="147" t="s">
        <v>60</v>
      </c>
      <c r="C23" s="142">
        <v>189.4</v>
      </c>
      <c r="D23" s="142">
        <v>519.6</v>
      </c>
      <c r="E23" s="142">
        <v>1518.4</v>
      </c>
      <c r="F23" s="142">
        <v>1580.2</v>
      </c>
      <c r="G23" s="142">
        <v>1298.5999999999999</v>
      </c>
      <c r="H23" s="142">
        <v>1416.5</v>
      </c>
      <c r="I23" s="142">
        <v>1411</v>
      </c>
      <c r="J23" s="142">
        <v>1046.0999999999999</v>
      </c>
      <c r="K23" s="142">
        <v>948.6</v>
      </c>
      <c r="L23" s="142">
        <v>960.1</v>
      </c>
      <c r="M23" s="142">
        <v>955.9</v>
      </c>
      <c r="N23" s="142">
        <v>733.1</v>
      </c>
      <c r="O23" s="142">
        <v>756.9</v>
      </c>
      <c r="P23" s="142">
        <v>639.79999999999995</v>
      </c>
      <c r="Q23" s="142">
        <v>734.7</v>
      </c>
      <c r="R23" s="142">
        <v>2175.5</v>
      </c>
      <c r="S23" s="142">
        <v>2254.9</v>
      </c>
      <c r="T23" s="142">
        <v>2625.6</v>
      </c>
      <c r="U23" s="142">
        <v>2606.3000000000002</v>
      </c>
      <c r="V23" s="142">
        <v>3639.3</v>
      </c>
      <c r="W23" s="142">
        <v>4140.5</v>
      </c>
      <c r="X23" s="142">
        <v>4598.5</v>
      </c>
      <c r="Y23" s="142">
        <v>4411.2</v>
      </c>
      <c r="Z23" s="142">
        <v>4178.8999999999996</v>
      </c>
      <c r="AA23" s="142">
        <v>4383.3</v>
      </c>
      <c r="AB23" s="142">
        <v>2811.1</v>
      </c>
      <c r="AC23" s="142">
        <v>3477.2</v>
      </c>
      <c r="AD23" s="142">
        <v>5231.3</v>
      </c>
      <c r="AE23" s="142">
        <v>4602.6000000000004</v>
      </c>
      <c r="AF23" s="142">
        <v>7404.7</v>
      </c>
      <c r="AG23" s="142">
        <v>9106.9</v>
      </c>
      <c r="AH23" s="142">
        <v>10410.200000000001</v>
      </c>
      <c r="AI23" s="142">
        <v>11093.7</v>
      </c>
      <c r="AJ23" s="298">
        <v>12035.9</v>
      </c>
      <c r="AK23" s="298">
        <v>13472.8</v>
      </c>
      <c r="AL23" s="298">
        <v>13635.8</v>
      </c>
      <c r="AM23" s="298">
        <v>16058.2</v>
      </c>
      <c r="AN23" s="298">
        <v>16015.5</v>
      </c>
      <c r="AO23" s="298">
        <v>20350.5</v>
      </c>
      <c r="AP23" s="298">
        <v>19410.099999999999</v>
      </c>
      <c r="AQ23" s="298">
        <v>20490.3</v>
      </c>
      <c r="AR23" s="298">
        <v>21021.599999999999</v>
      </c>
      <c r="AS23" s="298">
        <v>21951.8</v>
      </c>
      <c r="AT23" s="298">
        <v>18600.400000000001</v>
      </c>
      <c r="AU23" s="298">
        <v>21414.799999999999</v>
      </c>
      <c r="AV23" s="298">
        <v>21468</v>
      </c>
      <c r="AW23" s="298">
        <v>18519.400000000001</v>
      </c>
      <c r="AX23" s="298">
        <v>18288.8</v>
      </c>
      <c r="AY23" s="298">
        <v>12268</v>
      </c>
      <c r="AZ23" s="298">
        <v>12605.4</v>
      </c>
      <c r="BA23" s="298">
        <v>5859.9</v>
      </c>
      <c r="BB23" s="298">
        <v>6999.2</v>
      </c>
      <c r="BC23" s="298">
        <v>8903.4</v>
      </c>
      <c r="BD23" s="298">
        <v>9124.6</v>
      </c>
      <c r="BE23" s="298">
        <v>8682.2999999999993</v>
      </c>
      <c r="BF23" s="298">
        <v>9016.7999999999993</v>
      </c>
      <c r="BG23" s="298">
        <v>9242.5</v>
      </c>
      <c r="BH23" s="298">
        <v>8609.7000000000007</v>
      </c>
      <c r="BI23" s="298">
        <v>6370.6</v>
      </c>
      <c r="BJ23" s="298">
        <v>3145.7</v>
      </c>
      <c r="BK23" s="298">
        <v>5072.3</v>
      </c>
      <c r="BL23" s="298">
        <v>13371.4</v>
      </c>
      <c r="BM23" s="298">
        <v>73667.5</v>
      </c>
      <c r="BN23" s="298">
        <v>82807.600000000006</v>
      </c>
      <c r="BO23" s="298">
        <v>88883.6</v>
      </c>
      <c r="BP23" s="298">
        <v>93171.5</v>
      </c>
      <c r="BQ23" s="298">
        <v>83263.5</v>
      </c>
      <c r="BR23" s="298">
        <v>87320.6</v>
      </c>
      <c r="BS23" s="298">
        <v>90388.6</v>
      </c>
      <c r="BT23" s="298">
        <v>93477.6</v>
      </c>
      <c r="BU23" s="298">
        <v>100498.5</v>
      </c>
      <c r="BV23" s="298">
        <v>101395.1</v>
      </c>
      <c r="BW23" s="298">
        <v>100784.4</v>
      </c>
      <c r="BX23" s="298">
        <v>102639.2</v>
      </c>
      <c r="BY23" s="298">
        <v>103951.8</v>
      </c>
      <c r="BZ23" s="298">
        <v>98854.7</v>
      </c>
      <c r="CA23" s="298">
        <v>93421.3</v>
      </c>
      <c r="CB23" s="298">
        <v>93957</v>
      </c>
      <c r="CC23" s="298">
        <v>84545.9</v>
      </c>
      <c r="CD23" s="298">
        <v>87091.6</v>
      </c>
      <c r="CE23" s="298">
        <v>86051.4</v>
      </c>
      <c r="CF23" s="298">
        <v>82547.600000000006</v>
      </c>
      <c r="CG23" s="298">
        <v>86618.4</v>
      </c>
      <c r="CH23" s="298">
        <v>77190.399999999994</v>
      </c>
      <c r="CI23" s="298">
        <v>82646.2</v>
      </c>
      <c r="CJ23" s="298">
        <v>93510</v>
      </c>
      <c r="CK23" s="146"/>
    </row>
    <row r="24" spans="1:90" ht="15" x14ac:dyDescent="0.3">
      <c r="B24" s="147"/>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298"/>
      <c r="AK24" s="298"/>
      <c r="AL24" s="298"/>
      <c r="AM24" s="298"/>
      <c r="AN24" s="298"/>
      <c r="AO24" s="298"/>
      <c r="AP24" s="298"/>
      <c r="AQ24" s="298"/>
      <c r="AR24" s="298"/>
      <c r="AS24" s="298"/>
      <c r="AT24" s="298"/>
      <c r="AU24" s="298"/>
      <c r="AV24" s="298"/>
      <c r="AW24" s="298"/>
      <c r="AX24" s="298"/>
      <c r="AY24" s="298"/>
      <c r="AZ24" s="298"/>
      <c r="BA24" s="298"/>
      <c r="BB24" s="298"/>
      <c r="BC24" s="298"/>
      <c r="BD24" s="298"/>
      <c r="BE24" s="298"/>
      <c r="BF24" s="298"/>
      <c r="BG24" s="298"/>
      <c r="BH24" s="298"/>
      <c r="BI24" s="298"/>
      <c r="BJ24" s="298"/>
      <c r="BK24" s="298"/>
      <c r="BL24" s="298"/>
      <c r="BM24" s="298"/>
      <c r="BN24" s="298"/>
      <c r="BO24" s="298"/>
      <c r="BP24" s="298"/>
      <c r="BQ24" s="298"/>
      <c r="BR24" s="298"/>
      <c r="BS24" s="298"/>
      <c r="BT24" s="298"/>
      <c r="BU24" s="298"/>
      <c r="BV24" s="298"/>
      <c r="BW24" s="298"/>
      <c r="BX24" s="298"/>
      <c r="BY24" s="298"/>
      <c r="BZ24" s="298"/>
      <c r="CA24" s="298"/>
      <c r="CB24" s="298"/>
      <c r="CC24" s="298"/>
      <c r="CD24" s="298"/>
      <c r="CE24" s="298"/>
      <c r="CF24" s="298"/>
      <c r="CG24" s="298"/>
      <c r="CH24" s="298"/>
      <c r="CI24" s="298"/>
      <c r="CJ24" s="298"/>
      <c r="CK24" s="146"/>
    </row>
    <row r="25" spans="1:90" ht="15" x14ac:dyDescent="0.3">
      <c r="A25" s="148" t="s">
        <v>62</v>
      </c>
      <c r="B25" s="144" t="s">
        <v>62</v>
      </c>
      <c r="C25" s="145">
        <f t="shared" ref="C25:U25" si="26">+C27+C32+C37+C40+C43</f>
        <v>252475.80000000005</v>
      </c>
      <c r="D25" s="145">
        <f t="shared" si="26"/>
        <v>254483.20000000001</v>
      </c>
      <c r="E25" s="145">
        <f t="shared" si="26"/>
        <v>251044.3</v>
      </c>
      <c r="F25" s="145">
        <f t="shared" si="26"/>
        <v>258679.2</v>
      </c>
      <c r="G25" s="145">
        <f t="shared" si="26"/>
        <v>254620</v>
      </c>
      <c r="H25" s="145">
        <f t="shared" si="26"/>
        <v>256437.89999999997</v>
      </c>
      <c r="I25" s="145">
        <f t="shared" si="26"/>
        <v>261984.5</v>
      </c>
      <c r="J25" s="145">
        <f t="shared" si="26"/>
        <v>248664.7</v>
      </c>
      <c r="K25" s="145">
        <f t="shared" si="26"/>
        <v>247451.70000000004</v>
      </c>
      <c r="L25" s="145">
        <f t="shared" si="26"/>
        <v>248491.3</v>
      </c>
      <c r="M25" s="145">
        <f t="shared" si="26"/>
        <v>247370.49999999997</v>
      </c>
      <c r="N25" s="145">
        <f t="shared" si="26"/>
        <v>248944.69999999998</v>
      </c>
      <c r="O25" s="145">
        <f t="shared" si="26"/>
        <v>249601</v>
      </c>
      <c r="P25" s="145">
        <f t="shared" si="26"/>
        <v>249877.1</v>
      </c>
      <c r="Q25" s="145">
        <f t="shared" si="26"/>
        <v>250078.09999999998</v>
      </c>
      <c r="R25" s="145">
        <f t="shared" si="26"/>
        <v>250428.89999999997</v>
      </c>
      <c r="S25" s="145">
        <f t="shared" si="26"/>
        <v>249298.69999999998</v>
      </c>
      <c r="T25" s="145">
        <f t="shared" si="26"/>
        <v>250212.69999999995</v>
      </c>
      <c r="U25" s="145">
        <f t="shared" si="26"/>
        <v>248642.2</v>
      </c>
      <c r="V25" s="145">
        <f t="shared" ref="V25" si="27">+V27+V32+V37+V40+V43</f>
        <v>249106.1</v>
      </c>
      <c r="W25" s="145">
        <f t="shared" ref="W25:AA25" si="28">+W27+W32+W37+W40+W43</f>
        <v>250575.8</v>
      </c>
      <c r="X25" s="145">
        <f t="shared" si="28"/>
        <v>250650.79999999996</v>
      </c>
      <c r="Y25" s="145">
        <f t="shared" si="28"/>
        <v>252074.99999999997</v>
      </c>
      <c r="Z25" s="145">
        <f t="shared" si="28"/>
        <v>253996.3</v>
      </c>
      <c r="AA25" s="145">
        <f t="shared" si="28"/>
        <v>253651.09999999998</v>
      </c>
      <c r="AB25" s="145">
        <f t="shared" ref="AB25:AX25" si="29">+AB27+AB32+AB37+AB40+AB43</f>
        <v>253455.59999999998</v>
      </c>
      <c r="AC25" s="145">
        <f t="shared" si="29"/>
        <v>252426.1</v>
      </c>
      <c r="AD25" s="145">
        <f t="shared" si="29"/>
        <v>252955.09999999998</v>
      </c>
      <c r="AE25" s="145">
        <f t="shared" si="29"/>
        <v>253313.49999999997</v>
      </c>
      <c r="AF25" s="145">
        <f t="shared" si="29"/>
        <v>252513.6</v>
      </c>
      <c r="AG25" s="145">
        <f t="shared" si="29"/>
        <v>252147</v>
      </c>
      <c r="AH25" s="145">
        <f t="shared" si="29"/>
        <v>251857.59999999995</v>
      </c>
      <c r="AI25" s="145">
        <f t="shared" si="29"/>
        <v>251305.90000000002</v>
      </c>
      <c r="AJ25" s="299">
        <f t="shared" si="29"/>
        <v>251930.4</v>
      </c>
      <c r="AK25" s="299">
        <f t="shared" si="29"/>
        <v>252875.49999999997</v>
      </c>
      <c r="AL25" s="299">
        <f t="shared" si="29"/>
        <v>252880.9</v>
      </c>
      <c r="AM25" s="299">
        <f t="shared" si="29"/>
        <v>251355.1</v>
      </c>
      <c r="AN25" s="299">
        <f t="shared" si="29"/>
        <v>251207.6</v>
      </c>
      <c r="AO25" s="299">
        <f t="shared" si="29"/>
        <v>257595.70000000004</v>
      </c>
      <c r="AP25" s="299">
        <f t="shared" si="29"/>
        <v>255638.00000000003</v>
      </c>
      <c r="AQ25" s="299">
        <f t="shared" si="29"/>
        <v>255876.4</v>
      </c>
      <c r="AR25" s="299">
        <f t="shared" si="29"/>
        <v>256494.9</v>
      </c>
      <c r="AS25" s="299">
        <f t="shared" si="29"/>
        <v>254279.80000000005</v>
      </c>
      <c r="AT25" s="299">
        <f t="shared" si="29"/>
        <v>253729.8</v>
      </c>
      <c r="AU25" s="299">
        <f t="shared" si="29"/>
        <v>252978.9</v>
      </c>
      <c r="AV25" s="299">
        <f t="shared" si="29"/>
        <v>256440.3</v>
      </c>
      <c r="AW25" s="299">
        <f t="shared" si="29"/>
        <v>258025.7</v>
      </c>
      <c r="AX25" s="299">
        <f t="shared" si="29"/>
        <v>262951.59999999998</v>
      </c>
      <c r="AY25" s="299">
        <f t="shared" ref="AY25:BC25" si="30">+AY27+AY32+AY37+AY40+AY43</f>
        <v>260807.10000000003</v>
      </c>
      <c r="AZ25" s="299">
        <f t="shared" si="30"/>
        <v>259932.4</v>
      </c>
      <c r="BA25" s="299">
        <f t="shared" si="30"/>
        <v>263815.2</v>
      </c>
      <c r="BB25" s="299">
        <f t="shared" si="30"/>
        <v>261357.30000000002</v>
      </c>
      <c r="BC25" s="299">
        <f t="shared" si="30"/>
        <v>260527</v>
      </c>
      <c r="BD25" s="299">
        <f t="shared" ref="BD25:CJ25" si="31">+BD27+BD32+BD37+BD40+BD43</f>
        <v>258700.79999999999</v>
      </c>
      <c r="BE25" s="299">
        <f t="shared" si="31"/>
        <v>259666.00000000003</v>
      </c>
      <c r="BF25" s="299">
        <f t="shared" si="31"/>
        <v>265850.5</v>
      </c>
      <c r="BG25" s="299">
        <f t="shared" si="31"/>
        <v>267278.19999999995</v>
      </c>
      <c r="BH25" s="299">
        <f t="shared" si="31"/>
        <v>265584.3</v>
      </c>
      <c r="BI25" s="299">
        <f t="shared" si="31"/>
        <v>264226.69999999995</v>
      </c>
      <c r="BJ25" s="299">
        <f t="shared" ref="BJ25:CI25" si="32">+BJ27+BJ32+BJ37+BJ40+BJ43</f>
        <v>264481.00000000006</v>
      </c>
      <c r="BK25" s="299">
        <f t="shared" si="32"/>
        <v>267991.8</v>
      </c>
      <c r="BL25" s="299">
        <f t="shared" si="32"/>
        <v>259235.20000000001</v>
      </c>
      <c r="BM25" s="299">
        <f t="shared" si="32"/>
        <v>258726.40000000002</v>
      </c>
      <c r="BN25" s="299">
        <f t="shared" si="32"/>
        <v>256460.89999999997</v>
      </c>
      <c r="BO25" s="299">
        <f t="shared" si="32"/>
        <v>254672.8</v>
      </c>
      <c r="BP25" s="299">
        <f t="shared" si="32"/>
        <v>255045.2</v>
      </c>
      <c r="BQ25" s="299">
        <f t="shared" si="32"/>
        <v>253921.3</v>
      </c>
      <c r="BR25" s="299">
        <f t="shared" si="32"/>
        <v>255247.9</v>
      </c>
      <c r="BS25" s="299">
        <f t="shared" si="32"/>
        <v>255434.2</v>
      </c>
      <c r="BT25" s="299">
        <f t="shared" si="32"/>
        <v>254548.90000000002</v>
      </c>
      <c r="BU25" s="299">
        <f t="shared" si="32"/>
        <v>254456.80000000002</v>
      </c>
      <c r="BV25" s="299">
        <f t="shared" si="32"/>
        <v>255312.90000000002</v>
      </c>
      <c r="BW25" s="299">
        <f t="shared" si="32"/>
        <v>252350.30000000002</v>
      </c>
      <c r="BX25" s="299">
        <f t="shared" si="32"/>
        <v>252465.99999999997</v>
      </c>
      <c r="BY25" s="299">
        <f t="shared" si="32"/>
        <v>252949.29999999996</v>
      </c>
      <c r="BZ25" s="299">
        <f t="shared" si="32"/>
        <v>267897.7</v>
      </c>
      <c r="CA25" s="299">
        <f t="shared" si="32"/>
        <v>254838.8</v>
      </c>
      <c r="CB25" s="299">
        <f t="shared" si="32"/>
        <v>254646.3</v>
      </c>
      <c r="CC25" s="299">
        <f t="shared" si="32"/>
        <v>252204.5</v>
      </c>
      <c r="CD25" s="299">
        <f t="shared" si="32"/>
        <v>251837.19999999998</v>
      </c>
      <c r="CE25" s="299">
        <f t="shared" si="32"/>
        <v>251499.69999999998</v>
      </c>
      <c r="CF25" s="299">
        <f t="shared" si="32"/>
        <v>250848.7</v>
      </c>
      <c r="CG25" s="299">
        <f t="shared" si="32"/>
        <v>250787.90000000002</v>
      </c>
      <c r="CH25" s="299">
        <f t="shared" si="32"/>
        <v>261649.69999999998</v>
      </c>
      <c r="CI25" s="299">
        <f t="shared" si="32"/>
        <v>259725.1</v>
      </c>
      <c r="CJ25" s="299">
        <f t="shared" si="31"/>
        <v>259601.4</v>
      </c>
      <c r="CK25" s="146">
        <f>+CJ25/$CJ$12</f>
        <v>0.55281694489790612</v>
      </c>
      <c r="CL25" s="414"/>
    </row>
    <row r="26" spans="1:90" ht="15" x14ac:dyDescent="0.3">
      <c r="B26" s="144"/>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299"/>
      <c r="AK26" s="299"/>
      <c r="AL26" s="299"/>
      <c r="AM26" s="299"/>
      <c r="AN26" s="299"/>
      <c r="AO26" s="299"/>
      <c r="AP26" s="299"/>
      <c r="AQ26" s="299"/>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c r="BP26" s="299"/>
      <c r="BQ26" s="299"/>
      <c r="BR26" s="299"/>
      <c r="BS26" s="299"/>
      <c r="BT26" s="299"/>
      <c r="BU26" s="299"/>
      <c r="BV26" s="299"/>
      <c r="BW26" s="299"/>
      <c r="BX26" s="299"/>
      <c r="BY26" s="299"/>
      <c r="BZ26" s="299"/>
      <c r="CA26" s="299"/>
      <c r="CB26" s="299"/>
      <c r="CC26" s="299"/>
      <c r="CD26" s="299"/>
      <c r="CE26" s="299"/>
      <c r="CF26" s="299"/>
      <c r="CG26" s="299"/>
      <c r="CH26" s="299"/>
      <c r="CI26" s="299"/>
      <c r="CJ26" s="299"/>
      <c r="CK26" s="146"/>
    </row>
    <row r="27" spans="1:90" ht="24" customHeight="1" x14ac:dyDescent="0.3">
      <c r="B27" s="144" t="s">
        <v>63</v>
      </c>
      <c r="C27" s="145">
        <f t="shared" ref="C27:U27" si="33">+SUM(C28:C30)</f>
        <v>200554.2</v>
      </c>
      <c r="D27" s="145">
        <f t="shared" si="33"/>
        <v>202681.7</v>
      </c>
      <c r="E27" s="145">
        <f t="shared" si="33"/>
        <v>199729.3</v>
      </c>
      <c r="F27" s="145">
        <f t="shared" si="33"/>
        <v>196602</v>
      </c>
      <c r="G27" s="145">
        <f t="shared" si="33"/>
        <v>194053.5</v>
      </c>
      <c r="H27" s="145">
        <f t="shared" si="33"/>
        <v>195133.8</v>
      </c>
      <c r="I27" s="145">
        <f t="shared" si="33"/>
        <v>195882.19999999998</v>
      </c>
      <c r="J27" s="145">
        <f t="shared" si="33"/>
        <v>183254.39999999999</v>
      </c>
      <c r="K27" s="145">
        <f t="shared" si="33"/>
        <v>182387.7</v>
      </c>
      <c r="L27" s="145">
        <f t="shared" si="33"/>
        <v>182420.5</v>
      </c>
      <c r="M27" s="145">
        <f t="shared" si="33"/>
        <v>181690.6</v>
      </c>
      <c r="N27" s="145">
        <f t="shared" si="33"/>
        <v>182562.69999999998</v>
      </c>
      <c r="O27" s="145">
        <f t="shared" si="33"/>
        <v>183612.4</v>
      </c>
      <c r="P27" s="145">
        <f t="shared" si="33"/>
        <v>184126.4</v>
      </c>
      <c r="Q27" s="145">
        <f t="shared" si="33"/>
        <v>184600.09999999998</v>
      </c>
      <c r="R27" s="145">
        <f t="shared" si="33"/>
        <v>185011</v>
      </c>
      <c r="S27" s="145">
        <f t="shared" si="33"/>
        <v>183308.79999999999</v>
      </c>
      <c r="T27" s="145">
        <f t="shared" si="33"/>
        <v>183860.09999999998</v>
      </c>
      <c r="U27" s="145">
        <f t="shared" si="33"/>
        <v>180039</v>
      </c>
      <c r="V27" s="145">
        <f t="shared" ref="V27" si="34">+SUM(V28:V30)</f>
        <v>180000.5</v>
      </c>
      <c r="W27" s="145">
        <f t="shared" ref="W27" si="35">+SUM(W28:W30)</f>
        <v>197545.2</v>
      </c>
      <c r="X27" s="145">
        <f t="shared" ref="X27:AG27" si="36">+SUM(X28:X30)</f>
        <v>197525.1</v>
      </c>
      <c r="Y27" s="145">
        <f t="shared" si="36"/>
        <v>198086</v>
      </c>
      <c r="Z27" s="145">
        <f t="shared" si="36"/>
        <v>199581.8</v>
      </c>
      <c r="AA27" s="145">
        <f t="shared" si="36"/>
        <v>199265.09999999998</v>
      </c>
      <c r="AB27" s="145">
        <f t="shared" si="36"/>
        <v>199166.5</v>
      </c>
      <c r="AC27" s="145">
        <f t="shared" si="36"/>
        <v>199081.7</v>
      </c>
      <c r="AD27" s="145">
        <f t="shared" si="36"/>
        <v>198945.90000000002</v>
      </c>
      <c r="AE27" s="145">
        <f t="shared" si="36"/>
        <v>198926.2</v>
      </c>
      <c r="AF27" s="145">
        <f t="shared" si="36"/>
        <v>198944.6</v>
      </c>
      <c r="AG27" s="145">
        <f t="shared" si="36"/>
        <v>198617</v>
      </c>
      <c r="AH27" s="145">
        <f t="shared" ref="AH27:AL27" si="37">+SUM(AH28:AH30)</f>
        <v>198504.3</v>
      </c>
      <c r="AI27" s="145">
        <f t="shared" si="37"/>
        <v>200456</v>
      </c>
      <c r="AJ27" s="299">
        <f t="shared" si="37"/>
        <v>200901.3</v>
      </c>
      <c r="AK27" s="299">
        <f t="shared" si="37"/>
        <v>202459.09999999998</v>
      </c>
      <c r="AL27" s="299">
        <f t="shared" si="37"/>
        <v>204334.9</v>
      </c>
      <c r="AM27" s="299">
        <f t="shared" ref="AM27:AX27" si="38">+SUM(AM28:AM30)</f>
        <v>203879</v>
      </c>
      <c r="AN27" s="299">
        <f t="shared" si="38"/>
        <v>203782.1</v>
      </c>
      <c r="AO27" s="299">
        <f t="shared" si="38"/>
        <v>203760.90000000002</v>
      </c>
      <c r="AP27" s="299">
        <f t="shared" si="38"/>
        <v>204131.90000000002</v>
      </c>
      <c r="AQ27" s="299">
        <f t="shared" si="38"/>
        <v>204095.09999999998</v>
      </c>
      <c r="AR27" s="299">
        <f t="shared" si="38"/>
        <v>204303.1</v>
      </c>
      <c r="AS27" s="299">
        <f t="shared" si="38"/>
        <v>204336.90000000002</v>
      </c>
      <c r="AT27" s="299">
        <f t="shared" si="38"/>
        <v>204627.3</v>
      </c>
      <c r="AU27" s="299">
        <f t="shared" si="38"/>
        <v>207319.8</v>
      </c>
      <c r="AV27" s="299">
        <f t="shared" si="38"/>
        <v>208878.09999999998</v>
      </c>
      <c r="AW27" s="299">
        <f t="shared" si="38"/>
        <v>209112</v>
      </c>
      <c r="AX27" s="299">
        <f t="shared" si="38"/>
        <v>209958.2</v>
      </c>
      <c r="AY27" s="299">
        <f t="shared" ref="AY27:BC27" si="39">+SUM(AY28:AY30)</f>
        <v>209942.2</v>
      </c>
      <c r="AZ27" s="299">
        <f t="shared" si="39"/>
        <v>209908.2</v>
      </c>
      <c r="BA27" s="299">
        <f t="shared" si="39"/>
        <v>210533</v>
      </c>
      <c r="BB27" s="299">
        <f t="shared" si="39"/>
        <v>210585.2</v>
      </c>
      <c r="BC27" s="299">
        <f t="shared" si="39"/>
        <v>210622.8</v>
      </c>
      <c r="BD27" s="299">
        <f t="shared" ref="BD27:CJ27" si="40">+SUM(BD28:BD30)</f>
        <v>211260.59999999998</v>
      </c>
      <c r="BE27" s="299">
        <f t="shared" si="40"/>
        <v>214419.20000000001</v>
      </c>
      <c r="BF27" s="299">
        <f t="shared" si="40"/>
        <v>214670.3</v>
      </c>
      <c r="BG27" s="299">
        <f t="shared" si="40"/>
        <v>216776.09999999998</v>
      </c>
      <c r="BH27" s="299">
        <f t="shared" si="40"/>
        <v>215398.3</v>
      </c>
      <c r="BI27" s="299">
        <f t="shared" si="40"/>
        <v>215694.4</v>
      </c>
      <c r="BJ27" s="299">
        <f t="shared" ref="BJ27:CI27" si="41">+SUM(BJ28:BJ30)</f>
        <v>216396.7</v>
      </c>
      <c r="BK27" s="299">
        <f t="shared" si="41"/>
        <v>217803.5</v>
      </c>
      <c r="BL27" s="299">
        <f t="shared" si="41"/>
        <v>209149.90000000002</v>
      </c>
      <c r="BM27" s="299">
        <f t="shared" si="41"/>
        <v>208896.2</v>
      </c>
      <c r="BN27" s="299">
        <f t="shared" si="41"/>
        <v>208861.59999999998</v>
      </c>
      <c r="BO27" s="299">
        <f t="shared" si="41"/>
        <v>206809.19999999998</v>
      </c>
      <c r="BP27" s="299">
        <f t="shared" si="41"/>
        <v>206744.1</v>
      </c>
      <c r="BQ27" s="299">
        <f t="shared" si="41"/>
        <v>205807.3</v>
      </c>
      <c r="BR27" s="299">
        <f t="shared" si="41"/>
        <v>206426.1</v>
      </c>
      <c r="BS27" s="299">
        <f t="shared" si="41"/>
        <v>206389.40000000002</v>
      </c>
      <c r="BT27" s="299">
        <f t="shared" si="41"/>
        <v>206441.2</v>
      </c>
      <c r="BU27" s="299">
        <f t="shared" si="41"/>
        <v>207067.6</v>
      </c>
      <c r="BV27" s="299">
        <f t="shared" si="41"/>
        <v>208402.7</v>
      </c>
      <c r="BW27" s="299">
        <f t="shared" si="41"/>
        <v>205549</v>
      </c>
      <c r="BX27" s="299">
        <f t="shared" si="41"/>
        <v>205481.09999999998</v>
      </c>
      <c r="BY27" s="299">
        <f t="shared" si="41"/>
        <v>205261.09999999998</v>
      </c>
      <c r="BZ27" s="299">
        <f t="shared" si="41"/>
        <v>206640.60000000003</v>
      </c>
      <c r="CA27" s="299">
        <f t="shared" si="41"/>
        <v>193573.8</v>
      </c>
      <c r="CB27" s="299">
        <f t="shared" si="41"/>
        <v>192454.09999999998</v>
      </c>
      <c r="CC27" s="299">
        <f t="shared" si="41"/>
        <v>191126.3</v>
      </c>
      <c r="CD27" s="299">
        <f t="shared" si="41"/>
        <v>187951.09999999998</v>
      </c>
      <c r="CE27" s="299">
        <f t="shared" si="41"/>
        <v>187653</v>
      </c>
      <c r="CF27" s="299">
        <f t="shared" si="41"/>
        <v>187672.2</v>
      </c>
      <c r="CG27" s="299">
        <f t="shared" si="41"/>
        <v>187577.2</v>
      </c>
      <c r="CH27" s="299">
        <f t="shared" si="41"/>
        <v>197918.9</v>
      </c>
      <c r="CI27" s="299">
        <f t="shared" si="41"/>
        <v>195547.2</v>
      </c>
      <c r="CJ27" s="299">
        <f t="shared" si="40"/>
        <v>195737.8</v>
      </c>
      <c r="CK27" s="146"/>
    </row>
    <row r="28" spans="1:90" ht="24" customHeight="1" x14ac:dyDescent="0.3">
      <c r="B28" s="147" t="s">
        <v>114</v>
      </c>
      <c r="C28" s="142">
        <v>113190.9</v>
      </c>
      <c r="D28" s="142">
        <v>115495.7</v>
      </c>
      <c r="E28" s="142">
        <v>112618</v>
      </c>
      <c r="F28" s="142">
        <v>110326.9</v>
      </c>
      <c r="G28" s="142">
        <v>107351.8</v>
      </c>
      <c r="H28" s="142">
        <v>107151.3</v>
      </c>
      <c r="I28" s="142">
        <v>107246.9</v>
      </c>
      <c r="J28" s="142">
        <v>94403.7</v>
      </c>
      <c r="K28" s="142">
        <v>94280.7</v>
      </c>
      <c r="L28" s="142">
        <v>94289.4</v>
      </c>
      <c r="M28" s="142">
        <v>94217.600000000006</v>
      </c>
      <c r="N28" s="142">
        <v>94158.9</v>
      </c>
      <c r="O28" s="142">
        <v>94093.7</v>
      </c>
      <c r="P28" s="142">
        <v>94029.9</v>
      </c>
      <c r="Q28" s="142">
        <v>93888.4</v>
      </c>
      <c r="R28" s="142">
        <v>93843.6</v>
      </c>
      <c r="S28" s="142">
        <v>93809.5</v>
      </c>
      <c r="T28" s="142">
        <v>93731.4</v>
      </c>
      <c r="U28" s="142">
        <v>93662.6</v>
      </c>
      <c r="V28" s="142">
        <v>93602.2</v>
      </c>
      <c r="W28" s="142">
        <v>113733.5</v>
      </c>
      <c r="X28" s="142">
        <v>113696.3</v>
      </c>
      <c r="Y28" s="142">
        <v>114182.7</v>
      </c>
      <c r="Z28" s="142">
        <v>114875.2</v>
      </c>
      <c r="AA28" s="142">
        <v>114804.09999999999</v>
      </c>
      <c r="AB28" s="142">
        <v>114750.2</v>
      </c>
      <c r="AC28" s="142">
        <v>114628.3</v>
      </c>
      <c r="AD28" s="142">
        <v>114553.3</v>
      </c>
      <c r="AE28" s="142">
        <v>114473.9</v>
      </c>
      <c r="AF28" s="142">
        <v>114412.3</v>
      </c>
      <c r="AG28" s="142">
        <v>114327.5</v>
      </c>
      <c r="AH28" s="142">
        <v>114261.2</v>
      </c>
      <c r="AI28" s="142">
        <v>114123.6</v>
      </c>
      <c r="AJ28" s="298">
        <v>114255.3</v>
      </c>
      <c r="AK28" s="298">
        <v>114224.7</v>
      </c>
      <c r="AL28" s="298">
        <v>114078.29999999999</v>
      </c>
      <c r="AM28" s="298">
        <v>114079.4</v>
      </c>
      <c r="AN28" s="298">
        <v>113993.3</v>
      </c>
      <c r="AO28" s="298">
        <v>113905.60000000001</v>
      </c>
      <c r="AP28" s="298">
        <v>113871.5</v>
      </c>
      <c r="AQ28" s="298">
        <v>113795.09999999999</v>
      </c>
      <c r="AR28" s="298">
        <v>113741.6</v>
      </c>
      <c r="AS28" s="298">
        <v>113733.6</v>
      </c>
      <c r="AT28" s="298">
        <v>113678</v>
      </c>
      <c r="AU28" s="298">
        <v>113583.6</v>
      </c>
      <c r="AV28" s="298">
        <v>113728.8</v>
      </c>
      <c r="AW28" s="298">
        <v>113651.6</v>
      </c>
      <c r="AX28" s="298">
        <v>113641</v>
      </c>
      <c r="AY28" s="298">
        <v>113601.90000000001</v>
      </c>
      <c r="AZ28" s="298">
        <v>113577.4</v>
      </c>
      <c r="BA28" s="298">
        <v>113434.90000000001</v>
      </c>
      <c r="BB28" s="298">
        <v>113397.79999999999</v>
      </c>
      <c r="BC28" s="298">
        <v>113325.29999999999</v>
      </c>
      <c r="BD28" s="298">
        <v>113292.9</v>
      </c>
      <c r="BE28" s="298">
        <v>113265.60000000001</v>
      </c>
      <c r="BF28" s="298">
        <v>113238.7</v>
      </c>
      <c r="BG28" s="298">
        <v>113133.2</v>
      </c>
      <c r="BH28" s="298">
        <v>111438.5</v>
      </c>
      <c r="BI28" s="298">
        <v>111362.9</v>
      </c>
      <c r="BJ28" s="298">
        <v>111328.70000000001</v>
      </c>
      <c r="BK28" s="298">
        <v>111267.9</v>
      </c>
      <c r="BL28" s="298">
        <v>103656.3</v>
      </c>
      <c r="BM28" s="298">
        <v>103503</v>
      </c>
      <c r="BN28" s="298">
        <v>103467.4</v>
      </c>
      <c r="BO28" s="298">
        <v>101260.79999999999</v>
      </c>
      <c r="BP28" s="298">
        <v>101228.1</v>
      </c>
      <c r="BQ28" s="298">
        <v>100040.7</v>
      </c>
      <c r="BR28" s="298">
        <v>100025.70000000001</v>
      </c>
      <c r="BS28" s="298">
        <v>99874</v>
      </c>
      <c r="BT28" s="298">
        <v>99849.600000000006</v>
      </c>
      <c r="BU28" s="298">
        <v>99776.8</v>
      </c>
      <c r="BV28" s="298">
        <v>99751.700000000012</v>
      </c>
      <c r="BW28" s="298">
        <v>96995.400000000009</v>
      </c>
      <c r="BX28" s="298">
        <v>96964.9</v>
      </c>
      <c r="BY28" s="298">
        <v>96822.7</v>
      </c>
      <c r="BZ28" s="298">
        <v>96787.400000000009</v>
      </c>
      <c r="CA28" s="298">
        <v>96714.299999999988</v>
      </c>
      <c r="CB28" s="298">
        <v>95398.9</v>
      </c>
      <c r="CC28" s="298">
        <v>92762.6</v>
      </c>
      <c r="CD28" s="298">
        <v>92745</v>
      </c>
      <c r="CE28" s="298">
        <v>92586.6</v>
      </c>
      <c r="CF28" s="298">
        <v>92558.399999999994</v>
      </c>
      <c r="CG28" s="298">
        <v>92485.8</v>
      </c>
      <c r="CH28" s="298">
        <v>102001.7</v>
      </c>
      <c r="CI28" s="298">
        <v>99397</v>
      </c>
      <c r="CJ28" s="298">
        <v>99599.2</v>
      </c>
      <c r="CK28" s="146"/>
    </row>
    <row r="29" spans="1:90" ht="24" customHeight="1" x14ac:dyDescent="0.3">
      <c r="B29" s="147" t="s">
        <v>60</v>
      </c>
      <c r="C29" s="142">
        <v>20778.2</v>
      </c>
      <c r="D29" s="142">
        <v>20737.2</v>
      </c>
      <c r="E29" s="142">
        <v>20656.3</v>
      </c>
      <c r="F29" s="142">
        <v>19824.400000000001</v>
      </c>
      <c r="G29" s="142">
        <v>19508.400000000001</v>
      </c>
      <c r="H29" s="142">
        <v>20355.099999999999</v>
      </c>
      <c r="I29" s="142">
        <v>21089.4</v>
      </c>
      <c r="J29" s="142">
        <v>21137.9</v>
      </c>
      <c r="K29" s="142">
        <v>20319</v>
      </c>
      <c r="L29" s="142">
        <v>20677.2</v>
      </c>
      <c r="M29" s="142">
        <v>20011.5</v>
      </c>
      <c r="N29" s="142">
        <v>19501.400000000001</v>
      </c>
      <c r="O29" s="142">
        <v>19429.8</v>
      </c>
      <c r="P29" s="142">
        <v>19359.2</v>
      </c>
      <c r="Q29" s="142">
        <v>19291.2</v>
      </c>
      <c r="R29" s="142">
        <v>19279.3</v>
      </c>
      <c r="S29" s="142">
        <v>17092.8</v>
      </c>
      <c r="T29" s="142">
        <v>17092.7</v>
      </c>
      <c r="U29" s="142">
        <v>13381</v>
      </c>
      <c r="V29" s="142">
        <v>13380.6</v>
      </c>
      <c r="W29" s="142">
        <v>10687.9</v>
      </c>
      <c r="X29" s="142">
        <v>10670.2</v>
      </c>
      <c r="Y29" s="142">
        <v>10668.9</v>
      </c>
      <c r="Z29" s="142">
        <v>10389.299999999999</v>
      </c>
      <c r="AA29" s="142">
        <v>10323.6</v>
      </c>
      <c r="AB29" s="142">
        <v>10321.200000000001</v>
      </c>
      <c r="AC29" s="142">
        <v>10324.6</v>
      </c>
      <c r="AD29" s="142">
        <v>10262.799999999999</v>
      </c>
      <c r="AE29" s="142">
        <v>10262.200000000001</v>
      </c>
      <c r="AF29" s="142">
        <v>10250.200000000001</v>
      </c>
      <c r="AG29" s="142">
        <v>10174.799999999999</v>
      </c>
      <c r="AH29" s="142">
        <v>10174.700000000001</v>
      </c>
      <c r="AI29" s="142">
        <v>10178.299999999999</v>
      </c>
      <c r="AJ29" s="298">
        <v>9985.2999999999993</v>
      </c>
      <c r="AK29" s="298">
        <v>9984.5</v>
      </c>
      <c r="AL29" s="298">
        <v>9398.7999999999993</v>
      </c>
      <c r="AM29" s="298">
        <v>9345.4</v>
      </c>
      <c r="AN29" s="298">
        <v>9345.2000000000007</v>
      </c>
      <c r="AO29" s="298">
        <v>9362.7000000000007</v>
      </c>
      <c r="AP29" s="298">
        <v>9312.1</v>
      </c>
      <c r="AQ29" s="298">
        <v>9312</v>
      </c>
      <c r="AR29" s="298">
        <v>9307.2000000000007</v>
      </c>
      <c r="AS29" s="298">
        <v>9437</v>
      </c>
      <c r="AT29" s="298">
        <v>9432.4</v>
      </c>
      <c r="AU29" s="298">
        <v>9335.5</v>
      </c>
      <c r="AV29" s="298">
        <v>9291.4</v>
      </c>
      <c r="AW29" s="298">
        <v>9291.2999999999993</v>
      </c>
      <c r="AX29" s="298">
        <v>7977.7</v>
      </c>
      <c r="AY29" s="298">
        <v>7883.3</v>
      </c>
      <c r="AZ29" s="298">
        <v>7883.2</v>
      </c>
      <c r="BA29" s="298">
        <v>7902.7</v>
      </c>
      <c r="BB29" s="298">
        <v>7789.6</v>
      </c>
      <c r="BC29" s="298">
        <v>7789.5</v>
      </c>
      <c r="BD29" s="298">
        <v>7799.4</v>
      </c>
      <c r="BE29" s="298">
        <v>7654.8</v>
      </c>
      <c r="BF29" s="298">
        <v>7674.5</v>
      </c>
      <c r="BG29" s="298">
        <v>7674.4</v>
      </c>
      <c r="BH29" s="298">
        <v>7564.9</v>
      </c>
      <c r="BI29" s="298">
        <v>7564.8</v>
      </c>
      <c r="BJ29" s="298">
        <v>7126.7</v>
      </c>
      <c r="BK29" s="298">
        <v>7095.7</v>
      </c>
      <c r="BL29" s="298">
        <v>7110.1</v>
      </c>
      <c r="BM29" s="298">
        <v>7109.1</v>
      </c>
      <c r="BN29" s="298">
        <v>7102.8</v>
      </c>
      <c r="BO29" s="298">
        <v>7102.7</v>
      </c>
      <c r="BP29" s="298">
        <v>7102.6</v>
      </c>
      <c r="BQ29" s="298">
        <v>7095.5</v>
      </c>
      <c r="BR29" s="298">
        <v>7104.2</v>
      </c>
      <c r="BS29" s="298">
        <v>7104.1</v>
      </c>
      <c r="BT29" s="298">
        <v>7103.7</v>
      </c>
      <c r="BU29" s="298">
        <v>7103.6</v>
      </c>
      <c r="BV29" s="298">
        <v>6824.8</v>
      </c>
      <c r="BW29" s="298">
        <v>6824.7</v>
      </c>
      <c r="BX29" s="298">
        <v>6842.3</v>
      </c>
      <c r="BY29" s="298">
        <v>6842.2</v>
      </c>
      <c r="BZ29" s="298">
        <v>6842.1</v>
      </c>
      <c r="CA29" s="298">
        <v>6842</v>
      </c>
      <c r="CB29" s="298">
        <v>6837</v>
      </c>
      <c r="CC29" s="298">
        <v>6836.9</v>
      </c>
      <c r="CD29" s="298">
        <v>6846.9</v>
      </c>
      <c r="CE29" s="298">
        <v>6834.4</v>
      </c>
      <c r="CF29" s="298">
        <v>6834.3</v>
      </c>
      <c r="CG29" s="298">
        <v>6834.2</v>
      </c>
      <c r="CH29" s="298">
        <v>6546</v>
      </c>
      <c r="CI29" s="298">
        <v>6545.9</v>
      </c>
      <c r="CJ29" s="298">
        <v>6564.3</v>
      </c>
      <c r="CK29" s="146"/>
    </row>
    <row r="30" spans="1:90" ht="24" customHeight="1" x14ac:dyDescent="0.3">
      <c r="B30" s="147" t="s">
        <v>113</v>
      </c>
      <c r="C30" s="142">
        <v>66585.100000000006</v>
      </c>
      <c r="D30" s="142">
        <v>66448.800000000003</v>
      </c>
      <c r="E30" s="142">
        <v>66455</v>
      </c>
      <c r="F30" s="142">
        <v>66450.7</v>
      </c>
      <c r="G30" s="142">
        <v>67193.3</v>
      </c>
      <c r="H30" s="142">
        <v>67627.399999999994</v>
      </c>
      <c r="I30" s="142">
        <v>67545.899999999994</v>
      </c>
      <c r="J30" s="142">
        <v>67712.799999999988</v>
      </c>
      <c r="K30" s="142">
        <v>67788</v>
      </c>
      <c r="L30" s="142">
        <v>67453.899999999994</v>
      </c>
      <c r="M30" s="142">
        <v>67461.5</v>
      </c>
      <c r="N30" s="142">
        <v>68902.399999999994</v>
      </c>
      <c r="O30" s="142">
        <v>70088.899999999994</v>
      </c>
      <c r="P30" s="142">
        <v>70737.3</v>
      </c>
      <c r="Q30" s="142">
        <v>71420.5</v>
      </c>
      <c r="R30" s="142">
        <v>71888.100000000006</v>
      </c>
      <c r="S30" s="142">
        <v>72406.5</v>
      </c>
      <c r="T30" s="142">
        <v>73036</v>
      </c>
      <c r="U30" s="142">
        <v>72995.399999999994</v>
      </c>
      <c r="V30" s="142">
        <v>73017.7</v>
      </c>
      <c r="W30" s="142">
        <v>73123.8</v>
      </c>
      <c r="X30" s="142">
        <v>73158.600000000006</v>
      </c>
      <c r="Y30" s="142">
        <v>73234.399999999994</v>
      </c>
      <c r="Z30" s="142">
        <v>74317.3</v>
      </c>
      <c r="AA30" s="142">
        <v>74137.399999999994</v>
      </c>
      <c r="AB30" s="142">
        <v>74095.100000000006</v>
      </c>
      <c r="AC30" s="142">
        <v>74128.800000000003</v>
      </c>
      <c r="AD30" s="142">
        <v>74129.8</v>
      </c>
      <c r="AE30" s="142">
        <v>74190.100000000006</v>
      </c>
      <c r="AF30" s="142">
        <v>74282.100000000006</v>
      </c>
      <c r="AG30" s="142">
        <v>74114.7</v>
      </c>
      <c r="AH30" s="142">
        <v>74068.399999999994</v>
      </c>
      <c r="AI30" s="142">
        <v>76154.100000000006</v>
      </c>
      <c r="AJ30" s="298">
        <v>76660.7</v>
      </c>
      <c r="AK30" s="298">
        <v>78249.899999999994</v>
      </c>
      <c r="AL30" s="298">
        <v>80857.8</v>
      </c>
      <c r="AM30" s="298">
        <v>80454.2</v>
      </c>
      <c r="AN30" s="298">
        <v>80443.600000000006</v>
      </c>
      <c r="AO30" s="298">
        <v>80492.600000000006</v>
      </c>
      <c r="AP30" s="298">
        <v>80948.3</v>
      </c>
      <c r="AQ30" s="298">
        <v>80988</v>
      </c>
      <c r="AR30" s="298">
        <v>81254.3</v>
      </c>
      <c r="AS30" s="298">
        <v>81166.3</v>
      </c>
      <c r="AT30" s="298">
        <v>81516.899999999994</v>
      </c>
      <c r="AU30" s="298">
        <v>84400.7</v>
      </c>
      <c r="AV30" s="298">
        <v>85857.9</v>
      </c>
      <c r="AW30" s="298">
        <v>86169.1</v>
      </c>
      <c r="AX30" s="298">
        <v>88339.5</v>
      </c>
      <c r="AY30" s="298">
        <v>88457</v>
      </c>
      <c r="AZ30" s="298">
        <v>88447.6</v>
      </c>
      <c r="BA30" s="298">
        <v>89195.4</v>
      </c>
      <c r="BB30" s="298">
        <v>89397.8</v>
      </c>
      <c r="BC30" s="298">
        <v>89508</v>
      </c>
      <c r="BD30" s="298">
        <v>90168.3</v>
      </c>
      <c r="BE30" s="298">
        <v>93498.8</v>
      </c>
      <c r="BF30" s="298">
        <v>93757.1</v>
      </c>
      <c r="BG30" s="298">
        <v>95968.5</v>
      </c>
      <c r="BH30" s="298">
        <v>96394.9</v>
      </c>
      <c r="BI30" s="298">
        <v>96766.7</v>
      </c>
      <c r="BJ30" s="298">
        <v>97941.3</v>
      </c>
      <c r="BK30" s="298">
        <v>99439.9</v>
      </c>
      <c r="BL30" s="298">
        <v>98383.5</v>
      </c>
      <c r="BM30" s="298">
        <v>98284.1</v>
      </c>
      <c r="BN30" s="298">
        <v>98291.4</v>
      </c>
      <c r="BO30" s="298">
        <v>98445.7</v>
      </c>
      <c r="BP30" s="298">
        <v>98413.4</v>
      </c>
      <c r="BQ30" s="298">
        <v>98671.1</v>
      </c>
      <c r="BR30" s="298">
        <v>99296.2</v>
      </c>
      <c r="BS30" s="298">
        <v>99411.3</v>
      </c>
      <c r="BT30" s="298">
        <v>99487.9</v>
      </c>
      <c r="BU30" s="298">
        <v>100187.2</v>
      </c>
      <c r="BV30" s="298">
        <v>101826.2</v>
      </c>
      <c r="BW30" s="298">
        <v>101728.9</v>
      </c>
      <c r="BX30" s="298">
        <v>101673.9</v>
      </c>
      <c r="BY30" s="298">
        <v>101596.2</v>
      </c>
      <c r="BZ30" s="298">
        <v>103011.1</v>
      </c>
      <c r="CA30" s="298">
        <v>90017.5</v>
      </c>
      <c r="CB30" s="298">
        <v>90218.2</v>
      </c>
      <c r="CC30" s="298">
        <v>91526.8</v>
      </c>
      <c r="CD30" s="298">
        <v>88359.2</v>
      </c>
      <c r="CE30" s="298">
        <v>88232</v>
      </c>
      <c r="CF30" s="298">
        <v>88279.5</v>
      </c>
      <c r="CG30" s="298">
        <v>88257.2</v>
      </c>
      <c r="CH30" s="298">
        <v>89371.199999999997</v>
      </c>
      <c r="CI30" s="298">
        <v>89604.3</v>
      </c>
      <c r="CJ30" s="298">
        <v>89574.3</v>
      </c>
      <c r="CK30" s="146"/>
      <c r="CL30" s="292"/>
    </row>
    <row r="31" spans="1:90" x14ac:dyDescent="0.3">
      <c r="B31" s="149"/>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298"/>
      <c r="AK31" s="298"/>
      <c r="AL31" s="298"/>
      <c r="AM31" s="298"/>
      <c r="AN31" s="298"/>
      <c r="AO31" s="298"/>
      <c r="AP31" s="298"/>
      <c r="AQ31" s="298"/>
      <c r="AR31" s="298"/>
      <c r="AS31" s="298"/>
      <c r="AT31" s="298"/>
      <c r="AU31" s="298"/>
      <c r="AV31" s="298"/>
      <c r="AW31" s="298"/>
      <c r="AX31" s="298"/>
      <c r="AY31" s="298"/>
      <c r="AZ31" s="298"/>
      <c r="BA31" s="298"/>
      <c r="BB31" s="298"/>
      <c r="BC31" s="298"/>
      <c r="BD31" s="298"/>
      <c r="BE31" s="298"/>
      <c r="BF31" s="298"/>
      <c r="BG31" s="298"/>
      <c r="BH31" s="298"/>
      <c r="BI31" s="298"/>
      <c r="BJ31" s="298"/>
      <c r="BK31" s="298"/>
      <c r="BL31" s="298"/>
      <c r="BM31" s="298"/>
      <c r="BN31" s="298"/>
      <c r="BO31" s="298"/>
      <c r="BP31" s="298"/>
      <c r="BQ31" s="298"/>
      <c r="BR31" s="298"/>
      <c r="BS31" s="298"/>
      <c r="BT31" s="298"/>
      <c r="BU31" s="298"/>
      <c r="BV31" s="298"/>
      <c r="BW31" s="298"/>
      <c r="BX31" s="298"/>
      <c r="BY31" s="298"/>
      <c r="BZ31" s="298"/>
      <c r="CA31" s="298"/>
      <c r="CB31" s="298"/>
      <c r="CC31" s="298"/>
      <c r="CD31" s="298"/>
      <c r="CE31" s="298"/>
      <c r="CF31" s="298"/>
      <c r="CG31" s="298"/>
      <c r="CH31" s="298"/>
      <c r="CI31" s="298"/>
      <c r="CJ31" s="298"/>
      <c r="CK31" s="146"/>
    </row>
    <row r="32" spans="1:90" ht="15" x14ac:dyDescent="0.3">
      <c r="B32" s="144" t="s">
        <v>110</v>
      </c>
      <c r="C32" s="145">
        <f t="shared" ref="C32:U32" si="42">+SUM(C33:C35)</f>
        <v>21808.1</v>
      </c>
      <c r="D32" s="145">
        <f t="shared" si="42"/>
        <v>21767.9</v>
      </c>
      <c r="E32" s="145">
        <f t="shared" si="42"/>
        <v>21463</v>
      </c>
      <c r="F32" s="145">
        <f t="shared" si="42"/>
        <v>21479.9</v>
      </c>
      <c r="G32" s="145">
        <f t="shared" si="42"/>
        <v>20650.199999999997</v>
      </c>
      <c r="H32" s="145">
        <f t="shared" si="42"/>
        <v>21020</v>
      </c>
      <c r="I32" s="145">
        <f t="shared" si="42"/>
        <v>20550.800000000003</v>
      </c>
      <c r="J32" s="145">
        <f t="shared" si="42"/>
        <v>20382.2</v>
      </c>
      <c r="K32" s="145">
        <f t="shared" si="42"/>
        <v>20211.099999999999</v>
      </c>
      <c r="L32" s="145">
        <f t="shared" si="42"/>
        <v>20696.400000000001</v>
      </c>
      <c r="M32" s="145">
        <f t="shared" si="42"/>
        <v>20527.900000000001</v>
      </c>
      <c r="N32" s="145">
        <f t="shared" si="42"/>
        <v>20891.400000000001</v>
      </c>
      <c r="O32" s="145">
        <f t="shared" si="42"/>
        <v>20674.8</v>
      </c>
      <c r="P32" s="145">
        <f t="shared" si="42"/>
        <v>20551.2</v>
      </c>
      <c r="Q32" s="145">
        <f t="shared" si="42"/>
        <v>20544.5</v>
      </c>
      <c r="R32" s="145">
        <f t="shared" si="42"/>
        <v>20425.800000000003</v>
      </c>
      <c r="S32" s="145">
        <f t="shared" si="42"/>
        <v>20771.8</v>
      </c>
      <c r="T32" s="145">
        <f t="shared" si="42"/>
        <v>21007.499999999996</v>
      </c>
      <c r="U32" s="145">
        <f t="shared" si="42"/>
        <v>22024.9</v>
      </c>
      <c r="V32" s="145">
        <f t="shared" ref="V32" si="43">+SUM(V33:V35)</f>
        <v>22335.4</v>
      </c>
      <c r="W32" s="145">
        <f t="shared" ref="W32:AA32" si="44">+SUM(W33:W35)</f>
        <v>7057.3</v>
      </c>
      <c r="X32" s="145">
        <f t="shared" si="44"/>
        <v>7019.8</v>
      </c>
      <c r="Y32" s="145">
        <f t="shared" si="44"/>
        <v>7193.7999999999993</v>
      </c>
      <c r="Z32" s="145">
        <f t="shared" si="44"/>
        <v>7373.3</v>
      </c>
      <c r="AA32" s="145">
        <f t="shared" si="44"/>
        <v>7341.4999999999991</v>
      </c>
      <c r="AB32" s="145">
        <f t="shared" ref="AB32:BA32" si="45">+SUM(AB33:AB35)</f>
        <v>7308.4000000000005</v>
      </c>
      <c r="AC32" s="145">
        <f t="shared" si="45"/>
        <v>7101.4000000000005</v>
      </c>
      <c r="AD32" s="145">
        <f t="shared" si="45"/>
        <v>7204.4000000000005</v>
      </c>
      <c r="AE32" s="145">
        <f t="shared" si="45"/>
        <v>7308.3</v>
      </c>
      <c r="AF32" s="145">
        <f t="shared" si="45"/>
        <v>7087.7000000000007</v>
      </c>
      <c r="AG32" s="145">
        <f t="shared" si="45"/>
        <v>7025.2000000000007</v>
      </c>
      <c r="AH32" s="145">
        <f t="shared" si="45"/>
        <v>6991.9</v>
      </c>
      <c r="AI32" s="145">
        <f t="shared" si="45"/>
        <v>6859.2</v>
      </c>
      <c r="AJ32" s="299">
        <f t="shared" si="45"/>
        <v>6847.2</v>
      </c>
      <c r="AK32" s="299">
        <f t="shared" si="45"/>
        <v>6680.6</v>
      </c>
      <c r="AL32" s="299">
        <f t="shared" si="45"/>
        <v>6708.9</v>
      </c>
      <c r="AM32" s="299">
        <f t="shared" si="45"/>
        <v>6695.2</v>
      </c>
      <c r="AN32" s="299">
        <f t="shared" si="45"/>
        <v>6609.5</v>
      </c>
      <c r="AO32" s="299">
        <f t="shared" si="45"/>
        <v>6520.5999999999995</v>
      </c>
      <c r="AP32" s="299">
        <f t="shared" si="45"/>
        <v>6207.0999999999995</v>
      </c>
      <c r="AQ32" s="299">
        <f t="shared" si="45"/>
        <v>6299.9</v>
      </c>
      <c r="AR32" s="299">
        <f t="shared" si="45"/>
        <v>6158.4</v>
      </c>
      <c r="AS32" s="299">
        <f t="shared" si="45"/>
        <v>6012.6</v>
      </c>
      <c r="AT32" s="299">
        <f t="shared" si="45"/>
        <v>5924.2000000000007</v>
      </c>
      <c r="AU32" s="299">
        <f t="shared" si="45"/>
        <v>5783.3</v>
      </c>
      <c r="AV32" s="299">
        <f t="shared" si="45"/>
        <v>6115.5</v>
      </c>
      <c r="AW32" s="299">
        <f t="shared" si="45"/>
        <v>6417.1</v>
      </c>
      <c r="AX32" s="299">
        <f t="shared" si="45"/>
        <v>6522.7999999999993</v>
      </c>
      <c r="AY32" s="299">
        <f t="shared" si="45"/>
        <v>6619.7000000000007</v>
      </c>
      <c r="AZ32" s="299">
        <f t="shared" si="45"/>
        <v>6446.4000000000005</v>
      </c>
      <c r="BA32" s="299">
        <f t="shared" si="45"/>
        <v>6529.2</v>
      </c>
      <c r="BB32" s="299">
        <f t="shared" ref="BB32:CJ32" si="46">+SUM(BB33:BB35)</f>
        <v>6629.7000000000007</v>
      </c>
      <c r="BC32" s="299">
        <f t="shared" si="46"/>
        <v>6409.1</v>
      </c>
      <c r="BD32" s="299">
        <f t="shared" si="46"/>
        <v>6555.4999999999991</v>
      </c>
      <c r="BE32" s="299">
        <f t="shared" si="46"/>
        <v>6614.9</v>
      </c>
      <c r="BF32" s="299">
        <f t="shared" si="46"/>
        <v>6530.3</v>
      </c>
      <c r="BG32" s="299">
        <f t="shared" si="46"/>
        <v>6367.4</v>
      </c>
      <c r="BH32" s="299">
        <f t="shared" si="46"/>
        <v>6290.5</v>
      </c>
      <c r="BI32" s="299">
        <f t="shared" si="46"/>
        <v>6456.8</v>
      </c>
      <c r="BJ32" s="299">
        <f t="shared" ref="BJ32:CI32" si="47">+SUM(BJ33:BJ35)</f>
        <v>6546.7</v>
      </c>
      <c r="BK32" s="299">
        <f t="shared" si="47"/>
        <v>6416</v>
      </c>
      <c r="BL32" s="299">
        <f t="shared" si="47"/>
        <v>6406.1</v>
      </c>
      <c r="BM32" s="299">
        <f t="shared" si="47"/>
        <v>6316.8</v>
      </c>
      <c r="BN32" s="299">
        <f t="shared" si="47"/>
        <v>6232.0999999999995</v>
      </c>
      <c r="BO32" s="299">
        <f t="shared" si="47"/>
        <v>6314.5</v>
      </c>
      <c r="BP32" s="299">
        <f t="shared" si="47"/>
        <v>6234.0000000000009</v>
      </c>
      <c r="BQ32" s="299">
        <f t="shared" si="47"/>
        <v>6248.9000000000005</v>
      </c>
      <c r="BR32" s="299">
        <f t="shared" si="47"/>
        <v>6373.8000000000011</v>
      </c>
      <c r="BS32" s="299">
        <f t="shared" si="47"/>
        <v>6336.2</v>
      </c>
      <c r="BT32" s="299">
        <f t="shared" si="47"/>
        <v>6194.3</v>
      </c>
      <c r="BU32" s="299">
        <f t="shared" si="47"/>
        <v>6020.7</v>
      </c>
      <c r="BV32" s="299">
        <f t="shared" si="47"/>
        <v>5870.9000000000005</v>
      </c>
      <c r="BW32" s="299">
        <f t="shared" si="47"/>
        <v>5767.7</v>
      </c>
      <c r="BX32" s="299">
        <f t="shared" si="47"/>
        <v>5774.2</v>
      </c>
      <c r="BY32" s="299">
        <f t="shared" si="47"/>
        <v>5916.4</v>
      </c>
      <c r="BZ32" s="299">
        <f t="shared" si="47"/>
        <v>6188.5</v>
      </c>
      <c r="CA32" s="299">
        <f t="shared" si="47"/>
        <v>6175.9</v>
      </c>
      <c r="CB32" s="299">
        <f t="shared" si="47"/>
        <v>6406.2</v>
      </c>
      <c r="CC32" s="299">
        <f t="shared" si="47"/>
        <v>6083.2</v>
      </c>
      <c r="CD32" s="299">
        <f t="shared" si="47"/>
        <v>6231.8</v>
      </c>
      <c r="CE32" s="299">
        <f t="shared" si="47"/>
        <v>6151.1</v>
      </c>
      <c r="CF32" s="299">
        <f t="shared" si="47"/>
        <v>6023.9</v>
      </c>
      <c r="CG32" s="299">
        <f t="shared" si="47"/>
        <v>6054.7</v>
      </c>
      <c r="CH32" s="299">
        <f t="shared" si="47"/>
        <v>6119.2000000000007</v>
      </c>
      <c r="CI32" s="299">
        <f t="shared" si="47"/>
        <v>6047.0999999999995</v>
      </c>
      <c r="CJ32" s="299">
        <f t="shared" si="46"/>
        <v>6028.8</v>
      </c>
      <c r="CK32" s="146"/>
    </row>
    <row r="33" spans="2:89" ht="15" x14ac:dyDescent="0.3">
      <c r="B33" s="147" t="s">
        <v>114</v>
      </c>
      <c r="C33" s="142">
        <v>21725.599999999999</v>
      </c>
      <c r="D33" s="142">
        <v>21584.800000000003</v>
      </c>
      <c r="E33" s="142">
        <v>21294.400000000001</v>
      </c>
      <c r="F33" s="142">
        <v>21302.400000000001</v>
      </c>
      <c r="G33" s="142">
        <v>20473.3</v>
      </c>
      <c r="H33" s="142">
        <v>20841.300000000003</v>
      </c>
      <c r="I33" s="142">
        <v>20315.300000000003</v>
      </c>
      <c r="J33" s="142">
        <v>20148.5</v>
      </c>
      <c r="K33" s="142">
        <v>19989.2</v>
      </c>
      <c r="L33" s="142">
        <v>20467.2</v>
      </c>
      <c r="M33" s="142">
        <v>20222</v>
      </c>
      <c r="N33" s="142">
        <v>20581.400000000001</v>
      </c>
      <c r="O33" s="142">
        <v>20368</v>
      </c>
      <c r="P33" s="142">
        <v>20245.3</v>
      </c>
      <c r="Q33" s="142">
        <v>20253.900000000001</v>
      </c>
      <c r="R33" s="142">
        <v>20135.5</v>
      </c>
      <c r="S33" s="142">
        <v>20479</v>
      </c>
      <c r="T33" s="142">
        <v>20727.099999999999</v>
      </c>
      <c r="U33" s="142">
        <v>21730.9</v>
      </c>
      <c r="V33" s="142">
        <v>22035.3</v>
      </c>
      <c r="W33" s="142">
        <v>6697.3</v>
      </c>
      <c r="X33" s="142">
        <v>6661</v>
      </c>
      <c r="Y33" s="142">
        <v>6823.5</v>
      </c>
      <c r="Z33" s="142">
        <v>6995.6</v>
      </c>
      <c r="AA33" s="142">
        <v>6964.4</v>
      </c>
      <c r="AB33" s="142">
        <v>6933.2</v>
      </c>
      <c r="AC33" s="142">
        <v>6737</v>
      </c>
      <c r="AD33" s="142">
        <v>6829.3</v>
      </c>
      <c r="AE33" s="142">
        <v>6948.6</v>
      </c>
      <c r="AF33" s="142">
        <v>6741.1</v>
      </c>
      <c r="AG33" s="142">
        <v>6657.8</v>
      </c>
      <c r="AH33" s="142">
        <v>6622.9</v>
      </c>
      <c r="AI33" s="142">
        <v>6497.3</v>
      </c>
      <c r="AJ33" s="298">
        <v>6485.2</v>
      </c>
      <c r="AK33" s="298">
        <v>6365</v>
      </c>
      <c r="AL33" s="298">
        <v>6384.9</v>
      </c>
      <c r="AM33" s="298">
        <v>6374</v>
      </c>
      <c r="AN33" s="298">
        <v>6288.7</v>
      </c>
      <c r="AO33" s="298">
        <v>6204.2</v>
      </c>
      <c r="AP33" s="298">
        <v>5905.7</v>
      </c>
      <c r="AQ33" s="298">
        <v>6015.4</v>
      </c>
      <c r="AR33" s="298">
        <v>5879.7</v>
      </c>
      <c r="AS33" s="298">
        <v>5731.6</v>
      </c>
      <c r="AT33" s="298">
        <v>5647.6</v>
      </c>
      <c r="AU33" s="298">
        <v>5513.8</v>
      </c>
      <c r="AV33" s="298">
        <v>5843.2</v>
      </c>
      <c r="AW33" s="298">
        <v>6149.1</v>
      </c>
      <c r="AX33" s="298">
        <v>6248.9</v>
      </c>
      <c r="AY33" s="298">
        <v>6342.6</v>
      </c>
      <c r="AZ33" s="298">
        <v>6176.6</v>
      </c>
      <c r="BA33" s="298">
        <v>6252.7</v>
      </c>
      <c r="BB33" s="298">
        <v>6348.6</v>
      </c>
      <c r="BC33" s="298">
        <v>6159.6</v>
      </c>
      <c r="BD33" s="298">
        <v>6286.2</v>
      </c>
      <c r="BE33" s="298">
        <v>6344.5</v>
      </c>
      <c r="BF33" s="298">
        <v>6255.7</v>
      </c>
      <c r="BG33" s="298">
        <v>6099.7</v>
      </c>
      <c r="BH33" s="298">
        <v>6022.6</v>
      </c>
      <c r="BI33" s="298">
        <v>6196.2</v>
      </c>
      <c r="BJ33" s="298">
        <v>6284.2</v>
      </c>
      <c r="BK33" s="298">
        <v>6159.7</v>
      </c>
      <c r="BL33" s="298">
        <v>6150.1</v>
      </c>
      <c r="BM33" s="298">
        <v>6061</v>
      </c>
      <c r="BN33" s="298">
        <v>5979.4</v>
      </c>
      <c r="BO33" s="298">
        <v>6080.9</v>
      </c>
      <c r="BP33" s="298">
        <v>6005.1</v>
      </c>
      <c r="BQ33" s="298">
        <v>6018.6</v>
      </c>
      <c r="BR33" s="298">
        <v>6138.6</v>
      </c>
      <c r="BS33" s="298">
        <v>6099.2</v>
      </c>
      <c r="BT33" s="298">
        <v>5962.7</v>
      </c>
      <c r="BU33" s="298">
        <v>5797.7</v>
      </c>
      <c r="BV33" s="298">
        <v>5675.1</v>
      </c>
      <c r="BW33" s="298">
        <v>5572.4</v>
      </c>
      <c r="BX33" s="298">
        <v>5578.7</v>
      </c>
      <c r="BY33" s="298">
        <v>5712.7</v>
      </c>
      <c r="BZ33" s="298">
        <v>5975.1</v>
      </c>
      <c r="CA33" s="298">
        <v>5985.2</v>
      </c>
      <c r="CB33" s="298">
        <v>6210.1</v>
      </c>
      <c r="CC33" s="298">
        <v>5894.2</v>
      </c>
      <c r="CD33" s="298">
        <v>6038.3</v>
      </c>
      <c r="CE33" s="298">
        <v>5956.9</v>
      </c>
      <c r="CF33" s="298">
        <v>5850.2</v>
      </c>
      <c r="CG33" s="298">
        <v>5880.4</v>
      </c>
      <c r="CH33" s="298">
        <v>5950.5</v>
      </c>
      <c r="CI33" s="298">
        <v>5876.9</v>
      </c>
      <c r="CJ33" s="298">
        <v>5859.1</v>
      </c>
      <c r="CK33" s="146"/>
    </row>
    <row r="34" spans="2:89" ht="15" x14ac:dyDescent="0.3">
      <c r="B34" s="147" t="s">
        <v>60</v>
      </c>
      <c r="C34" s="142">
        <v>17.2</v>
      </c>
      <c r="D34" s="142">
        <v>17.100000000000001</v>
      </c>
      <c r="E34" s="142">
        <v>16.8</v>
      </c>
      <c r="F34" s="142">
        <v>16.8</v>
      </c>
      <c r="G34" s="142">
        <v>16.8</v>
      </c>
      <c r="H34" s="142">
        <v>17.100000000000001</v>
      </c>
      <c r="I34" s="142">
        <v>16.600000000000001</v>
      </c>
      <c r="J34" s="142">
        <v>16.5</v>
      </c>
      <c r="K34" s="142">
        <v>16.3</v>
      </c>
      <c r="L34" s="142">
        <v>16.7</v>
      </c>
      <c r="M34" s="142">
        <v>16.5</v>
      </c>
      <c r="N34" s="142">
        <v>16.8</v>
      </c>
      <c r="O34" s="142">
        <v>16.600000000000001</v>
      </c>
      <c r="P34" s="142">
        <v>16.5</v>
      </c>
      <c r="Q34" s="142">
        <v>16.5</v>
      </c>
      <c r="R34" s="142">
        <v>16.399999999999999</v>
      </c>
      <c r="S34" s="142">
        <v>16.600000000000001</v>
      </c>
      <c r="T34" s="142">
        <v>16.8</v>
      </c>
      <c r="U34" s="142">
        <v>17.7</v>
      </c>
      <c r="V34" s="142">
        <v>17.899999999999999</v>
      </c>
      <c r="W34" s="142">
        <v>17.600000000000001</v>
      </c>
      <c r="X34" s="142">
        <v>17.5</v>
      </c>
      <c r="Y34" s="142">
        <v>17.899999999999999</v>
      </c>
      <c r="Z34" s="142">
        <v>18.3</v>
      </c>
      <c r="AA34" s="142">
        <v>18.2</v>
      </c>
      <c r="AB34" s="142">
        <v>18.100000000000001</v>
      </c>
      <c r="AC34" s="142">
        <v>17.600000000000001</v>
      </c>
      <c r="AD34" s="142">
        <v>18</v>
      </c>
      <c r="AE34" s="142">
        <v>18.3</v>
      </c>
      <c r="AF34" s="142">
        <v>17.8</v>
      </c>
      <c r="AG34" s="142">
        <v>17.8</v>
      </c>
      <c r="AH34" s="142">
        <v>17.7</v>
      </c>
      <c r="AI34" s="142">
        <v>17.399999999999999</v>
      </c>
      <c r="AJ34" s="298">
        <v>17.3</v>
      </c>
      <c r="AK34" s="298">
        <v>0</v>
      </c>
      <c r="AL34" s="298">
        <v>0</v>
      </c>
      <c r="AM34" s="298">
        <v>0</v>
      </c>
      <c r="AN34" s="298">
        <v>0</v>
      </c>
      <c r="AO34" s="298">
        <v>0</v>
      </c>
      <c r="AP34" s="298">
        <v>0</v>
      </c>
      <c r="AQ34" s="298">
        <v>0</v>
      </c>
      <c r="AR34" s="298">
        <v>0</v>
      </c>
      <c r="AS34" s="298">
        <v>0</v>
      </c>
      <c r="AT34" s="298">
        <v>0</v>
      </c>
      <c r="AU34" s="298">
        <v>0</v>
      </c>
      <c r="AV34" s="298">
        <v>0</v>
      </c>
      <c r="AW34" s="298">
        <v>0</v>
      </c>
      <c r="AX34" s="298">
        <v>0</v>
      </c>
      <c r="AY34" s="298">
        <v>0</v>
      </c>
      <c r="AZ34" s="298">
        <v>0</v>
      </c>
      <c r="BA34" s="298">
        <v>0</v>
      </c>
      <c r="BB34" s="298">
        <v>0</v>
      </c>
      <c r="BC34" s="298">
        <v>0</v>
      </c>
      <c r="BD34" s="298">
        <v>16.399999999999999</v>
      </c>
      <c r="BE34" s="298">
        <v>16.5</v>
      </c>
      <c r="BF34" s="298">
        <v>16.3</v>
      </c>
      <c r="BG34" s="298">
        <v>15.9</v>
      </c>
      <c r="BH34" s="298">
        <v>15.9</v>
      </c>
      <c r="BI34" s="298">
        <v>16.3</v>
      </c>
      <c r="BJ34" s="298">
        <v>16.600000000000001</v>
      </c>
      <c r="BK34" s="298">
        <v>16.2</v>
      </c>
      <c r="BL34" s="298">
        <v>16.2</v>
      </c>
      <c r="BM34" s="298">
        <v>16.2</v>
      </c>
      <c r="BN34" s="298">
        <v>16</v>
      </c>
      <c r="BO34" s="298">
        <v>16.3</v>
      </c>
      <c r="BP34" s="298">
        <v>16.100000000000001</v>
      </c>
      <c r="BQ34" s="298">
        <v>16.2</v>
      </c>
      <c r="BR34" s="298">
        <v>16.600000000000001</v>
      </c>
      <c r="BS34" s="298">
        <v>16.7</v>
      </c>
      <c r="BT34" s="298">
        <v>16.3</v>
      </c>
      <c r="BU34" s="298">
        <v>15.9</v>
      </c>
      <c r="BV34" s="298">
        <v>15.5</v>
      </c>
      <c r="BW34" s="298">
        <v>15.6</v>
      </c>
      <c r="BX34" s="298">
        <v>15.6</v>
      </c>
      <c r="BY34" s="298">
        <v>16.2</v>
      </c>
      <c r="BZ34" s="298">
        <v>17</v>
      </c>
      <c r="CA34" s="298">
        <v>17</v>
      </c>
      <c r="CB34" s="298">
        <v>17.7</v>
      </c>
      <c r="CC34" s="298">
        <v>17.100000000000001</v>
      </c>
      <c r="CD34" s="298">
        <v>17.5</v>
      </c>
      <c r="CE34" s="298">
        <v>17.600000000000001</v>
      </c>
      <c r="CF34" s="298">
        <v>0</v>
      </c>
      <c r="CG34" s="298">
        <v>0</v>
      </c>
      <c r="CH34" s="298">
        <v>17.600000000000001</v>
      </c>
      <c r="CI34" s="298">
        <v>17.8</v>
      </c>
      <c r="CJ34" s="298">
        <v>17.7</v>
      </c>
      <c r="CK34" s="146"/>
    </row>
    <row r="35" spans="2:89" ht="15" x14ac:dyDescent="0.3">
      <c r="B35" s="147" t="s">
        <v>113</v>
      </c>
      <c r="C35" s="150">
        <v>65.3</v>
      </c>
      <c r="D35" s="150">
        <v>166</v>
      </c>
      <c r="E35" s="150">
        <v>151.80000000000001</v>
      </c>
      <c r="F35" s="150">
        <v>160.70000000000002</v>
      </c>
      <c r="G35" s="150">
        <v>160.1</v>
      </c>
      <c r="H35" s="150">
        <v>161.6</v>
      </c>
      <c r="I35" s="150">
        <v>218.9</v>
      </c>
      <c r="J35" s="150">
        <v>217.20000000000002</v>
      </c>
      <c r="K35" s="150">
        <v>205.6</v>
      </c>
      <c r="L35" s="150">
        <v>212.5</v>
      </c>
      <c r="M35" s="150">
        <v>289.39999999999998</v>
      </c>
      <c r="N35" s="150">
        <v>293.2</v>
      </c>
      <c r="O35" s="150">
        <v>290.2</v>
      </c>
      <c r="P35" s="150">
        <v>289.39999999999998</v>
      </c>
      <c r="Q35" s="150">
        <v>274.10000000000002</v>
      </c>
      <c r="R35" s="150">
        <v>273.89999999999998</v>
      </c>
      <c r="S35" s="150">
        <v>276.2</v>
      </c>
      <c r="T35" s="150">
        <v>263.60000000000002</v>
      </c>
      <c r="U35" s="150">
        <v>276.3</v>
      </c>
      <c r="V35" s="150">
        <v>282.2</v>
      </c>
      <c r="W35" s="150">
        <v>342.4</v>
      </c>
      <c r="X35" s="150">
        <v>341.3</v>
      </c>
      <c r="Y35" s="150">
        <v>352.4</v>
      </c>
      <c r="Z35" s="150">
        <v>359.4</v>
      </c>
      <c r="AA35" s="150">
        <v>358.9</v>
      </c>
      <c r="AB35" s="150">
        <v>357.1</v>
      </c>
      <c r="AC35" s="150">
        <v>346.8</v>
      </c>
      <c r="AD35" s="150">
        <v>357.1</v>
      </c>
      <c r="AE35" s="150">
        <v>341.4</v>
      </c>
      <c r="AF35" s="150">
        <v>328.8</v>
      </c>
      <c r="AG35" s="150">
        <v>349.6</v>
      </c>
      <c r="AH35" s="150">
        <v>351.3</v>
      </c>
      <c r="AI35" s="150">
        <v>344.5</v>
      </c>
      <c r="AJ35" s="300">
        <v>344.7</v>
      </c>
      <c r="AK35" s="300">
        <v>315.60000000000002</v>
      </c>
      <c r="AL35" s="300">
        <v>324</v>
      </c>
      <c r="AM35" s="300">
        <v>321.2</v>
      </c>
      <c r="AN35" s="300">
        <v>320.8</v>
      </c>
      <c r="AO35" s="300">
        <v>316.39999999999998</v>
      </c>
      <c r="AP35" s="300">
        <v>301.39999999999998</v>
      </c>
      <c r="AQ35" s="300">
        <v>284.5</v>
      </c>
      <c r="AR35" s="300">
        <v>278.7</v>
      </c>
      <c r="AS35" s="300">
        <v>281</v>
      </c>
      <c r="AT35" s="300">
        <v>276.60000000000002</v>
      </c>
      <c r="AU35" s="300">
        <v>269.5</v>
      </c>
      <c r="AV35" s="300">
        <v>272.3</v>
      </c>
      <c r="AW35" s="300">
        <v>268</v>
      </c>
      <c r="AX35" s="300">
        <v>273.89999999999998</v>
      </c>
      <c r="AY35" s="300">
        <v>277.10000000000002</v>
      </c>
      <c r="AZ35" s="300">
        <v>269.8</v>
      </c>
      <c r="BA35" s="300">
        <v>276.5</v>
      </c>
      <c r="BB35" s="300">
        <v>281.10000000000002</v>
      </c>
      <c r="BC35" s="300">
        <v>249.5</v>
      </c>
      <c r="BD35" s="300">
        <v>252.9</v>
      </c>
      <c r="BE35" s="300">
        <v>253.9</v>
      </c>
      <c r="BF35" s="300">
        <v>258.3</v>
      </c>
      <c r="BG35" s="300">
        <v>251.8</v>
      </c>
      <c r="BH35" s="300">
        <v>252</v>
      </c>
      <c r="BI35" s="300">
        <v>244.3</v>
      </c>
      <c r="BJ35" s="300">
        <v>245.9</v>
      </c>
      <c r="BK35" s="300">
        <v>240.1</v>
      </c>
      <c r="BL35" s="300">
        <v>239.8</v>
      </c>
      <c r="BM35" s="300">
        <v>239.6</v>
      </c>
      <c r="BN35" s="300">
        <v>236.7</v>
      </c>
      <c r="BO35" s="300">
        <v>217.3</v>
      </c>
      <c r="BP35" s="300">
        <v>212.8</v>
      </c>
      <c r="BQ35" s="300">
        <v>214.1</v>
      </c>
      <c r="BR35" s="300">
        <v>218.6</v>
      </c>
      <c r="BS35" s="300">
        <v>220.3</v>
      </c>
      <c r="BT35" s="300">
        <v>215.3</v>
      </c>
      <c r="BU35" s="300">
        <v>207.1</v>
      </c>
      <c r="BV35" s="300">
        <v>180.3</v>
      </c>
      <c r="BW35" s="300">
        <v>179.7</v>
      </c>
      <c r="BX35" s="300">
        <v>179.9</v>
      </c>
      <c r="BY35" s="300">
        <v>187.5</v>
      </c>
      <c r="BZ35" s="300">
        <v>196.4</v>
      </c>
      <c r="CA35" s="300">
        <v>173.7</v>
      </c>
      <c r="CB35" s="300">
        <v>178.4</v>
      </c>
      <c r="CC35" s="300">
        <v>171.9</v>
      </c>
      <c r="CD35" s="300">
        <v>176</v>
      </c>
      <c r="CE35" s="300">
        <v>176.6</v>
      </c>
      <c r="CF35" s="300">
        <v>173.7</v>
      </c>
      <c r="CG35" s="300">
        <v>174.3</v>
      </c>
      <c r="CH35" s="300">
        <v>151.1</v>
      </c>
      <c r="CI35" s="300">
        <v>152.4</v>
      </c>
      <c r="CJ35" s="300">
        <v>152</v>
      </c>
      <c r="CK35" s="146"/>
    </row>
    <row r="36" spans="2:89" ht="15" x14ac:dyDescent="0.3">
      <c r="B36" s="151"/>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298"/>
      <c r="AK36" s="298"/>
      <c r="AL36" s="298"/>
      <c r="AM36" s="298"/>
      <c r="AN36" s="298"/>
      <c r="AO36" s="298"/>
      <c r="AP36" s="298"/>
      <c r="AQ36" s="298"/>
      <c r="AR36" s="298"/>
      <c r="AS36" s="298"/>
      <c r="AT36" s="298"/>
      <c r="AU36" s="298"/>
      <c r="AV36" s="298"/>
      <c r="AW36" s="298"/>
      <c r="AX36" s="298"/>
      <c r="AY36" s="298"/>
      <c r="AZ36" s="298"/>
      <c r="BA36" s="298"/>
      <c r="BB36" s="298"/>
      <c r="BC36" s="298"/>
      <c r="BD36" s="298"/>
      <c r="BE36" s="298"/>
      <c r="BF36" s="298"/>
      <c r="BG36" s="298"/>
      <c r="BH36" s="298"/>
      <c r="BI36" s="298"/>
      <c r="BJ36" s="298"/>
      <c r="BK36" s="298"/>
      <c r="BL36" s="298"/>
      <c r="BM36" s="298"/>
      <c r="BN36" s="298"/>
      <c r="BO36" s="298"/>
      <c r="BP36" s="298"/>
      <c r="BQ36" s="298"/>
      <c r="BR36" s="298"/>
      <c r="BS36" s="298"/>
      <c r="BT36" s="298"/>
      <c r="BU36" s="298"/>
      <c r="BV36" s="298"/>
      <c r="BW36" s="298"/>
      <c r="BX36" s="298"/>
      <c r="BY36" s="298"/>
      <c r="BZ36" s="298"/>
      <c r="CA36" s="298"/>
      <c r="CB36" s="298"/>
      <c r="CC36" s="298"/>
      <c r="CD36" s="298"/>
      <c r="CE36" s="298"/>
      <c r="CF36" s="298"/>
      <c r="CG36" s="298"/>
      <c r="CH36" s="298"/>
      <c r="CI36" s="298"/>
      <c r="CJ36" s="298"/>
      <c r="CK36" s="146"/>
    </row>
    <row r="37" spans="2:89" ht="15" x14ac:dyDescent="0.3">
      <c r="B37" s="152" t="s">
        <v>111</v>
      </c>
      <c r="C37" s="145">
        <f t="shared" ref="C37:V37" si="48">+SUM(C38:C38)</f>
        <v>1117.7</v>
      </c>
      <c r="D37" s="145">
        <f t="shared" si="48"/>
        <v>1095.9000000000001</v>
      </c>
      <c r="E37" s="145">
        <f t="shared" si="48"/>
        <v>1108.5999999999999</v>
      </c>
      <c r="F37" s="145">
        <f t="shared" si="48"/>
        <v>1109.0999999999999</v>
      </c>
      <c r="G37" s="145">
        <f t="shared" si="48"/>
        <v>754.4</v>
      </c>
      <c r="H37" s="145">
        <f t="shared" si="48"/>
        <v>760.8</v>
      </c>
      <c r="I37" s="145">
        <f t="shared" si="48"/>
        <v>754.5</v>
      </c>
      <c r="J37" s="145">
        <f t="shared" si="48"/>
        <v>779.6</v>
      </c>
      <c r="K37" s="145">
        <f t="shared" si="48"/>
        <v>769.1</v>
      </c>
      <c r="L37" s="145">
        <f t="shared" si="48"/>
        <v>769.4</v>
      </c>
      <c r="M37" s="145">
        <f t="shared" si="48"/>
        <v>753.8</v>
      </c>
      <c r="N37" s="145">
        <f t="shared" si="48"/>
        <v>760</v>
      </c>
      <c r="O37" s="145">
        <f t="shared" si="48"/>
        <v>761.6</v>
      </c>
      <c r="P37" s="145">
        <f t="shared" si="48"/>
        <v>763.8</v>
      </c>
      <c r="Q37" s="145">
        <f t="shared" si="48"/>
        <v>766.5</v>
      </c>
      <c r="R37" s="145">
        <f t="shared" si="48"/>
        <v>769</v>
      </c>
      <c r="S37" s="145">
        <f t="shared" si="48"/>
        <v>801.4</v>
      </c>
      <c r="T37" s="145">
        <f t="shared" si="48"/>
        <v>800.3</v>
      </c>
      <c r="U37" s="145">
        <f t="shared" si="48"/>
        <v>815.7</v>
      </c>
      <c r="V37" s="145">
        <f t="shared" si="48"/>
        <v>815.6</v>
      </c>
      <c r="W37" s="145">
        <f t="shared" ref="W37:CJ37" si="49">+SUM(W38:W38)</f>
        <v>819</v>
      </c>
      <c r="X37" s="145">
        <f t="shared" si="49"/>
        <v>825.3</v>
      </c>
      <c r="Y37" s="145">
        <f t="shared" si="49"/>
        <v>822.8</v>
      </c>
      <c r="Z37" s="145">
        <f t="shared" si="49"/>
        <v>831</v>
      </c>
      <c r="AA37" s="145">
        <f t="shared" si="49"/>
        <v>819.6</v>
      </c>
      <c r="AB37" s="145">
        <f t="shared" si="49"/>
        <v>805</v>
      </c>
      <c r="AC37" s="145">
        <f t="shared" si="49"/>
        <v>775</v>
      </c>
      <c r="AD37" s="145">
        <f t="shared" si="49"/>
        <v>743.8</v>
      </c>
      <c r="AE37" s="145">
        <f t="shared" si="49"/>
        <v>736.8</v>
      </c>
      <c r="AF37" s="145">
        <f t="shared" si="49"/>
        <v>726.4</v>
      </c>
      <c r="AG37" s="145">
        <f t="shared" si="49"/>
        <v>683.8</v>
      </c>
      <c r="AH37" s="145">
        <f t="shared" si="49"/>
        <v>681.8</v>
      </c>
      <c r="AI37" s="145">
        <f t="shared" si="49"/>
        <v>674.1</v>
      </c>
      <c r="AJ37" s="299">
        <f t="shared" si="49"/>
        <v>658</v>
      </c>
      <c r="AK37" s="299">
        <f t="shared" si="49"/>
        <v>658</v>
      </c>
      <c r="AL37" s="299">
        <f t="shared" si="49"/>
        <v>646.9</v>
      </c>
      <c r="AM37" s="299">
        <f t="shared" si="49"/>
        <v>646.70000000000005</v>
      </c>
      <c r="AN37" s="299">
        <f t="shared" si="49"/>
        <v>604.79999999999995</v>
      </c>
      <c r="AO37" s="299">
        <f t="shared" si="49"/>
        <v>571.6</v>
      </c>
      <c r="AP37" s="299">
        <f t="shared" si="49"/>
        <v>535.70000000000005</v>
      </c>
      <c r="AQ37" s="299">
        <f t="shared" si="49"/>
        <v>536</v>
      </c>
      <c r="AR37" s="299">
        <f t="shared" si="49"/>
        <v>508.2</v>
      </c>
      <c r="AS37" s="299">
        <f t="shared" si="49"/>
        <v>517.9</v>
      </c>
      <c r="AT37" s="299">
        <f t="shared" si="49"/>
        <v>496.4</v>
      </c>
      <c r="AU37" s="299">
        <f t="shared" si="49"/>
        <v>476.5</v>
      </c>
      <c r="AV37" s="299">
        <f t="shared" si="49"/>
        <v>583.6</v>
      </c>
      <c r="AW37" s="299">
        <f t="shared" si="49"/>
        <v>624.6</v>
      </c>
      <c r="AX37" s="299">
        <f t="shared" si="49"/>
        <v>623.79999999999995</v>
      </c>
      <c r="AY37" s="299">
        <f t="shared" si="49"/>
        <v>628.70000000000005</v>
      </c>
      <c r="AZ37" s="299">
        <f t="shared" si="49"/>
        <v>600.5</v>
      </c>
      <c r="BA37" s="299">
        <f t="shared" si="49"/>
        <v>582.5</v>
      </c>
      <c r="BB37" s="299">
        <f t="shared" si="49"/>
        <v>567.6</v>
      </c>
      <c r="BC37" s="299">
        <f t="shared" si="49"/>
        <v>551.1</v>
      </c>
      <c r="BD37" s="299">
        <f t="shared" si="49"/>
        <v>532.1</v>
      </c>
      <c r="BE37" s="299">
        <f t="shared" si="49"/>
        <v>539.70000000000005</v>
      </c>
      <c r="BF37" s="299">
        <f t="shared" si="49"/>
        <v>527.6</v>
      </c>
      <c r="BG37" s="299">
        <f t="shared" si="49"/>
        <v>514.1</v>
      </c>
      <c r="BH37" s="299">
        <f t="shared" si="49"/>
        <v>476.9</v>
      </c>
      <c r="BI37" s="299">
        <f t="shared" si="49"/>
        <v>484</v>
      </c>
      <c r="BJ37" s="299">
        <f t="shared" si="49"/>
        <v>508.9</v>
      </c>
      <c r="BK37" s="299">
        <f t="shared" si="49"/>
        <v>488.4</v>
      </c>
      <c r="BL37" s="299">
        <f t="shared" si="49"/>
        <v>478.3</v>
      </c>
      <c r="BM37" s="299">
        <f t="shared" si="49"/>
        <v>441.6</v>
      </c>
      <c r="BN37" s="299">
        <f t="shared" si="49"/>
        <v>423.3</v>
      </c>
      <c r="BO37" s="299">
        <f t="shared" si="49"/>
        <v>424.7</v>
      </c>
      <c r="BP37" s="299">
        <f t="shared" si="49"/>
        <v>412.3</v>
      </c>
      <c r="BQ37" s="299">
        <f t="shared" si="49"/>
        <v>442.1</v>
      </c>
      <c r="BR37" s="299">
        <f t="shared" si="49"/>
        <v>453.9</v>
      </c>
      <c r="BS37" s="299">
        <f t="shared" si="49"/>
        <v>427.3</v>
      </c>
      <c r="BT37" s="299">
        <f t="shared" si="49"/>
        <v>403.7</v>
      </c>
      <c r="BU37" s="299">
        <f t="shared" si="49"/>
        <v>410</v>
      </c>
      <c r="BV37" s="299">
        <f t="shared" si="49"/>
        <v>387.4</v>
      </c>
      <c r="BW37" s="299">
        <f t="shared" si="49"/>
        <v>392.5</v>
      </c>
      <c r="BX37" s="299">
        <f t="shared" si="49"/>
        <v>404.3</v>
      </c>
      <c r="BY37" s="299">
        <f t="shared" si="49"/>
        <v>368</v>
      </c>
      <c r="BZ37" s="299">
        <f t="shared" si="49"/>
        <v>385.9</v>
      </c>
      <c r="CA37" s="299">
        <f t="shared" si="49"/>
        <v>383.6</v>
      </c>
      <c r="CB37" s="299">
        <f t="shared" si="49"/>
        <v>379.9</v>
      </c>
      <c r="CC37" s="299">
        <f t="shared" si="49"/>
        <v>362.9</v>
      </c>
      <c r="CD37" s="299">
        <f t="shared" si="49"/>
        <v>372.2</v>
      </c>
      <c r="CE37" s="299">
        <f t="shared" si="49"/>
        <v>331.4</v>
      </c>
      <c r="CF37" s="299">
        <f t="shared" si="49"/>
        <v>318.3</v>
      </c>
      <c r="CG37" s="299">
        <f t="shared" si="49"/>
        <v>313.89999999999998</v>
      </c>
      <c r="CH37" s="299">
        <f t="shared" si="49"/>
        <v>309.8</v>
      </c>
      <c r="CI37" s="299">
        <f t="shared" si="49"/>
        <v>313.39999999999998</v>
      </c>
      <c r="CJ37" s="299">
        <f t="shared" si="49"/>
        <v>310.89999999999998</v>
      </c>
      <c r="CK37" s="146"/>
    </row>
    <row r="38" spans="2:89" ht="15" x14ac:dyDescent="0.3">
      <c r="B38" s="151" t="s">
        <v>114</v>
      </c>
      <c r="C38" s="142">
        <v>1117.7</v>
      </c>
      <c r="D38" s="142">
        <v>1095.9000000000001</v>
      </c>
      <c r="E38" s="142">
        <v>1108.5999999999999</v>
      </c>
      <c r="F38" s="142">
        <v>1109.0999999999999</v>
      </c>
      <c r="G38" s="142">
        <v>754.4</v>
      </c>
      <c r="H38" s="142">
        <v>760.8</v>
      </c>
      <c r="I38" s="142">
        <v>754.5</v>
      </c>
      <c r="J38" s="142">
        <v>779.6</v>
      </c>
      <c r="K38" s="142">
        <v>769.1</v>
      </c>
      <c r="L38" s="142">
        <v>769.4</v>
      </c>
      <c r="M38" s="142">
        <v>753.8</v>
      </c>
      <c r="N38" s="142">
        <v>760</v>
      </c>
      <c r="O38" s="142">
        <v>761.6</v>
      </c>
      <c r="P38" s="142">
        <v>763.8</v>
      </c>
      <c r="Q38" s="142">
        <v>766.5</v>
      </c>
      <c r="R38" s="142">
        <v>769</v>
      </c>
      <c r="S38" s="142">
        <v>801.4</v>
      </c>
      <c r="T38" s="142">
        <v>800.3</v>
      </c>
      <c r="U38" s="142">
        <v>815.7</v>
      </c>
      <c r="V38" s="142">
        <v>815.6</v>
      </c>
      <c r="W38" s="142">
        <v>819</v>
      </c>
      <c r="X38" s="142">
        <v>825.3</v>
      </c>
      <c r="Y38" s="142">
        <v>822.8</v>
      </c>
      <c r="Z38" s="142">
        <v>831</v>
      </c>
      <c r="AA38" s="142">
        <v>819.6</v>
      </c>
      <c r="AB38" s="142">
        <v>805</v>
      </c>
      <c r="AC38" s="142">
        <v>775</v>
      </c>
      <c r="AD38" s="142">
        <v>743.8</v>
      </c>
      <c r="AE38" s="142">
        <v>736.8</v>
      </c>
      <c r="AF38" s="142">
        <v>726.4</v>
      </c>
      <c r="AG38" s="142">
        <v>683.8</v>
      </c>
      <c r="AH38" s="142">
        <v>681.8</v>
      </c>
      <c r="AI38" s="142">
        <v>674.1</v>
      </c>
      <c r="AJ38" s="298">
        <v>658</v>
      </c>
      <c r="AK38" s="298">
        <v>658</v>
      </c>
      <c r="AL38" s="298">
        <v>646.9</v>
      </c>
      <c r="AM38" s="298">
        <v>646.70000000000005</v>
      </c>
      <c r="AN38" s="298">
        <v>604.79999999999995</v>
      </c>
      <c r="AO38" s="298">
        <v>571.6</v>
      </c>
      <c r="AP38" s="298">
        <v>535.70000000000005</v>
      </c>
      <c r="AQ38" s="298">
        <v>536</v>
      </c>
      <c r="AR38" s="298">
        <v>508.2</v>
      </c>
      <c r="AS38" s="298">
        <v>517.9</v>
      </c>
      <c r="AT38" s="298">
        <v>496.4</v>
      </c>
      <c r="AU38" s="298">
        <v>476.5</v>
      </c>
      <c r="AV38" s="298">
        <v>583.6</v>
      </c>
      <c r="AW38" s="298">
        <v>624.6</v>
      </c>
      <c r="AX38" s="298">
        <v>623.79999999999995</v>
      </c>
      <c r="AY38" s="298">
        <v>628.70000000000005</v>
      </c>
      <c r="AZ38" s="298">
        <v>600.5</v>
      </c>
      <c r="BA38" s="298">
        <v>582.5</v>
      </c>
      <c r="BB38" s="298">
        <v>567.6</v>
      </c>
      <c r="BC38" s="298">
        <v>551.1</v>
      </c>
      <c r="BD38" s="298">
        <v>532.1</v>
      </c>
      <c r="BE38" s="298">
        <v>539.70000000000005</v>
      </c>
      <c r="BF38" s="298">
        <v>527.6</v>
      </c>
      <c r="BG38" s="298">
        <v>514.1</v>
      </c>
      <c r="BH38" s="298">
        <v>476.9</v>
      </c>
      <c r="BI38" s="298">
        <v>484</v>
      </c>
      <c r="BJ38" s="298">
        <v>508.9</v>
      </c>
      <c r="BK38" s="298">
        <v>488.4</v>
      </c>
      <c r="BL38" s="298">
        <v>478.3</v>
      </c>
      <c r="BM38" s="298">
        <v>441.6</v>
      </c>
      <c r="BN38" s="298">
        <v>423.3</v>
      </c>
      <c r="BO38" s="298">
        <v>424.7</v>
      </c>
      <c r="BP38" s="298">
        <v>412.3</v>
      </c>
      <c r="BQ38" s="298">
        <v>442.1</v>
      </c>
      <c r="BR38" s="298">
        <v>453.9</v>
      </c>
      <c r="BS38" s="298">
        <v>427.3</v>
      </c>
      <c r="BT38" s="298">
        <v>403.7</v>
      </c>
      <c r="BU38" s="298">
        <v>410</v>
      </c>
      <c r="BV38" s="298">
        <v>387.4</v>
      </c>
      <c r="BW38" s="298">
        <v>392.5</v>
      </c>
      <c r="BX38" s="298">
        <v>404.3</v>
      </c>
      <c r="BY38" s="298">
        <v>368</v>
      </c>
      <c r="BZ38" s="298">
        <v>385.9</v>
      </c>
      <c r="CA38" s="298">
        <v>383.6</v>
      </c>
      <c r="CB38" s="298">
        <v>379.9</v>
      </c>
      <c r="CC38" s="298">
        <v>362.9</v>
      </c>
      <c r="CD38" s="298">
        <v>372.2</v>
      </c>
      <c r="CE38" s="298">
        <v>331.4</v>
      </c>
      <c r="CF38" s="298">
        <v>318.3</v>
      </c>
      <c r="CG38" s="298">
        <v>313.89999999999998</v>
      </c>
      <c r="CH38" s="298">
        <v>309.8</v>
      </c>
      <c r="CI38" s="298">
        <v>313.39999999999998</v>
      </c>
      <c r="CJ38" s="298">
        <v>310.89999999999998</v>
      </c>
      <c r="CK38" s="146"/>
    </row>
    <row r="39" spans="2:89" ht="15" x14ac:dyDescent="0.3">
      <c r="B39" s="151"/>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298"/>
      <c r="AK39" s="298"/>
      <c r="AL39" s="298"/>
      <c r="AM39" s="298"/>
      <c r="AN39" s="298"/>
      <c r="AO39" s="298"/>
      <c r="AP39" s="298"/>
      <c r="AQ39" s="298"/>
      <c r="AR39" s="298"/>
      <c r="AS39" s="298"/>
      <c r="AT39" s="298"/>
      <c r="AU39" s="298"/>
      <c r="AV39" s="298"/>
      <c r="AW39" s="298"/>
      <c r="AX39" s="298"/>
      <c r="AY39" s="298"/>
      <c r="AZ39" s="298"/>
      <c r="BA39" s="298"/>
      <c r="BB39" s="298"/>
      <c r="BC39" s="298"/>
      <c r="BD39" s="298"/>
      <c r="BE39" s="298"/>
      <c r="BF39" s="298"/>
      <c r="BG39" s="298"/>
      <c r="BH39" s="298"/>
      <c r="BI39" s="298"/>
      <c r="BJ39" s="298"/>
      <c r="BK39" s="298"/>
      <c r="BL39" s="298"/>
      <c r="BM39" s="298"/>
      <c r="BN39" s="298"/>
      <c r="BO39" s="298"/>
      <c r="BP39" s="298"/>
      <c r="BQ39" s="298"/>
      <c r="BR39" s="298"/>
      <c r="BS39" s="298"/>
      <c r="BT39" s="298"/>
      <c r="BU39" s="298"/>
      <c r="BV39" s="298"/>
      <c r="BW39" s="298"/>
      <c r="BX39" s="298"/>
      <c r="BY39" s="298"/>
      <c r="BZ39" s="298"/>
      <c r="CA39" s="298"/>
      <c r="CB39" s="298"/>
      <c r="CC39" s="298"/>
      <c r="CD39" s="298"/>
      <c r="CE39" s="298"/>
      <c r="CF39" s="298"/>
      <c r="CG39" s="298"/>
      <c r="CH39" s="298"/>
      <c r="CI39" s="298"/>
      <c r="CJ39" s="298"/>
      <c r="CK39" s="146"/>
    </row>
    <row r="40" spans="2:89" ht="15" x14ac:dyDescent="0.3">
      <c r="B40" s="152" t="s">
        <v>112</v>
      </c>
      <c r="C40" s="145">
        <f t="shared" ref="C40:CJ40" si="50">+C41</f>
        <v>28330.7</v>
      </c>
      <c r="D40" s="145">
        <f t="shared" si="50"/>
        <v>28275.200000000001</v>
      </c>
      <c r="E40" s="145">
        <f t="shared" si="50"/>
        <v>28079</v>
      </c>
      <c r="F40" s="145">
        <f t="shared" si="50"/>
        <v>38837.1</v>
      </c>
      <c r="G40" s="145">
        <f t="shared" si="50"/>
        <v>38607</v>
      </c>
      <c r="H40" s="145">
        <f t="shared" si="50"/>
        <v>38955</v>
      </c>
      <c r="I40" s="145">
        <f t="shared" si="50"/>
        <v>44234.8</v>
      </c>
      <c r="J40" s="145">
        <f t="shared" si="50"/>
        <v>43684</v>
      </c>
      <c r="K40" s="145">
        <f t="shared" si="50"/>
        <v>43523.199999999997</v>
      </c>
      <c r="L40" s="145">
        <f t="shared" si="50"/>
        <v>44032.800000000003</v>
      </c>
      <c r="M40" s="145">
        <f t="shared" si="50"/>
        <v>43827.3</v>
      </c>
      <c r="N40" s="145">
        <f t="shared" si="50"/>
        <v>44141.599999999999</v>
      </c>
      <c r="O40" s="145">
        <f t="shared" si="50"/>
        <v>43953.2</v>
      </c>
      <c r="P40" s="145">
        <f t="shared" si="50"/>
        <v>43838.5</v>
      </c>
      <c r="Q40" s="145">
        <f t="shared" si="50"/>
        <v>43569.3</v>
      </c>
      <c r="R40" s="145">
        <f t="shared" si="50"/>
        <v>43616.3</v>
      </c>
      <c r="S40" s="145">
        <f t="shared" si="50"/>
        <v>43795.8</v>
      </c>
      <c r="T40" s="145">
        <f t="shared" si="50"/>
        <v>43915.5</v>
      </c>
      <c r="U40" s="145">
        <f t="shared" si="50"/>
        <v>45106.9</v>
      </c>
      <c r="V40" s="145">
        <f t="shared" si="50"/>
        <v>45292.5</v>
      </c>
      <c r="W40" s="145">
        <f t="shared" si="50"/>
        <v>44935.5</v>
      </c>
      <c r="X40" s="145">
        <f t="shared" si="50"/>
        <v>45061.7</v>
      </c>
      <c r="Y40" s="145">
        <f t="shared" si="50"/>
        <v>45746.3</v>
      </c>
      <c r="Z40" s="145">
        <f t="shared" si="50"/>
        <v>45976</v>
      </c>
      <c r="AA40" s="145">
        <f t="shared" si="50"/>
        <v>45989.2</v>
      </c>
      <c r="AB40" s="145">
        <f t="shared" si="50"/>
        <v>45942.9</v>
      </c>
      <c r="AC40" s="145">
        <f t="shared" si="50"/>
        <v>45239.6</v>
      </c>
      <c r="AD40" s="145">
        <f t="shared" si="50"/>
        <v>45836.7</v>
      </c>
      <c r="AE40" s="145">
        <f t="shared" si="50"/>
        <v>46114.8</v>
      </c>
      <c r="AF40" s="145">
        <f t="shared" si="50"/>
        <v>45528.5</v>
      </c>
      <c r="AG40" s="145">
        <f t="shared" si="50"/>
        <v>45606.6</v>
      </c>
      <c r="AH40" s="145">
        <f t="shared" si="50"/>
        <v>45463.7</v>
      </c>
      <c r="AI40" s="145">
        <f t="shared" si="50"/>
        <v>43101.3</v>
      </c>
      <c r="AJ40" s="299">
        <f t="shared" si="50"/>
        <v>43302.1</v>
      </c>
      <c r="AK40" s="299">
        <f t="shared" si="50"/>
        <v>42853.2</v>
      </c>
      <c r="AL40" s="299">
        <f t="shared" si="50"/>
        <v>40959.5</v>
      </c>
      <c r="AM40" s="299">
        <f t="shared" si="50"/>
        <v>40010.800000000003</v>
      </c>
      <c r="AN40" s="299">
        <f t="shared" si="50"/>
        <v>40100.1</v>
      </c>
      <c r="AO40" s="299">
        <f t="shared" si="50"/>
        <v>46632</v>
      </c>
      <c r="AP40" s="299">
        <f t="shared" si="50"/>
        <v>44658</v>
      </c>
      <c r="AQ40" s="299">
        <f t="shared" si="50"/>
        <v>44838.8</v>
      </c>
      <c r="AR40" s="299">
        <f t="shared" si="50"/>
        <v>45421.4</v>
      </c>
      <c r="AS40" s="299">
        <f t="shared" si="50"/>
        <v>43308.2</v>
      </c>
      <c r="AT40" s="299">
        <f t="shared" si="50"/>
        <v>42581.1</v>
      </c>
      <c r="AU40" s="299">
        <f t="shared" si="50"/>
        <v>39300.1</v>
      </c>
      <c r="AV40" s="299">
        <f t="shared" si="50"/>
        <v>40721.4</v>
      </c>
      <c r="AW40" s="299">
        <f t="shared" si="50"/>
        <v>41722.699999999997</v>
      </c>
      <c r="AX40" s="299">
        <f t="shared" si="50"/>
        <v>45706.6</v>
      </c>
      <c r="AY40" s="299">
        <f t="shared" si="50"/>
        <v>43474.8</v>
      </c>
      <c r="AZ40" s="299">
        <f t="shared" si="50"/>
        <v>42839.4</v>
      </c>
      <c r="BA40" s="299">
        <f t="shared" si="50"/>
        <v>46040.800000000003</v>
      </c>
      <c r="BB40" s="299">
        <f t="shared" si="50"/>
        <v>43442.5</v>
      </c>
      <c r="BC40" s="299">
        <f t="shared" si="50"/>
        <v>42813.9</v>
      </c>
      <c r="BD40" s="299">
        <f t="shared" si="50"/>
        <v>40220.1</v>
      </c>
      <c r="BE40" s="299">
        <f t="shared" si="50"/>
        <v>37956.6</v>
      </c>
      <c r="BF40" s="299">
        <f t="shared" si="50"/>
        <v>43988.6</v>
      </c>
      <c r="BG40" s="299">
        <f t="shared" si="50"/>
        <v>43491.1</v>
      </c>
      <c r="BH40" s="299">
        <f t="shared" si="50"/>
        <v>43298.400000000001</v>
      </c>
      <c r="BI40" s="299">
        <f t="shared" si="50"/>
        <v>41466.699999999997</v>
      </c>
      <c r="BJ40" s="299">
        <f t="shared" si="50"/>
        <v>40899</v>
      </c>
      <c r="BK40" s="299">
        <f t="shared" si="50"/>
        <v>43157.3</v>
      </c>
      <c r="BL40" s="299">
        <f t="shared" si="50"/>
        <v>43077.1</v>
      </c>
      <c r="BM40" s="299">
        <f t="shared" si="50"/>
        <v>42963.1</v>
      </c>
      <c r="BN40" s="299">
        <f t="shared" si="50"/>
        <v>40837.5</v>
      </c>
      <c r="BO40" s="299">
        <f t="shared" si="50"/>
        <v>41015.9</v>
      </c>
      <c r="BP40" s="299">
        <f t="shared" si="50"/>
        <v>41546.1</v>
      </c>
      <c r="BQ40" s="299">
        <f t="shared" si="50"/>
        <v>41312.400000000001</v>
      </c>
      <c r="BR40" s="299">
        <f t="shared" si="50"/>
        <v>41879.9</v>
      </c>
      <c r="BS40" s="299">
        <f t="shared" si="50"/>
        <v>42180.9</v>
      </c>
      <c r="BT40" s="299">
        <f t="shared" si="50"/>
        <v>41411.5</v>
      </c>
      <c r="BU40" s="299">
        <f t="shared" si="50"/>
        <v>40861.9</v>
      </c>
      <c r="BV40" s="299">
        <f t="shared" si="50"/>
        <v>40558.199999999997</v>
      </c>
      <c r="BW40" s="299">
        <f t="shared" si="50"/>
        <v>40547.599999999999</v>
      </c>
      <c r="BX40" s="299">
        <f t="shared" si="50"/>
        <v>40712.1</v>
      </c>
      <c r="BY40" s="299">
        <f t="shared" si="50"/>
        <v>41323.4</v>
      </c>
      <c r="BZ40" s="299">
        <f t="shared" si="50"/>
        <v>54597.2</v>
      </c>
      <c r="CA40" s="299">
        <f t="shared" si="50"/>
        <v>54619.5</v>
      </c>
      <c r="CB40" s="299">
        <f t="shared" si="50"/>
        <v>55317.4</v>
      </c>
      <c r="CC40" s="299">
        <f t="shared" si="50"/>
        <v>54545.5</v>
      </c>
      <c r="CD40" s="299">
        <f t="shared" si="50"/>
        <v>57190.400000000001</v>
      </c>
      <c r="CE40" s="299">
        <f t="shared" si="50"/>
        <v>57292.3</v>
      </c>
      <c r="CF40" s="299">
        <f t="shared" si="50"/>
        <v>56763.1</v>
      </c>
      <c r="CG40" s="299">
        <f t="shared" si="50"/>
        <v>56770.8</v>
      </c>
      <c r="CH40" s="299">
        <f t="shared" si="50"/>
        <v>57229.5</v>
      </c>
      <c r="CI40" s="299">
        <f t="shared" si="50"/>
        <v>57743.5</v>
      </c>
      <c r="CJ40" s="299">
        <f t="shared" si="50"/>
        <v>57449.8</v>
      </c>
      <c r="CK40" s="146"/>
    </row>
    <row r="41" spans="2:89" ht="15" x14ac:dyDescent="0.3">
      <c r="B41" s="151" t="s">
        <v>113</v>
      </c>
      <c r="C41" s="142">
        <v>28330.7</v>
      </c>
      <c r="D41" s="142">
        <v>28275.200000000001</v>
      </c>
      <c r="E41" s="142">
        <v>28079</v>
      </c>
      <c r="F41" s="142">
        <v>38837.1</v>
      </c>
      <c r="G41" s="142">
        <v>38607</v>
      </c>
      <c r="H41" s="142">
        <v>38955</v>
      </c>
      <c r="I41" s="142">
        <v>44234.8</v>
      </c>
      <c r="J41" s="142">
        <v>43684</v>
      </c>
      <c r="K41" s="142">
        <v>43523.199999999997</v>
      </c>
      <c r="L41" s="142">
        <v>44032.800000000003</v>
      </c>
      <c r="M41" s="142">
        <v>43827.3</v>
      </c>
      <c r="N41" s="142">
        <v>44141.599999999999</v>
      </c>
      <c r="O41" s="142">
        <v>43953.2</v>
      </c>
      <c r="P41" s="142">
        <v>43838.5</v>
      </c>
      <c r="Q41" s="142">
        <v>43569.3</v>
      </c>
      <c r="R41" s="142">
        <v>43616.3</v>
      </c>
      <c r="S41" s="142">
        <v>43795.8</v>
      </c>
      <c r="T41" s="142">
        <v>43915.5</v>
      </c>
      <c r="U41" s="142">
        <v>45106.9</v>
      </c>
      <c r="V41" s="142">
        <v>45292.5</v>
      </c>
      <c r="W41" s="142">
        <v>44935.5</v>
      </c>
      <c r="X41" s="142">
        <v>45061.7</v>
      </c>
      <c r="Y41" s="142">
        <v>45746.3</v>
      </c>
      <c r="Z41" s="142">
        <v>45976</v>
      </c>
      <c r="AA41" s="142">
        <v>45989.2</v>
      </c>
      <c r="AB41" s="142">
        <v>45942.9</v>
      </c>
      <c r="AC41" s="142">
        <v>45239.6</v>
      </c>
      <c r="AD41" s="142">
        <v>45836.7</v>
      </c>
      <c r="AE41" s="142">
        <v>46114.8</v>
      </c>
      <c r="AF41" s="142">
        <v>45528.5</v>
      </c>
      <c r="AG41" s="142">
        <v>45606.6</v>
      </c>
      <c r="AH41" s="142">
        <v>45463.7</v>
      </c>
      <c r="AI41" s="142">
        <v>43101.3</v>
      </c>
      <c r="AJ41" s="298">
        <v>43302.1</v>
      </c>
      <c r="AK41" s="298">
        <v>42853.2</v>
      </c>
      <c r="AL41" s="298">
        <v>40959.5</v>
      </c>
      <c r="AM41" s="298">
        <v>40010.800000000003</v>
      </c>
      <c r="AN41" s="298">
        <v>40100.1</v>
      </c>
      <c r="AO41" s="298">
        <v>46632</v>
      </c>
      <c r="AP41" s="298">
        <v>44658</v>
      </c>
      <c r="AQ41" s="298">
        <v>44838.8</v>
      </c>
      <c r="AR41" s="298">
        <v>45421.4</v>
      </c>
      <c r="AS41" s="298">
        <v>43308.2</v>
      </c>
      <c r="AT41" s="298">
        <v>42581.1</v>
      </c>
      <c r="AU41" s="298">
        <v>39300.1</v>
      </c>
      <c r="AV41" s="298">
        <v>40721.4</v>
      </c>
      <c r="AW41" s="298">
        <v>41722.699999999997</v>
      </c>
      <c r="AX41" s="298">
        <v>45706.6</v>
      </c>
      <c r="AY41" s="298">
        <v>43474.8</v>
      </c>
      <c r="AZ41" s="298">
        <v>42839.4</v>
      </c>
      <c r="BA41" s="298">
        <v>46040.800000000003</v>
      </c>
      <c r="BB41" s="298">
        <v>43442.5</v>
      </c>
      <c r="BC41" s="298">
        <v>42813.9</v>
      </c>
      <c r="BD41" s="298">
        <v>40220.1</v>
      </c>
      <c r="BE41" s="298">
        <v>37956.6</v>
      </c>
      <c r="BF41" s="298">
        <v>43988.6</v>
      </c>
      <c r="BG41" s="298">
        <v>43491.1</v>
      </c>
      <c r="BH41" s="298">
        <v>43298.400000000001</v>
      </c>
      <c r="BI41" s="298">
        <v>41466.699999999997</v>
      </c>
      <c r="BJ41" s="298">
        <v>40899</v>
      </c>
      <c r="BK41" s="298">
        <v>43157.3</v>
      </c>
      <c r="BL41" s="298">
        <v>43077.1</v>
      </c>
      <c r="BM41" s="298">
        <v>42963.1</v>
      </c>
      <c r="BN41" s="298">
        <v>40837.5</v>
      </c>
      <c r="BO41" s="298">
        <v>41015.9</v>
      </c>
      <c r="BP41" s="298">
        <v>41546.1</v>
      </c>
      <c r="BQ41" s="298">
        <v>41312.400000000001</v>
      </c>
      <c r="BR41" s="298">
        <v>41879.9</v>
      </c>
      <c r="BS41" s="298">
        <v>42180.9</v>
      </c>
      <c r="BT41" s="298">
        <v>41411.5</v>
      </c>
      <c r="BU41" s="298">
        <v>40861.9</v>
      </c>
      <c r="BV41" s="298">
        <v>40558.199999999997</v>
      </c>
      <c r="BW41" s="298">
        <v>40547.599999999999</v>
      </c>
      <c r="BX41" s="298">
        <v>40712.1</v>
      </c>
      <c r="BY41" s="298">
        <v>41323.4</v>
      </c>
      <c r="BZ41" s="298">
        <v>54597.2</v>
      </c>
      <c r="CA41" s="298">
        <v>54619.5</v>
      </c>
      <c r="CB41" s="298">
        <v>55317.4</v>
      </c>
      <c r="CC41" s="298">
        <v>54545.5</v>
      </c>
      <c r="CD41" s="298">
        <v>57190.400000000001</v>
      </c>
      <c r="CE41" s="298">
        <v>57292.3</v>
      </c>
      <c r="CF41" s="298">
        <v>56763.1</v>
      </c>
      <c r="CG41" s="298">
        <v>56770.8</v>
      </c>
      <c r="CH41" s="298">
        <v>57229.5</v>
      </c>
      <c r="CI41" s="298">
        <v>57743.5</v>
      </c>
      <c r="CJ41" s="298">
        <v>57449.8</v>
      </c>
      <c r="CK41" s="146"/>
    </row>
    <row r="42" spans="2:89" ht="15" x14ac:dyDescent="0.3">
      <c r="B42" s="151"/>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c r="BL42" s="298"/>
      <c r="BM42" s="298"/>
      <c r="BN42" s="298"/>
      <c r="BO42" s="298"/>
      <c r="BP42" s="298"/>
      <c r="BQ42" s="298"/>
      <c r="BR42" s="298"/>
      <c r="BS42" s="298"/>
      <c r="BT42" s="298"/>
      <c r="BU42" s="298"/>
      <c r="BV42" s="298"/>
      <c r="BW42" s="298"/>
      <c r="BX42" s="298"/>
      <c r="BY42" s="298"/>
      <c r="BZ42" s="298"/>
      <c r="CA42" s="298"/>
      <c r="CB42" s="298"/>
      <c r="CC42" s="298"/>
      <c r="CD42" s="298"/>
      <c r="CE42" s="298"/>
      <c r="CF42" s="298"/>
      <c r="CG42" s="298"/>
      <c r="CH42" s="298"/>
      <c r="CI42" s="298"/>
      <c r="CJ42" s="298"/>
      <c r="CK42" s="146"/>
    </row>
    <row r="43" spans="2:89" ht="15" x14ac:dyDescent="0.3">
      <c r="B43" s="152" t="s">
        <v>64</v>
      </c>
      <c r="C43" s="145">
        <f t="shared" ref="C43:V43" si="51">+SUM(C44:C44)</f>
        <v>665.1</v>
      </c>
      <c r="D43" s="145">
        <f t="shared" si="51"/>
        <v>662.5</v>
      </c>
      <c r="E43" s="145">
        <f t="shared" si="51"/>
        <v>664.4</v>
      </c>
      <c r="F43" s="145">
        <f t="shared" si="51"/>
        <v>651.1</v>
      </c>
      <c r="G43" s="145">
        <f t="shared" si="51"/>
        <v>554.9</v>
      </c>
      <c r="H43" s="145">
        <f t="shared" si="51"/>
        <v>568.29999999999995</v>
      </c>
      <c r="I43" s="145">
        <f t="shared" si="51"/>
        <v>562.20000000000005</v>
      </c>
      <c r="J43" s="145">
        <f t="shared" si="51"/>
        <v>564.5</v>
      </c>
      <c r="K43" s="145">
        <f t="shared" si="51"/>
        <v>560.6</v>
      </c>
      <c r="L43" s="145">
        <f t="shared" si="51"/>
        <v>572.20000000000005</v>
      </c>
      <c r="M43" s="145">
        <f t="shared" si="51"/>
        <v>570.9</v>
      </c>
      <c r="N43" s="145">
        <f t="shared" si="51"/>
        <v>589</v>
      </c>
      <c r="O43" s="145">
        <f t="shared" si="51"/>
        <v>599</v>
      </c>
      <c r="P43" s="145">
        <f t="shared" si="51"/>
        <v>597.20000000000005</v>
      </c>
      <c r="Q43" s="145">
        <f t="shared" si="51"/>
        <v>597.70000000000005</v>
      </c>
      <c r="R43" s="145">
        <f t="shared" si="51"/>
        <v>606.79999999999995</v>
      </c>
      <c r="S43" s="145">
        <f t="shared" si="51"/>
        <v>620.9</v>
      </c>
      <c r="T43" s="145">
        <f t="shared" si="51"/>
        <v>629.29999999999995</v>
      </c>
      <c r="U43" s="145">
        <f t="shared" si="51"/>
        <v>655.7</v>
      </c>
      <c r="V43" s="145">
        <f t="shared" si="51"/>
        <v>662.1</v>
      </c>
      <c r="W43" s="145">
        <f t="shared" ref="W43:X43" si="52">+SUM(W44:W44)</f>
        <v>218.8</v>
      </c>
      <c r="X43" s="145">
        <f t="shared" si="52"/>
        <v>218.9</v>
      </c>
      <c r="Y43" s="145">
        <f>+SUM(Y44:Y45)</f>
        <v>226.1</v>
      </c>
      <c r="Z43" s="145">
        <f>+SUM(Z44:Z45)</f>
        <v>234.2</v>
      </c>
      <c r="AA43" s="145">
        <f t="shared" ref="AA43" si="53">+SUM(AA44:AA45)</f>
        <v>235.7</v>
      </c>
      <c r="AB43" s="145">
        <f t="shared" ref="AB43:BA43" si="54">+SUM(AB44:AB45)</f>
        <v>232.8</v>
      </c>
      <c r="AC43" s="145">
        <f t="shared" si="54"/>
        <v>228.4</v>
      </c>
      <c r="AD43" s="145">
        <f t="shared" si="54"/>
        <v>224.3</v>
      </c>
      <c r="AE43" s="145">
        <f t="shared" si="54"/>
        <v>227.4</v>
      </c>
      <c r="AF43" s="145">
        <f t="shared" si="54"/>
        <v>226.39999999999998</v>
      </c>
      <c r="AG43" s="145">
        <f t="shared" si="54"/>
        <v>214.39999999999998</v>
      </c>
      <c r="AH43" s="145">
        <f t="shared" si="54"/>
        <v>215.89999999999998</v>
      </c>
      <c r="AI43" s="145">
        <f t="shared" si="54"/>
        <v>215.29999999999998</v>
      </c>
      <c r="AJ43" s="299">
        <f t="shared" si="54"/>
        <v>221.8</v>
      </c>
      <c r="AK43" s="299">
        <f t="shared" si="54"/>
        <v>224.6</v>
      </c>
      <c r="AL43" s="299">
        <f t="shared" si="54"/>
        <v>230.7</v>
      </c>
      <c r="AM43" s="299">
        <f t="shared" si="54"/>
        <v>123.4</v>
      </c>
      <c r="AN43" s="299">
        <f t="shared" si="54"/>
        <v>111.10000000000001</v>
      </c>
      <c r="AO43" s="299">
        <f t="shared" si="54"/>
        <v>110.60000000000001</v>
      </c>
      <c r="AP43" s="299">
        <f t="shared" si="54"/>
        <v>105.30000000000001</v>
      </c>
      <c r="AQ43" s="299">
        <f t="shared" si="54"/>
        <v>106.6</v>
      </c>
      <c r="AR43" s="299">
        <f t="shared" si="54"/>
        <v>103.8</v>
      </c>
      <c r="AS43" s="299">
        <f t="shared" si="54"/>
        <v>104.2</v>
      </c>
      <c r="AT43" s="299">
        <f t="shared" si="54"/>
        <v>100.8</v>
      </c>
      <c r="AU43" s="299">
        <f t="shared" si="54"/>
        <v>99.2</v>
      </c>
      <c r="AV43" s="299">
        <f t="shared" si="54"/>
        <v>141.69999999999999</v>
      </c>
      <c r="AW43" s="299">
        <f t="shared" si="54"/>
        <v>149.30000000000001</v>
      </c>
      <c r="AX43" s="299">
        <f t="shared" si="54"/>
        <v>140.19999999999999</v>
      </c>
      <c r="AY43" s="299">
        <f t="shared" si="54"/>
        <v>141.69999999999999</v>
      </c>
      <c r="AZ43" s="299">
        <f t="shared" si="54"/>
        <v>137.9</v>
      </c>
      <c r="BA43" s="299">
        <f t="shared" si="54"/>
        <v>129.69999999999999</v>
      </c>
      <c r="BB43" s="299">
        <f t="shared" ref="BB43:CJ43" si="55">+SUM(BB44:BB45)</f>
        <v>132.30000000000001</v>
      </c>
      <c r="BC43" s="299">
        <f t="shared" si="55"/>
        <v>130.1</v>
      </c>
      <c r="BD43" s="299">
        <f t="shared" si="55"/>
        <v>132.5</v>
      </c>
      <c r="BE43" s="299">
        <f t="shared" si="55"/>
        <v>135.6</v>
      </c>
      <c r="BF43" s="299">
        <f t="shared" si="55"/>
        <v>133.69999999999999</v>
      </c>
      <c r="BG43" s="299">
        <f t="shared" si="55"/>
        <v>129.5</v>
      </c>
      <c r="BH43" s="299">
        <f t="shared" si="55"/>
        <v>120.19999999999999</v>
      </c>
      <c r="BI43" s="299">
        <f t="shared" si="55"/>
        <v>124.8</v>
      </c>
      <c r="BJ43" s="299">
        <f t="shared" ref="BJ43:CI43" si="56">+SUM(BJ44:BJ45)</f>
        <v>129.69999999999999</v>
      </c>
      <c r="BK43" s="299">
        <f t="shared" si="56"/>
        <v>126.60000000000001</v>
      </c>
      <c r="BL43" s="299">
        <f t="shared" si="56"/>
        <v>123.8</v>
      </c>
      <c r="BM43" s="299">
        <f t="shared" si="56"/>
        <v>108.7</v>
      </c>
      <c r="BN43" s="299">
        <f t="shared" si="56"/>
        <v>106.4</v>
      </c>
      <c r="BO43" s="299">
        <f t="shared" si="56"/>
        <v>108.5</v>
      </c>
      <c r="BP43" s="299">
        <f t="shared" si="56"/>
        <v>108.7</v>
      </c>
      <c r="BQ43" s="299">
        <f t="shared" si="56"/>
        <v>110.60000000000001</v>
      </c>
      <c r="BR43" s="299">
        <f t="shared" si="56"/>
        <v>114.2</v>
      </c>
      <c r="BS43" s="299">
        <f t="shared" si="56"/>
        <v>100.4</v>
      </c>
      <c r="BT43" s="299">
        <f t="shared" si="56"/>
        <v>98.2</v>
      </c>
      <c r="BU43" s="299">
        <f t="shared" si="56"/>
        <v>96.600000000000009</v>
      </c>
      <c r="BV43" s="299">
        <f t="shared" si="56"/>
        <v>93.699999999999989</v>
      </c>
      <c r="BW43" s="299">
        <f t="shared" si="56"/>
        <v>93.5</v>
      </c>
      <c r="BX43" s="299">
        <f t="shared" si="56"/>
        <v>94.3</v>
      </c>
      <c r="BY43" s="299">
        <f t="shared" si="56"/>
        <v>80.400000000000006</v>
      </c>
      <c r="BZ43" s="299">
        <f t="shared" si="56"/>
        <v>85.5</v>
      </c>
      <c r="CA43" s="299">
        <f t="shared" si="56"/>
        <v>86</v>
      </c>
      <c r="CB43" s="299">
        <f t="shared" si="56"/>
        <v>88.7</v>
      </c>
      <c r="CC43" s="299">
        <f t="shared" si="56"/>
        <v>86.600000000000009</v>
      </c>
      <c r="CD43" s="299">
        <f t="shared" si="56"/>
        <v>91.7</v>
      </c>
      <c r="CE43" s="299">
        <f t="shared" si="56"/>
        <v>71.900000000000006</v>
      </c>
      <c r="CF43" s="299">
        <f t="shared" si="56"/>
        <v>71.2</v>
      </c>
      <c r="CG43" s="299">
        <f t="shared" si="56"/>
        <v>71.3</v>
      </c>
      <c r="CH43" s="299">
        <f t="shared" si="56"/>
        <v>72.3</v>
      </c>
      <c r="CI43" s="299">
        <f t="shared" si="56"/>
        <v>73.899999999999991</v>
      </c>
      <c r="CJ43" s="299">
        <f t="shared" si="55"/>
        <v>74.100000000000009</v>
      </c>
      <c r="CK43" s="146"/>
    </row>
    <row r="44" spans="2:89" ht="15" x14ac:dyDescent="0.3">
      <c r="B44" s="151" t="s">
        <v>114</v>
      </c>
      <c r="C44" s="142">
        <v>665.1</v>
      </c>
      <c r="D44" s="142">
        <v>662.5</v>
      </c>
      <c r="E44" s="142">
        <v>664.4</v>
      </c>
      <c r="F44" s="142">
        <v>651.1</v>
      </c>
      <c r="G44" s="142">
        <v>554.9</v>
      </c>
      <c r="H44" s="142">
        <v>568.29999999999995</v>
      </c>
      <c r="I44" s="142">
        <v>562.20000000000005</v>
      </c>
      <c r="J44" s="142">
        <v>564.5</v>
      </c>
      <c r="K44" s="142">
        <v>560.6</v>
      </c>
      <c r="L44" s="142">
        <v>572.20000000000005</v>
      </c>
      <c r="M44" s="142">
        <v>570.9</v>
      </c>
      <c r="N44" s="142">
        <v>589</v>
      </c>
      <c r="O44" s="142">
        <v>599</v>
      </c>
      <c r="P44" s="142">
        <v>597.20000000000005</v>
      </c>
      <c r="Q44" s="142">
        <v>597.70000000000005</v>
      </c>
      <c r="R44" s="142">
        <v>606.79999999999995</v>
      </c>
      <c r="S44" s="142">
        <v>620.9</v>
      </c>
      <c r="T44" s="142">
        <v>629.29999999999995</v>
      </c>
      <c r="U44" s="142">
        <v>655.7</v>
      </c>
      <c r="V44" s="142">
        <v>662.1</v>
      </c>
      <c r="W44" s="142">
        <v>218.8</v>
      </c>
      <c r="X44" s="142">
        <v>218.9</v>
      </c>
      <c r="Y44" s="142">
        <v>226.1</v>
      </c>
      <c r="Z44" s="142">
        <v>233.2</v>
      </c>
      <c r="AA44" s="142">
        <v>234.7</v>
      </c>
      <c r="AB44" s="142">
        <v>231.8</v>
      </c>
      <c r="AC44" s="142">
        <v>227.4</v>
      </c>
      <c r="AD44" s="142">
        <v>223.3</v>
      </c>
      <c r="AE44" s="142">
        <v>226.4</v>
      </c>
      <c r="AF44" s="142">
        <v>225.7</v>
      </c>
      <c r="AG44" s="142">
        <v>214.2</v>
      </c>
      <c r="AH44" s="142">
        <v>215.7</v>
      </c>
      <c r="AI44" s="142">
        <v>215.1</v>
      </c>
      <c r="AJ44" s="298">
        <v>218.3</v>
      </c>
      <c r="AK44" s="298">
        <v>221.1</v>
      </c>
      <c r="AL44" s="298">
        <v>227.2</v>
      </c>
      <c r="AM44" s="298">
        <v>119.9</v>
      </c>
      <c r="AN44" s="298">
        <v>107.7</v>
      </c>
      <c r="AO44" s="298">
        <v>107.2</v>
      </c>
      <c r="AP44" s="298">
        <v>101.9</v>
      </c>
      <c r="AQ44" s="298">
        <v>103.3</v>
      </c>
      <c r="AR44" s="298">
        <v>103.3</v>
      </c>
      <c r="AS44" s="298">
        <v>103.7</v>
      </c>
      <c r="AT44" s="298">
        <v>100.8</v>
      </c>
      <c r="AU44" s="298">
        <v>99.2</v>
      </c>
      <c r="AV44" s="298">
        <v>141.69999999999999</v>
      </c>
      <c r="AW44" s="298">
        <v>149.30000000000001</v>
      </c>
      <c r="AX44" s="298">
        <v>140.19999999999999</v>
      </c>
      <c r="AY44" s="298">
        <v>141.69999999999999</v>
      </c>
      <c r="AZ44" s="298">
        <v>137.9</v>
      </c>
      <c r="BA44" s="298">
        <v>129.69999999999999</v>
      </c>
      <c r="BB44" s="298">
        <v>132.30000000000001</v>
      </c>
      <c r="BC44" s="298">
        <v>130.1</v>
      </c>
      <c r="BD44" s="298">
        <v>132.5</v>
      </c>
      <c r="BE44" s="298">
        <v>135.6</v>
      </c>
      <c r="BF44" s="298">
        <v>133.69999999999999</v>
      </c>
      <c r="BG44" s="298">
        <v>129.5</v>
      </c>
      <c r="BH44" s="298">
        <v>117.6</v>
      </c>
      <c r="BI44" s="298">
        <v>122.1</v>
      </c>
      <c r="BJ44" s="298">
        <v>127</v>
      </c>
      <c r="BK44" s="298">
        <v>123.9</v>
      </c>
      <c r="BL44" s="298">
        <v>121.1</v>
      </c>
      <c r="BM44" s="298">
        <v>106</v>
      </c>
      <c r="BN44" s="298">
        <v>103.7</v>
      </c>
      <c r="BO44" s="298">
        <v>105.8</v>
      </c>
      <c r="BP44" s="298">
        <v>106</v>
      </c>
      <c r="BQ44" s="298">
        <v>107.9</v>
      </c>
      <c r="BR44" s="298">
        <v>111.5</v>
      </c>
      <c r="BS44" s="298">
        <v>97.7</v>
      </c>
      <c r="BT44" s="298">
        <v>95.5</v>
      </c>
      <c r="BU44" s="298">
        <v>93.9</v>
      </c>
      <c r="BV44" s="298">
        <v>91.1</v>
      </c>
      <c r="BW44" s="298">
        <v>90.8</v>
      </c>
      <c r="BX44" s="298">
        <v>91.6</v>
      </c>
      <c r="BY44" s="298">
        <v>77.7</v>
      </c>
      <c r="BZ44" s="298">
        <v>82.8</v>
      </c>
      <c r="CA44" s="298">
        <v>83.3</v>
      </c>
      <c r="CB44" s="298">
        <v>85.9</v>
      </c>
      <c r="CC44" s="298">
        <v>83.9</v>
      </c>
      <c r="CD44" s="298">
        <v>85.2</v>
      </c>
      <c r="CE44" s="298">
        <v>68.2</v>
      </c>
      <c r="CF44" s="298">
        <v>67.5</v>
      </c>
      <c r="CG44" s="298">
        <v>67.599999999999994</v>
      </c>
      <c r="CH44" s="298">
        <v>68.5</v>
      </c>
      <c r="CI44" s="298">
        <v>70.099999999999994</v>
      </c>
      <c r="CJ44" s="298">
        <v>70.400000000000006</v>
      </c>
      <c r="CK44" s="146"/>
    </row>
    <row r="45" spans="2:89" ht="15" x14ac:dyDescent="0.3">
      <c r="B45" s="151" t="s">
        <v>60</v>
      </c>
      <c r="C45" s="142">
        <v>0</v>
      </c>
      <c r="D45" s="142">
        <v>0</v>
      </c>
      <c r="E45" s="142">
        <v>0</v>
      </c>
      <c r="F45" s="142">
        <v>0</v>
      </c>
      <c r="G45" s="142">
        <v>0</v>
      </c>
      <c r="H45" s="142">
        <v>0</v>
      </c>
      <c r="I45" s="142">
        <v>0</v>
      </c>
      <c r="J45" s="142">
        <v>0</v>
      </c>
      <c r="K45" s="142">
        <v>0</v>
      </c>
      <c r="L45" s="142">
        <v>0</v>
      </c>
      <c r="M45" s="142">
        <v>0</v>
      </c>
      <c r="N45" s="142">
        <v>0</v>
      </c>
      <c r="O45" s="142">
        <v>0</v>
      </c>
      <c r="P45" s="142">
        <v>0</v>
      </c>
      <c r="Q45" s="142">
        <v>0</v>
      </c>
      <c r="R45" s="142">
        <v>0</v>
      </c>
      <c r="S45" s="142">
        <v>0</v>
      </c>
      <c r="T45" s="142">
        <v>0</v>
      </c>
      <c r="U45" s="142">
        <v>0</v>
      </c>
      <c r="V45" s="142">
        <v>0</v>
      </c>
      <c r="W45" s="142">
        <v>0</v>
      </c>
      <c r="X45" s="142">
        <v>0</v>
      </c>
      <c r="Y45" s="142">
        <v>0</v>
      </c>
      <c r="Z45" s="142">
        <v>1</v>
      </c>
      <c r="AA45" s="142">
        <v>1</v>
      </c>
      <c r="AB45" s="142">
        <v>1</v>
      </c>
      <c r="AC45" s="142">
        <v>1</v>
      </c>
      <c r="AD45" s="142">
        <v>1</v>
      </c>
      <c r="AE45" s="142">
        <v>1</v>
      </c>
      <c r="AF45" s="142">
        <v>0.7</v>
      </c>
      <c r="AG45" s="142">
        <v>0.2</v>
      </c>
      <c r="AH45" s="142">
        <v>0.2</v>
      </c>
      <c r="AI45" s="142">
        <v>0.2</v>
      </c>
      <c r="AJ45" s="298">
        <v>3.5</v>
      </c>
      <c r="AK45" s="298">
        <v>3.5</v>
      </c>
      <c r="AL45" s="298">
        <v>3.5</v>
      </c>
      <c r="AM45" s="298">
        <v>3.5</v>
      </c>
      <c r="AN45" s="298">
        <v>3.4</v>
      </c>
      <c r="AO45" s="298">
        <v>3.4</v>
      </c>
      <c r="AP45" s="298">
        <v>3.4</v>
      </c>
      <c r="AQ45" s="298">
        <v>3.3</v>
      </c>
      <c r="AR45" s="298">
        <v>0.5</v>
      </c>
      <c r="AS45" s="298">
        <v>0.5</v>
      </c>
      <c r="AT45" s="298">
        <v>0</v>
      </c>
      <c r="AU45" s="298">
        <v>0</v>
      </c>
      <c r="AV45" s="298">
        <v>0</v>
      </c>
      <c r="AW45" s="298">
        <v>0</v>
      </c>
      <c r="AX45" s="298">
        <v>0</v>
      </c>
      <c r="AY45" s="298">
        <v>0</v>
      </c>
      <c r="AZ45" s="298">
        <v>0</v>
      </c>
      <c r="BA45" s="298">
        <v>0</v>
      </c>
      <c r="BB45" s="298">
        <v>0</v>
      </c>
      <c r="BC45" s="298">
        <v>0</v>
      </c>
      <c r="BD45" s="298">
        <v>0</v>
      </c>
      <c r="BE45" s="298">
        <v>0</v>
      </c>
      <c r="BF45" s="298">
        <v>0</v>
      </c>
      <c r="BG45" s="298">
        <v>0</v>
      </c>
      <c r="BH45" s="298">
        <v>2.6</v>
      </c>
      <c r="BI45" s="298">
        <v>2.7</v>
      </c>
      <c r="BJ45" s="298">
        <v>2.7</v>
      </c>
      <c r="BK45" s="298">
        <v>2.7</v>
      </c>
      <c r="BL45" s="298">
        <v>2.7</v>
      </c>
      <c r="BM45" s="298">
        <v>2.7</v>
      </c>
      <c r="BN45" s="298">
        <v>2.7</v>
      </c>
      <c r="BO45" s="298">
        <v>2.7</v>
      </c>
      <c r="BP45" s="298">
        <v>2.7</v>
      </c>
      <c r="BQ45" s="298">
        <v>2.7</v>
      </c>
      <c r="BR45" s="298">
        <v>2.7</v>
      </c>
      <c r="BS45" s="298">
        <v>2.7</v>
      </c>
      <c r="BT45" s="298">
        <v>2.7</v>
      </c>
      <c r="BU45" s="298">
        <v>2.7</v>
      </c>
      <c r="BV45" s="298">
        <v>2.6</v>
      </c>
      <c r="BW45" s="298">
        <v>2.7</v>
      </c>
      <c r="BX45" s="298">
        <v>2.7</v>
      </c>
      <c r="BY45" s="298">
        <v>2.7</v>
      </c>
      <c r="BZ45" s="298">
        <v>2.7</v>
      </c>
      <c r="CA45" s="298">
        <v>2.7</v>
      </c>
      <c r="CB45" s="298">
        <v>2.8</v>
      </c>
      <c r="CC45" s="298">
        <v>2.7</v>
      </c>
      <c r="CD45" s="298">
        <v>6.5</v>
      </c>
      <c r="CE45" s="298">
        <v>3.7</v>
      </c>
      <c r="CF45" s="298">
        <v>3.7</v>
      </c>
      <c r="CG45" s="298">
        <v>3.7</v>
      </c>
      <c r="CH45" s="298">
        <v>3.8</v>
      </c>
      <c r="CI45" s="298">
        <v>3.8</v>
      </c>
      <c r="CJ45" s="298">
        <v>3.7</v>
      </c>
      <c r="CK45" s="146"/>
    </row>
    <row r="46" spans="2:89" ht="15.6" thickBot="1" x14ac:dyDescent="0.35">
      <c r="B46" s="153"/>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I46" s="154"/>
      <c r="AJ46" s="301"/>
      <c r="AK46" s="301"/>
      <c r="AL46" s="301"/>
      <c r="AM46" s="301"/>
      <c r="AN46" s="301"/>
      <c r="AO46" s="301"/>
      <c r="AP46" s="301"/>
      <c r="AQ46" s="301"/>
      <c r="AR46" s="301"/>
      <c r="AS46" s="301"/>
      <c r="AT46" s="301"/>
      <c r="AU46" s="301"/>
      <c r="AV46" s="301"/>
      <c r="AW46" s="301"/>
      <c r="AX46" s="301"/>
      <c r="AY46" s="301"/>
      <c r="AZ46" s="301"/>
      <c r="BA46" s="301"/>
      <c r="BB46" s="301"/>
      <c r="BC46" s="301"/>
      <c r="BD46" s="301"/>
      <c r="BE46" s="301"/>
      <c r="BF46" s="301"/>
      <c r="BG46" s="301"/>
      <c r="BH46" s="301"/>
      <c r="BI46" s="301"/>
      <c r="BJ46" s="301"/>
      <c r="BK46" s="301"/>
      <c r="BL46" s="301"/>
      <c r="BM46" s="301"/>
      <c r="BN46" s="301"/>
      <c r="BO46" s="301"/>
      <c r="BP46" s="301"/>
      <c r="BQ46" s="301"/>
      <c r="BR46" s="301"/>
      <c r="BS46" s="301"/>
      <c r="BT46" s="301"/>
      <c r="BU46" s="301"/>
      <c r="BV46" s="301"/>
      <c r="BW46" s="301"/>
      <c r="BX46" s="301"/>
      <c r="BY46" s="301"/>
      <c r="BZ46" s="301"/>
      <c r="CA46" s="301"/>
      <c r="CB46" s="301"/>
      <c r="CC46" s="301"/>
      <c r="CD46" s="301"/>
      <c r="CE46" s="301"/>
      <c r="CF46" s="301"/>
      <c r="CG46" s="301"/>
      <c r="CH46" s="301"/>
      <c r="CI46" s="301"/>
      <c r="CJ46" s="301"/>
      <c r="CK46" s="154"/>
    </row>
    <row r="47" spans="2:89" ht="15" thickTop="1" x14ac:dyDescent="0.3">
      <c r="B47" s="155" t="s">
        <v>57</v>
      </c>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302"/>
      <c r="AK47" s="302"/>
      <c r="AL47" s="302"/>
      <c r="AM47" s="302"/>
      <c r="AN47" s="302"/>
      <c r="AO47" s="302"/>
      <c r="AP47" s="302"/>
      <c r="AQ47" s="302"/>
      <c r="AR47" s="302"/>
      <c r="AS47" s="302"/>
      <c r="AT47" s="302"/>
      <c r="AU47" s="302"/>
      <c r="AV47" s="302"/>
      <c r="AW47" s="302"/>
      <c r="AX47" s="302"/>
      <c r="AY47" s="302"/>
      <c r="AZ47" s="302"/>
      <c r="BA47" s="302"/>
      <c r="BB47" s="302"/>
      <c r="BC47" s="302"/>
      <c r="BD47" s="302"/>
      <c r="BE47" s="302"/>
      <c r="BF47" s="302"/>
      <c r="BG47" s="302"/>
      <c r="BH47" s="302"/>
      <c r="BI47" s="302"/>
      <c r="BJ47" s="302"/>
      <c r="BK47" s="302"/>
      <c r="BL47" s="302"/>
      <c r="BM47" s="302"/>
      <c r="BN47" s="302"/>
      <c r="BO47" s="302"/>
      <c r="BP47" s="302"/>
      <c r="BQ47" s="302"/>
      <c r="BR47" s="302"/>
      <c r="BS47" s="302"/>
      <c r="BT47" s="302"/>
      <c r="BU47" s="302"/>
      <c r="BV47" s="302"/>
      <c r="BW47" s="302"/>
      <c r="BX47" s="302"/>
      <c r="BY47" s="302"/>
      <c r="BZ47" s="302"/>
      <c r="CA47" s="302"/>
      <c r="CB47" s="302"/>
      <c r="CC47" s="302"/>
      <c r="CD47" s="302"/>
      <c r="CE47" s="302"/>
      <c r="CF47" s="302"/>
      <c r="CG47" s="302"/>
      <c r="CH47" s="302"/>
      <c r="CI47" s="302"/>
      <c r="CJ47" s="302"/>
    </row>
    <row r="48" spans="2:89" x14ac:dyDescent="0.3">
      <c r="B48" s="157"/>
      <c r="C48" s="158"/>
      <c r="D48" s="158"/>
      <c r="E48" s="158"/>
      <c r="F48" s="158"/>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303"/>
      <c r="AK48" s="303"/>
      <c r="AL48" s="303"/>
      <c r="AM48" s="303"/>
      <c r="AN48" s="303"/>
      <c r="AO48" s="303"/>
      <c r="AP48" s="303"/>
      <c r="AQ48" s="303"/>
      <c r="AR48" s="303"/>
      <c r="AS48" s="303"/>
      <c r="AT48" s="303"/>
      <c r="AU48" s="303"/>
      <c r="AV48" s="303"/>
      <c r="AW48" s="303"/>
      <c r="AX48" s="303"/>
      <c r="AY48" s="303"/>
      <c r="AZ48" s="303"/>
      <c r="BA48" s="303"/>
      <c r="BB48" s="303"/>
      <c r="BC48" s="303"/>
      <c r="BD48" s="303"/>
      <c r="BE48" s="303"/>
      <c r="BF48" s="303"/>
      <c r="BG48" s="303"/>
      <c r="BH48" s="303"/>
      <c r="BI48" s="303"/>
      <c r="BJ48" s="303"/>
      <c r="BK48" s="303"/>
      <c r="BL48" s="303"/>
      <c r="BM48" s="303"/>
      <c r="BN48" s="303"/>
      <c r="BO48" s="303"/>
      <c r="BP48" s="303"/>
      <c r="BQ48" s="303"/>
      <c r="BR48" s="303"/>
      <c r="BS48" s="303"/>
      <c r="BT48" s="303"/>
      <c r="BU48" s="303"/>
      <c r="BV48" s="303"/>
      <c r="BW48" s="303"/>
      <c r="BX48" s="303"/>
      <c r="BY48" s="303"/>
      <c r="BZ48" s="303"/>
      <c r="CA48" s="303"/>
      <c r="CB48" s="303"/>
      <c r="CC48" s="303"/>
      <c r="CD48" s="303"/>
      <c r="CE48" s="303"/>
      <c r="CF48" s="303"/>
      <c r="CG48" s="303"/>
      <c r="CH48" s="303"/>
      <c r="CI48" s="303"/>
      <c r="CJ48" s="303"/>
    </row>
    <row r="49" spans="2:89" ht="18" x14ac:dyDescent="0.35">
      <c r="B49" s="457" t="s">
        <v>117</v>
      </c>
      <c r="C49" s="457"/>
      <c r="D49" s="457"/>
      <c r="E49" s="457"/>
      <c r="F49" s="457"/>
      <c r="G49" s="457"/>
      <c r="H49" s="457"/>
      <c r="I49" s="457"/>
      <c r="J49" s="457"/>
      <c r="K49" s="457"/>
      <c r="L49" s="457"/>
      <c r="M49" s="457"/>
      <c r="N49" s="296"/>
      <c r="O49" s="296"/>
      <c r="P49" s="296"/>
      <c r="Q49" s="296"/>
      <c r="R49" s="296"/>
      <c r="S49" s="296"/>
      <c r="T49" s="296"/>
      <c r="U49" s="296"/>
      <c r="V49" s="296"/>
      <c r="W49" s="296"/>
      <c r="X49" s="296"/>
      <c r="Y49" s="296"/>
      <c r="Z49" s="296"/>
      <c r="AA49" s="296"/>
      <c r="AB49" s="296"/>
      <c r="AC49" s="296"/>
      <c r="AD49" s="296"/>
      <c r="AE49" s="296"/>
      <c r="AF49" s="296"/>
      <c r="AG49" s="296"/>
      <c r="AH49" s="296"/>
      <c r="AI49" s="296"/>
      <c r="AJ49" s="296"/>
      <c r="AK49" s="296"/>
      <c r="AL49" s="296"/>
      <c r="AM49" s="296"/>
      <c r="AN49" s="296"/>
      <c r="AO49" s="296"/>
      <c r="AP49" s="296"/>
      <c r="AQ49" s="296"/>
      <c r="AR49" s="296"/>
      <c r="AS49" s="296"/>
      <c r="AT49" s="296"/>
      <c r="AU49" s="296"/>
      <c r="AV49" s="296"/>
      <c r="AW49" s="296"/>
      <c r="AX49" s="296"/>
      <c r="AY49" s="296"/>
      <c r="AZ49" s="296"/>
      <c r="BA49" s="296"/>
      <c r="BB49" s="296"/>
      <c r="BC49" s="296"/>
      <c r="BD49" s="296"/>
      <c r="BE49" s="296"/>
      <c r="BF49" s="296"/>
      <c r="BG49" s="296"/>
      <c r="BH49" s="296"/>
      <c r="BI49" s="296"/>
      <c r="BJ49" s="296"/>
      <c r="BK49" s="296"/>
      <c r="BL49" s="296"/>
      <c r="BM49" s="296"/>
      <c r="BN49" s="296"/>
      <c r="BO49" s="296"/>
      <c r="BP49" s="296"/>
      <c r="BQ49" s="296"/>
      <c r="BR49" s="296"/>
      <c r="BS49" s="296"/>
      <c r="BT49" s="296"/>
      <c r="BU49" s="296"/>
      <c r="BV49" s="296"/>
      <c r="BW49" s="296"/>
      <c r="BX49" s="296"/>
      <c r="BY49" s="296"/>
      <c r="BZ49" s="296"/>
      <c r="CA49" s="296"/>
      <c r="CB49" s="296"/>
      <c r="CC49" s="296"/>
      <c r="CD49" s="296"/>
      <c r="CE49" s="296"/>
      <c r="CF49" s="296"/>
      <c r="CG49" s="296"/>
      <c r="CH49" s="296"/>
      <c r="CI49" s="296"/>
      <c r="CJ49" s="296"/>
      <c r="CK49" s="296"/>
    </row>
    <row r="50" spans="2:89" ht="16.5" customHeight="1" thickBot="1" x14ac:dyDescent="0.35">
      <c r="D50" s="73"/>
    </row>
    <row r="51" spans="2:89" ht="18.600000000000001" thickTop="1" x14ac:dyDescent="0.35">
      <c r="B51" s="241"/>
      <c r="C51" s="236">
        <f t="shared" ref="C51:K51" si="57">+C11</f>
        <v>43466</v>
      </c>
      <c r="D51" s="236">
        <f t="shared" si="57"/>
        <v>43497</v>
      </c>
      <c r="E51" s="236">
        <f t="shared" si="57"/>
        <v>43525</v>
      </c>
      <c r="F51" s="236">
        <f t="shared" si="57"/>
        <v>43556</v>
      </c>
      <c r="G51" s="236">
        <f t="shared" si="57"/>
        <v>43586</v>
      </c>
      <c r="H51" s="236">
        <f t="shared" si="57"/>
        <v>43617</v>
      </c>
      <c r="I51" s="236">
        <f t="shared" si="57"/>
        <v>43647</v>
      </c>
      <c r="J51" s="236">
        <f t="shared" si="57"/>
        <v>43678</v>
      </c>
      <c r="K51" s="236">
        <f t="shared" si="57"/>
        <v>43709</v>
      </c>
      <c r="L51" s="236">
        <f>+L11</f>
        <v>43739</v>
      </c>
      <c r="M51" s="236">
        <f t="shared" ref="M51:N51" si="58">+M11</f>
        <v>43770</v>
      </c>
      <c r="N51" s="236">
        <f t="shared" si="58"/>
        <v>43800</v>
      </c>
      <c r="O51" s="236">
        <f t="shared" ref="O51:AL51" si="59">+O11</f>
        <v>43831</v>
      </c>
      <c r="P51" s="236">
        <f t="shared" si="59"/>
        <v>43862</v>
      </c>
      <c r="Q51" s="236">
        <f t="shared" si="59"/>
        <v>43891</v>
      </c>
      <c r="R51" s="236">
        <f t="shared" si="59"/>
        <v>43922</v>
      </c>
      <c r="S51" s="236">
        <f t="shared" si="59"/>
        <v>43952</v>
      </c>
      <c r="T51" s="236">
        <f t="shared" ref="T51:W51" si="60">+T11</f>
        <v>43983</v>
      </c>
      <c r="U51" s="236">
        <f t="shared" si="60"/>
        <v>44013</v>
      </c>
      <c r="V51" s="236">
        <f t="shared" si="60"/>
        <v>44044</v>
      </c>
      <c r="W51" s="236">
        <f t="shared" si="60"/>
        <v>44075</v>
      </c>
      <c r="X51" s="236">
        <f>+X11</f>
        <v>44105</v>
      </c>
      <c r="Y51" s="236">
        <f t="shared" ref="Y51:AK51" si="61">+Y11</f>
        <v>44136</v>
      </c>
      <c r="Z51" s="236">
        <f t="shared" si="61"/>
        <v>44166</v>
      </c>
      <c r="AA51" s="236">
        <f t="shared" si="61"/>
        <v>44197</v>
      </c>
      <c r="AB51" s="236">
        <f t="shared" si="61"/>
        <v>44228</v>
      </c>
      <c r="AC51" s="236">
        <f t="shared" si="61"/>
        <v>44256</v>
      </c>
      <c r="AD51" s="236">
        <f t="shared" si="61"/>
        <v>44287</v>
      </c>
      <c r="AE51" s="236">
        <f t="shared" si="61"/>
        <v>44317</v>
      </c>
      <c r="AF51" s="236">
        <f t="shared" si="61"/>
        <v>44348</v>
      </c>
      <c r="AG51" s="236">
        <f t="shared" si="61"/>
        <v>44378</v>
      </c>
      <c r="AH51" s="236">
        <f t="shared" si="61"/>
        <v>44409</v>
      </c>
      <c r="AI51" s="236">
        <f t="shared" si="61"/>
        <v>44440</v>
      </c>
      <c r="AJ51" s="304">
        <f t="shared" si="61"/>
        <v>44470</v>
      </c>
      <c r="AK51" s="304">
        <f t="shared" si="61"/>
        <v>44501</v>
      </c>
      <c r="AL51" s="304">
        <f t="shared" si="59"/>
        <v>44531</v>
      </c>
      <c r="AM51" s="304">
        <f t="shared" ref="AM51:BA51" si="62">+AM11</f>
        <v>44562</v>
      </c>
      <c r="AN51" s="304">
        <f t="shared" si="62"/>
        <v>44593</v>
      </c>
      <c r="AO51" s="304">
        <f t="shared" si="62"/>
        <v>44621</v>
      </c>
      <c r="AP51" s="304">
        <f t="shared" si="62"/>
        <v>44652</v>
      </c>
      <c r="AQ51" s="304">
        <f t="shared" si="62"/>
        <v>44682</v>
      </c>
      <c r="AR51" s="304">
        <f t="shared" si="62"/>
        <v>44713</v>
      </c>
      <c r="AS51" s="304">
        <f t="shared" si="62"/>
        <v>44743</v>
      </c>
      <c r="AT51" s="304">
        <f t="shared" si="62"/>
        <v>44774</v>
      </c>
      <c r="AU51" s="304">
        <f t="shared" si="62"/>
        <v>44805</v>
      </c>
      <c r="AV51" s="304">
        <f t="shared" si="62"/>
        <v>44835</v>
      </c>
      <c r="AW51" s="304">
        <f t="shared" si="62"/>
        <v>44866</v>
      </c>
      <c r="AX51" s="304">
        <f t="shared" si="62"/>
        <v>44896</v>
      </c>
      <c r="AY51" s="304">
        <f t="shared" si="62"/>
        <v>44927</v>
      </c>
      <c r="AZ51" s="304">
        <f t="shared" si="62"/>
        <v>44958</v>
      </c>
      <c r="BA51" s="304">
        <f t="shared" si="62"/>
        <v>44986</v>
      </c>
      <c r="BB51" s="304">
        <f t="shared" ref="BB51:BG51" si="63">+BB11</f>
        <v>45017</v>
      </c>
      <c r="BC51" s="304">
        <f t="shared" si="63"/>
        <v>45047</v>
      </c>
      <c r="BD51" s="304">
        <f t="shared" si="63"/>
        <v>45078</v>
      </c>
      <c r="BE51" s="304">
        <f t="shared" si="63"/>
        <v>45108</v>
      </c>
      <c r="BF51" s="304">
        <f t="shared" si="63"/>
        <v>45139</v>
      </c>
      <c r="BG51" s="304">
        <f t="shared" si="63"/>
        <v>45170</v>
      </c>
      <c r="BH51" s="304">
        <f t="shared" ref="BH51:CJ51" si="64">+BH11</f>
        <v>45200</v>
      </c>
      <c r="BI51" s="304">
        <f t="shared" si="64"/>
        <v>45231</v>
      </c>
      <c r="BJ51" s="304">
        <f t="shared" ref="BJ51:BK51" si="65">+BJ11</f>
        <v>45261</v>
      </c>
      <c r="BK51" s="304">
        <f t="shared" si="65"/>
        <v>45292</v>
      </c>
      <c r="BL51" s="304">
        <f t="shared" si="64"/>
        <v>45323</v>
      </c>
      <c r="BM51" s="304">
        <f t="shared" ref="BM51:CD51" si="66">+BM11</f>
        <v>45352</v>
      </c>
      <c r="BN51" s="304">
        <f t="shared" si="66"/>
        <v>45383</v>
      </c>
      <c r="BO51" s="304">
        <f t="shared" si="66"/>
        <v>45413</v>
      </c>
      <c r="BP51" s="304">
        <f t="shared" si="66"/>
        <v>45444</v>
      </c>
      <c r="BQ51" s="304">
        <f t="shared" si="66"/>
        <v>45474</v>
      </c>
      <c r="BR51" s="304">
        <f t="shared" si="66"/>
        <v>45505</v>
      </c>
      <c r="BS51" s="304">
        <f t="shared" si="66"/>
        <v>45536</v>
      </c>
      <c r="BT51" s="304">
        <f t="shared" si="66"/>
        <v>45566</v>
      </c>
      <c r="BU51" s="304">
        <f t="shared" si="66"/>
        <v>45597</v>
      </c>
      <c r="BV51" s="304">
        <f t="shared" si="66"/>
        <v>45627</v>
      </c>
      <c r="BW51" s="304">
        <f t="shared" si="66"/>
        <v>45658</v>
      </c>
      <c r="BX51" s="304">
        <f t="shared" si="66"/>
        <v>45689</v>
      </c>
      <c r="BY51" s="304">
        <f t="shared" si="66"/>
        <v>45717</v>
      </c>
      <c r="BZ51" s="304">
        <f t="shared" si="66"/>
        <v>45748</v>
      </c>
      <c r="CA51" s="304">
        <f t="shared" si="66"/>
        <v>45778</v>
      </c>
      <c r="CB51" s="304">
        <f t="shared" si="66"/>
        <v>45809</v>
      </c>
      <c r="CC51" s="304">
        <f t="shared" si="66"/>
        <v>45839</v>
      </c>
      <c r="CD51" s="304">
        <f t="shared" si="66"/>
        <v>45870</v>
      </c>
      <c r="CE51" s="304" t="s">
        <v>414</v>
      </c>
      <c r="CF51" s="304">
        <f t="shared" ref="CF51:CI51" si="67">+CF11</f>
        <v>45931</v>
      </c>
      <c r="CG51" s="304">
        <f t="shared" si="67"/>
        <v>45962</v>
      </c>
      <c r="CH51" s="304">
        <f t="shared" si="67"/>
        <v>45992</v>
      </c>
      <c r="CI51" s="304" t="str">
        <f t="shared" si="67"/>
        <v>ene-26 (*)</v>
      </c>
      <c r="CJ51" s="304" t="str">
        <f t="shared" si="64"/>
        <v>feb-26 (*)</v>
      </c>
      <c r="CK51" s="237" t="s">
        <v>187</v>
      </c>
    </row>
    <row r="52" spans="2:89" ht="16.2" x14ac:dyDescent="0.3">
      <c r="B52" s="238" t="s">
        <v>142</v>
      </c>
      <c r="C52" s="239">
        <f t="shared" ref="C52:M52" si="68">SUM(C54:C60)</f>
        <v>332746.59999999998</v>
      </c>
      <c r="D52" s="239">
        <f t="shared" si="68"/>
        <v>331571.20000000007</v>
      </c>
      <c r="E52" s="239">
        <f t="shared" si="68"/>
        <v>322317.3</v>
      </c>
      <c r="F52" s="239">
        <f t="shared" si="68"/>
        <v>331741.09999999998</v>
      </c>
      <c r="G52" s="239">
        <f t="shared" si="68"/>
        <v>327350.40000000008</v>
      </c>
      <c r="H52" s="239">
        <f t="shared" si="68"/>
        <v>334706.09999999998</v>
      </c>
      <c r="I52" s="239">
        <f t="shared" si="68"/>
        <v>339420.3</v>
      </c>
      <c r="J52" s="239">
        <f t="shared" si="68"/>
        <v>307589.19999999995</v>
      </c>
      <c r="K52" s="239">
        <f t="shared" si="68"/>
        <v>308742.69999999995</v>
      </c>
      <c r="L52" s="239">
        <f t="shared" si="68"/>
        <v>309941.60000000003</v>
      </c>
      <c r="M52" s="239">
        <f t="shared" si="68"/>
        <v>310778.5</v>
      </c>
      <c r="N52" s="239">
        <f t="shared" ref="N52:R52" si="69">SUM(N54:N60)</f>
        <v>320525.39999999997</v>
      </c>
      <c r="O52" s="239">
        <f t="shared" si="69"/>
        <v>321908.59999999998</v>
      </c>
      <c r="P52" s="239">
        <f t="shared" si="69"/>
        <v>321843.5</v>
      </c>
      <c r="Q52" s="239">
        <f t="shared" si="69"/>
        <v>320855.3</v>
      </c>
      <c r="R52" s="239">
        <f t="shared" si="69"/>
        <v>320737.5</v>
      </c>
      <c r="S52" s="239">
        <f t="shared" ref="S52" si="70">SUM(S54:S60)</f>
        <v>322280.10000000003</v>
      </c>
      <c r="T52" s="239">
        <f t="shared" ref="T52:BA52" si="71">SUM(T54:T60)</f>
        <v>322014.59999999992</v>
      </c>
      <c r="U52" s="239">
        <f t="shared" si="71"/>
        <v>325507.80000000005</v>
      </c>
      <c r="V52" s="239">
        <f t="shared" si="71"/>
        <v>326886.69999999995</v>
      </c>
      <c r="W52" s="239">
        <f t="shared" si="71"/>
        <v>329672.39999999997</v>
      </c>
      <c r="X52" s="239">
        <f t="shared" si="71"/>
        <v>330633.3</v>
      </c>
      <c r="Y52" s="239">
        <f t="shared" si="71"/>
        <v>330670.09999999992</v>
      </c>
      <c r="Z52" s="239">
        <f t="shared" si="71"/>
        <v>332975</v>
      </c>
      <c r="AA52" s="239">
        <f t="shared" si="71"/>
        <v>332328.89999999997</v>
      </c>
      <c r="AB52" s="239">
        <f t="shared" si="71"/>
        <v>332288.7</v>
      </c>
      <c r="AC52" s="239">
        <f t="shared" si="71"/>
        <v>332989.60000000003</v>
      </c>
      <c r="AD52" s="239">
        <f t="shared" si="71"/>
        <v>335741.9</v>
      </c>
      <c r="AE52" s="239">
        <f t="shared" si="71"/>
        <v>338483.20000000001</v>
      </c>
      <c r="AF52" s="239">
        <f t="shared" si="71"/>
        <v>340944.20000000007</v>
      </c>
      <c r="AG52" s="239">
        <f t="shared" si="71"/>
        <v>342559.6</v>
      </c>
      <c r="AH52" s="239">
        <f t="shared" si="71"/>
        <v>343294</v>
      </c>
      <c r="AI52" s="239">
        <f t="shared" si="71"/>
        <v>340061.3</v>
      </c>
      <c r="AJ52" s="305">
        <f t="shared" si="71"/>
        <v>346671.6</v>
      </c>
      <c r="AK52" s="305">
        <f t="shared" si="71"/>
        <v>351881.19999999995</v>
      </c>
      <c r="AL52" s="305">
        <f t="shared" si="71"/>
        <v>360688.70000000007</v>
      </c>
      <c r="AM52" s="305">
        <f t="shared" si="71"/>
        <v>363214.2</v>
      </c>
      <c r="AN52" s="305">
        <f t="shared" si="71"/>
        <v>364093.19999999995</v>
      </c>
      <c r="AO52" s="305">
        <f t="shared" si="71"/>
        <v>373780.69999999995</v>
      </c>
      <c r="AP52" s="305">
        <f t="shared" si="71"/>
        <v>371722.3</v>
      </c>
      <c r="AQ52" s="305">
        <f t="shared" si="71"/>
        <v>372084.19999999995</v>
      </c>
      <c r="AR52" s="305">
        <f t="shared" si="71"/>
        <v>376032.50000000006</v>
      </c>
      <c r="AS52" s="305">
        <f t="shared" si="71"/>
        <v>378320.20000000007</v>
      </c>
      <c r="AT52" s="305">
        <f t="shared" si="71"/>
        <v>378682.4</v>
      </c>
      <c r="AU52" s="305">
        <f t="shared" si="71"/>
        <v>379863.79999999993</v>
      </c>
      <c r="AV52" s="305">
        <f t="shared" si="71"/>
        <v>383850.1</v>
      </c>
      <c r="AW52" s="305">
        <f t="shared" si="71"/>
        <v>384193.49999999994</v>
      </c>
      <c r="AX52" s="305">
        <f t="shared" si="71"/>
        <v>394064.2</v>
      </c>
      <c r="AY52" s="305">
        <f t="shared" si="71"/>
        <v>393353.10000000003</v>
      </c>
      <c r="AZ52" s="305">
        <f t="shared" si="71"/>
        <v>391720.40000000008</v>
      </c>
      <c r="BA52" s="305">
        <f t="shared" si="71"/>
        <v>395744.7</v>
      </c>
      <c r="BB52" s="305">
        <f t="shared" ref="BB52:BG52" si="72">SUM(BB54:BB60)</f>
        <v>393756.6</v>
      </c>
      <c r="BC52" s="305">
        <f t="shared" si="72"/>
        <v>396344.29999999993</v>
      </c>
      <c r="BD52" s="305">
        <f t="shared" si="72"/>
        <v>401329.49999999994</v>
      </c>
      <c r="BE52" s="305">
        <f t="shared" si="72"/>
        <v>403621.39999999997</v>
      </c>
      <c r="BF52" s="305">
        <f t="shared" si="72"/>
        <v>393268.69999999995</v>
      </c>
      <c r="BG52" s="305">
        <f t="shared" si="72"/>
        <v>404476.6</v>
      </c>
      <c r="BH52" s="305">
        <f t="shared" ref="BH52:CJ52" si="73">SUM(BH54:BH60)</f>
        <v>415540.10000000003</v>
      </c>
      <c r="BI52" s="305">
        <f t="shared" si="73"/>
        <v>423046.39999999997</v>
      </c>
      <c r="BJ52" s="305">
        <f t="shared" ref="BJ52:CE52" si="74">SUM(BJ54:BJ60)</f>
        <v>368225.00000000006</v>
      </c>
      <c r="BK52" s="305">
        <f t="shared" si="74"/>
        <v>378837.8</v>
      </c>
      <c r="BL52" s="305">
        <f t="shared" si="74"/>
        <v>384098.99999999994</v>
      </c>
      <c r="BM52" s="305">
        <f t="shared" si="74"/>
        <v>400605.5</v>
      </c>
      <c r="BN52" s="305">
        <f t="shared" si="74"/>
        <v>411603.39999999997</v>
      </c>
      <c r="BO52" s="305">
        <f t="shared" si="74"/>
        <v>433246.5</v>
      </c>
      <c r="BP52" s="305">
        <f t="shared" si="74"/>
        <v>440072.39999999997</v>
      </c>
      <c r="BQ52" s="305">
        <f t="shared" si="74"/>
        <v>449617.8</v>
      </c>
      <c r="BR52" s="305">
        <f t="shared" si="74"/>
        <v>455936.10000000009</v>
      </c>
      <c r="BS52" s="305">
        <f t="shared" si="74"/>
        <v>457587.70000000007</v>
      </c>
      <c r="BT52" s="305">
        <f t="shared" si="74"/>
        <v>460781.50000000006</v>
      </c>
      <c r="BU52" s="305">
        <f t="shared" si="74"/>
        <v>462498.8</v>
      </c>
      <c r="BV52" s="305">
        <f t="shared" si="74"/>
        <v>464503.20000000007</v>
      </c>
      <c r="BW52" s="305">
        <f t="shared" si="74"/>
        <v>465375.1</v>
      </c>
      <c r="BX52" s="305">
        <f t="shared" si="74"/>
        <v>468741.69999999995</v>
      </c>
      <c r="BY52" s="305">
        <f t="shared" si="74"/>
        <v>471102.9</v>
      </c>
      <c r="BZ52" s="305">
        <f t="shared" si="74"/>
        <v>470421.20000000007</v>
      </c>
      <c r="CA52" s="305">
        <f t="shared" si="74"/>
        <v>458517.8</v>
      </c>
      <c r="CB52" s="305">
        <f t="shared" si="74"/>
        <v>462817.50000000006</v>
      </c>
      <c r="CC52" s="305">
        <f t="shared" si="74"/>
        <v>444678.7</v>
      </c>
      <c r="CD52" s="305">
        <f t="shared" si="74"/>
        <v>451740.5</v>
      </c>
      <c r="CE52" s="305">
        <f t="shared" si="74"/>
        <v>451511.5</v>
      </c>
      <c r="CF52" s="305">
        <f t="shared" ref="CF52:CI52" si="75">SUM(CF54:CF60)</f>
        <v>440731.2</v>
      </c>
      <c r="CG52" s="305">
        <f t="shared" si="75"/>
        <v>444518.7</v>
      </c>
      <c r="CH52" s="305">
        <f t="shared" si="75"/>
        <v>452551.1</v>
      </c>
      <c r="CI52" s="305">
        <f t="shared" si="75"/>
        <v>458397.50000000006</v>
      </c>
      <c r="CJ52" s="305">
        <f t="shared" si="73"/>
        <v>469597.39999999997</v>
      </c>
      <c r="CK52" s="240">
        <f>SUM(CK54:CK60)</f>
        <v>1</v>
      </c>
    </row>
    <row r="53" spans="2:89" x14ac:dyDescent="0.3">
      <c r="B53" s="159" t="s">
        <v>57</v>
      </c>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298"/>
      <c r="AK53" s="298"/>
      <c r="AL53" s="298"/>
      <c r="AM53" s="298"/>
      <c r="AN53" s="298"/>
      <c r="AO53" s="298"/>
      <c r="AP53" s="298"/>
      <c r="AQ53" s="298"/>
      <c r="AR53" s="298"/>
      <c r="AS53" s="298"/>
      <c r="AT53" s="298"/>
      <c r="AU53" s="298"/>
      <c r="AV53" s="298"/>
      <c r="AW53" s="298"/>
      <c r="AX53" s="298"/>
      <c r="AY53" s="298"/>
      <c r="AZ53" s="298"/>
      <c r="BA53" s="298"/>
      <c r="BB53" s="298"/>
      <c r="BC53" s="298"/>
      <c r="BD53" s="298"/>
      <c r="BE53" s="298"/>
      <c r="BF53" s="298"/>
      <c r="BG53" s="298"/>
      <c r="BH53" s="298"/>
      <c r="BI53" s="298"/>
      <c r="BJ53" s="298"/>
      <c r="BK53" s="298"/>
      <c r="BL53" s="298"/>
      <c r="BM53" s="298"/>
      <c r="BN53" s="298"/>
      <c r="BO53" s="298"/>
      <c r="BP53" s="298"/>
      <c r="BQ53" s="298"/>
      <c r="BR53" s="298"/>
      <c r="BS53" s="298"/>
      <c r="BT53" s="298"/>
      <c r="BU53" s="298"/>
      <c r="BV53" s="298"/>
      <c r="BW53" s="298"/>
      <c r="BX53" s="298"/>
      <c r="BY53" s="298"/>
      <c r="BZ53" s="298"/>
      <c r="CA53" s="298"/>
      <c r="CB53" s="298"/>
      <c r="CC53" s="298"/>
      <c r="CD53" s="298"/>
      <c r="CE53" s="298"/>
      <c r="CF53" s="298"/>
      <c r="CG53" s="298"/>
      <c r="CH53" s="298"/>
      <c r="CI53" s="298"/>
      <c r="CJ53" s="298"/>
      <c r="CK53" s="142"/>
    </row>
    <row r="54" spans="2:89" ht="15" x14ac:dyDescent="0.3">
      <c r="B54" s="160" t="s">
        <v>118</v>
      </c>
      <c r="C54" s="142">
        <f t="shared" ref="C54:N54" si="76">+C16</f>
        <v>58362.8</v>
      </c>
      <c r="D54" s="142">
        <f t="shared" si="76"/>
        <v>54664</v>
      </c>
      <c r="E54" s="142">
        <f t="shared" si="76"/>
        <v>47839.7</v>
      </c>
      <c r="F54" s="142">
        <f t="shared" si="76"/>
        <v>48809.5</v>
      </c>
      <c r="G54" s="142">
        <f t="shared" si="76"/>
        <v>48285.899999999994</v>
      </c>
      <c r="H54" s="142">
        <f t="shared" si="76"/>
        <v>51064</v>
      </c>
      <c r="I54" s="142">
        <f t="shared" si="76"/>
        <v>49104.5</v>
      </c>
      <c r="J54" s="142">
        <f t="shared" si="76"/>
        <v>37395.9</v>
      </c>
      <c r="K54" s="142">
        <f t="shared" si="76"/>
        <v>38682.199999999997</v>
      </c>
      <c r="L54" s="142">
        <f t="shared" si="76"/>
        <v>38586.9</v>
      </c>
      <c r="M54" s="142">
        <f t="shared" si="76"/>
        <v>39617.5</v>
      </c>
      <c r="N54" s="142">
        <f t="shared" si="76"/>
        <v>47129.5</v>
      </c>
      <c r="O54" s="142">
        <f t="shared" ref="O54:P54" si="77">+O16</f>
        <v>48201.1</v>
      </c>
      <c r="P54" s="142">
        <f t="shared" si="77"/>
        <v>47922.9</v>
      </c>
      <c r="Q54" s="142">
        <f t="shared" ref="Q54:R54" si="78">+Q16</f>
        <v>40667.699999999997</v>
      </c>
      <c r="R54" s="142">
        <f t="shared" si="78"/>
        <v>40720.300000000003</v>
      </c>
      <c r="S54" s="142">
        <f t="shared" ref="S54" si="79">+S16</f>
        <v>40791</v>
      </c>
      <c r="T54" s="142">
        <f t="shared" ref="T54:BA54" si="80">+T16</f>
        <v>39188.400000000001</v>
      </c>
      <c r="U54" s="142">
        <f t="shared" si="80"/>
        <v>40155.600000000006</v>
      </c>
      <c r="V54" s="142">
        <f t="shared" si="80"/>
        <v>39766.699999999997</v>
      </c>
      <c r="W54" s="142">
        <f t="shared" si="80"/>
        <v>39735.899999999994</v>
      </c>
      <c r="X54" s="142">
        <f t="shared" si="80"/>
        <v>40065.300000000003</v>
      </c>
      <c r="Y54" s="142">
        <f t="shared" si="80"/>
        <v>37960.400000000001</v>
      </c>
      <c r="Z54" s="142">
        <f t="shared" si="80"/>
        <v>36856.800000000003</v>
      </c>
      <c r="AA54" s="142">
        <f t="shared" si="80"/>
        <v>35644.1</v>
      </c>
      <c r="AB54" s="142">
        <f t="shared" si="80"/>
        <v>35778.1</v>
      </c>
      <c r="AC54" s="142">
        <f t="shared" si="80"/>
        <v>35860.9</v>
      </c>
      <c r="AD54" s="142">
        <f t="shared" si="80"/>
        <v>36424.799999999996</v>
      </c>
      <c r="AE54" s="142">
        <f t="shared" si="80"/>
        <v>37542.799999999996</v>
      </c>
      <c r="AF54" s="142">
        <f t="shared" si="80"/>
        <v>36824.9</v>
      </c>
      <c r="AG54" s="142">
        <f t="shared" si="80"/>
        <v>37665.699999999997</v>
      </c>
      <c r="AH54" s="142">
        <f t="shared" si="80"/>
        <v>38148.1</v>
      </c>
      <c r="AI54" s="142">
        <f t="shared" si="80"/>
        <v>33226.400000000001</v>
      </c>
      <c r="AJ54" s="298">
        <f t="shared" si="80"/>
        <v>36795.4</v>
      </c>
      <c r="AK54" s="298">
        <f t="shared" si="80"/>
        <v>37857.1</v>
      </c>
      <c r="AL54" s="298">
        <f t="shared" si="80"/>
        <v>45604.600000000006</v>
      </c>
      <c r="AM54" s="298">
        <f t="shared" si="80"/>
        <v>46373.4</v>
      </c>
      <c r="AN54" s="298">
        <f t="shared" si="80"/>
        <v>45970.400000000001</v>
      </c>
      <c r="AO54" s="298">
        <f t="shared" si="80"/>
        <v>45027.9</v>
      </c>
      <c r="AP54" s="298">
        <f t="shared" si="80"/>
        <v>42853</v>
      </c>
      <c r="AQ54" s="298">
        <f t="shared" si="80"/>
        <v>40253.5</v>
      </c>
      <c r="AR54" s="298">
        <f t="shared" si="80"/>
        <v>42395.1</v>
      </c>
      <c r="AS54" s="298">
        <f t="shared" si="80"/>
        <v>45712.6</v>
      </c>
      <c r="AT54" s="298">
        <f t="shared" si="80"/>
        <v>55863.5</v>
      </c>
      <c r="AU54" s="298">
        <f t="shared" si="80"/>
        <v>55420.700000000004</v>
      </c>
      <c r="AV54" s="298">
        <f t="shared" si="80"/>
        <v>54765.399999999994</v>
      </c>
      <c r="AW54" s="298">
        <f t="shared" si="80"/>
        <v>57892.9</v>
      </c>
      <c r="AX54" s="298">
        <f t="shared" si="80"/>
        <v>63179.100000000006</v>
      </c>
      <c r="AY54" s="298">
        <f t="shared" si="80"/>
        <v>76673.100000000006</v>
      </c>
      <c r="AZ54" s="298">
        <f t="shared" si="80"/>
        <v>75688.599999999991</v>
      </c>
      <c r="BA54" s="298">
        <f t="shared" si="80"/>
        <v>64599.7</v>
      </c>
      <c r="BB54" s="298">
        <f t="shared" ref="BB54:BG54" si="81">+BB16</f>
        <v>63550.5</v>
      </c>
      <c r="BC54" s="298">
        <f t="shared" si="81"/>
        <v>62768.599999999991</v>
      </c>
      <c r="BD54" s="298">
        <f t="shared" si="81"/>
        <v>66261.2</v>
      </c>
      <c r="BE54" s="298">
        <f t="shared" si="81"/>
        <v>66682.599999999991</v>
      </c>
      <c r="BF54" s="298">
        <f t="shared" si="81"/>
        <v>60084.499999999993</v>
      </c>
      <c r="BG54" s="298">
        <f t="shared" si="81"/>
        <v>62861</v>
      </c>
      <c r="BH54" s="298">
        <f t="shared" ref="BH54:CJ54" si="82">+BH16</f>
        <v>63819.1</v>
      </c>
      <c r="BI54" s="298">
        <f t="shared" si="82"/>
        <v>65888.899999999994</v>
      </c>
      <c r="BJ54" s="298">
        <f t="shared" ref="BJ54:CD54" si="83">+BJ16</f>
        <v>57601.2</v>
      </c>
      <c r="BK54" s="298">
        <f t="shared" si="83"/>
        <v>54769.4</v>
      </c>
      <c r="BL54" s="298">
        <f t="shared" si="83"/>
        <v>50201.5</v>
      </c>
      <c r="BM54" s="298">
        <f t="shared" si="83"/>
        <v>25417.3</v>
      </c>
      <c r="BN54" s="298">
        <f t="shared" si="83"/>
        <v>26032.400000000001</v>
      </c>
      <c r="BO54" s="298">
        <f t="shared" si="83"/>
        <v>41504.9</v>
      </c>
      <c r="BP54" s="298">
        <f t="shared" si="83"/>
        <v>41547.399999999994</v>
      </c>
      <c r="BQ54" s="298">
        <f t="shared" si="83"/>
        <v>72718.5</v>
      </c>
      <c r="BR54" s="298">
        <f t="shared" si="83"/>
        <v>75257.7</v>
      </c>
      <c r="BS54" s="298">
        <f t="shared" si="83"/>
        <v>72856</v>
      </c>
      <c r="BT54" s="298">
        <f t="shared" si="83"/>
        <v>75399.600000000006</v>
      </c>
      <c r="BU54" s="298">
        <f t="shared" si="83"/>
        <v>74369.8</v>
      </c>
      <c r="BV54" s="298">
        <f t="shared" si="83"/>
        <v>75341.200000000012</v>
      </c>
      <c r="BW54" s="298">
        <f t="shared" si="83"/>
        <v>82641</v>
      </c>
      <c r="BX54" s="298">
        <f t="shared" si="83"/>
        <v>89232.5</v>
      </c>
      <c r="BY54" s="298">
        <f t="shared" si="83"/>
        <v>89428.6</v>
      </c>
      <c r="BZ54" s="298">
        <f t="shared" si="83"/>
        <v>81834</v>
      </c>
      <c r="CA54" s="298">
        <f t="shared" si="83"/>
        <v>89747.4</v>
      </c>
      <c r="CB54" s="298">
        <f t="shared" si="83"/>
        <v>93401.9</v>
      </c>
      <c r="CC54" s="298">
        <f t="shared" si="83"/>
        <v>89254.9</v>
      </c>
      <c r="CD54" s="298">
        <f t="shared" si="83"/>
        <v>93408.8</v>
      </c>
      <c r="CE54" s="298">
        <f t="shared" ref="CE54" si="84">+CE16</f>
        <v>94813.1</v>
      </c>
      <c r="CF54" s="298">
        <f t="shared" ref="CF54:CI54" si="85">+CF16</f>
        <v>88832.8</v>
      </c>
      <c r="CG54" s="298">
        <f t="shared" si="85"/>
        <v>89443.1</v>
      </c>
      <c r="CH54" s="298">
        <f t="shared" si="85"/>
        <v>95718</v>
      </c>
      <c r="CI54" s="298">
        <f t="shared" si="85"/>
        <v>97496.3</v>
      </c>
      <c r="CJ54" s="298">
        <f t="shared" si="82"/>
        <v>96933.3</v>
      </c>
      <c r="CK54" s="146">
        <f t="shared" ref="CK54:CK60" si="86">+CJ54/$CJ$52</f>
        <v>0.20641788050785634</v>
      </c>
    </row>
    <row r="55" spans="2:89" ht="15" x14ac:dyDescent="0.3">
      <c r="B55" s="160" t="s">
        <v>119</v>
      </c>
      <c r="C55" s="142">
        <f t="shared" ref="C55:N55" si="87">+C21</f>
        <v>21908</v>
      </c>
      <c r="D55" s="142">
        <f t="shared" si="87"/>
        <v>22424</v>
      </c>
      <c r="E55" s="142">
        <f t="shared" si="87"/>
        <v>23433.300000000003</v>
      </c>
      <c r="F55" s="142">
        <f t="shared" si="87"/>
        <v>24252.400000000001</v>
      </c>
      <c r="G55" s="142">
        <f t="shared" si="87"/>
        <v>24444.5</v>
      </c>
      <c r="H55" s="142">
        <f t="shared" si="87"/>
        <v>27204.2</v>
      </c>
      <c r="I55" s="142">
        <f t="shared" si="87"/>
        <v>28331.3</v>
      </c>
      <c r="J55" s="142">
        <f t="shared" si="87"/>
        <v>21528.6</v>
      </c>
      <c r="K55" s="142">
        <f t="shared" si="87"/>
        <v>22608.799999999999</v>
      </c>
      <c r="L55" s="142">
        <f t="shared" si="87"/>
        <v>22863.399999999998</v>
      </c>
      <c r="M55" s="142">
        <f t="shared" si="87"/>
        <v>23790.5</v>
      </c>
      <c r="N55" s="142">
        <f t="shared" si="87"/>
        <v>24451.199999999997</v>
      </c>
      <c r="O55" s="142">
        <f t="shared" ref="O55:P55" si="88">+O21</f>
        <v>24106.5</v>
      </c>
      <c r="P55" s="142">
        <f t="shared" si="88"/>
        <v>24043.5</v>
      </c>
      <c r="Q55" s="142">
        <f t="shared" ref="Q55:R55" si="89">+Q21</f>
        <v>30109.5</v>
      </c>
      <c r="R55" s="142">
        <f t="shared" si="89"/>
        <v>29588.3</v>
      </c>
      <c r="S55" s="142">
        <f t="shared" ref="S55" si="90">+S21</f>
        <v>32190.400000000001</v>
      </c>
      <c r="T55" s="142">
        <f t="shared" ref="T55:BA55" si="91">+T21</f>
        <v>32613.5</v>
      </c>
      <c r="U55" s="142">
        <f t="shared" si="91"/>
        <v>36710</v>
      </c>
      <c r="V55" s="142">
        <f t="shared" si="91"/>
        <v>38013.9</v>
      </c>
      <c r="W55" s="142">
        <f t="shared" si="91"/>
        <v>39360.699999999997</v>
      </c>
      <c r="X55" s="142">
        <f t="shared" si="91"/>
        <v>39917.199999999997</v>
      </c>
      <c r="Y55" s="142">
        <f t="shared" si="91"/>
        <v>40634.699999999997</v>
      </c>
      <c r="Z55" s="142">
        <f t="shared" si="91"/>
        <v>42121.9</v>
      </c>
      <c r="AA55" s="142">
        <f t="shared" si="91"/>
        <v>43033.700000000004</v>
      </c>
      <c r="AB55" s="142">
        <f t="shared" si="91"/>
        <v>43055</v>
      </c>
      <c r="AC55" s="142">
        <f t="shared" si="91"/>
        <v>44702.6</v>
      </c>
      <c r="AD55" s="142">
        <f t="shared" si="91"/>
        <v>46362</v>
      </c>
      <c r="AE55" s="142">
        <f t="shared" si="91"/>
        <v>47626.9</v>
      </c>
      <c r="AF55" s="142">
        <f t="shared" si="91"/>
        <v>51605.7</v>
      </c>
      <c r="AG55" s="142">
        <f t="shared" si="91"/>
        <v>52746.9</v>
      </c>
      <c r="AH55" s="142">
        <f t="shared" si="91"/>
        <v>53288.3</v>
      </c>
      <c r="AI55" s="142">
        <f t="shared" si="91"/>
        <v>55529</v>
      </c>
      <c r="AJ55" s="298">
        <f t="shared" si="91"/>
        <v>57945.8</v>
      </c>
      <c r="AK55" s="298">
        <f t="shared" si="91"/>
        <v>61148.600000000006</v>
      </c>
      <c r="AL55" s="298">
        <f t="shared" si="91"/>
        <v>62203.199999999997</v>
      </c>
      <c r="AM55" s="298">
        <f t="shared" si="91"/>
        <v>65485.7</v>
      </c>
      <c r="AN55" s="298">
        <f t="shared" si="91"/>
        <v>66915.199999999997</v>
      </c>
      <c r="AO55" s="298">
        <f t="shared" si="91"/>
        <v>71157.100000000006</v>
      </c>
      <c r="AP55" s="298">
        <f t="shared" si="91"/>
        <v>73231.299999999988</v>
      </c>
      <c r="AQ55" s="298">
        <f t="shared" si="91"/>
        <v>75954.3</v>
      </c>
      <c r="AR55" s="298">
        <f t="shared" si="91"/>
        <v>77142.5</v>
      </c>
      <c r="AS55" s="298">
        <f t="shared" si="91"/>
        <v>78327.8</v>
      </c>
      <c r="AT55" s="298">
        <f t="shared" si="91"/>
        <v>69089.100000000006</v>
      </c>
      <c r="AU55" s="298">
        <f t="shared" si="91"/>
        <v>71464.2</v>
      </c>
      <c r="AV55" s="298">
        <f t="shared" si="91"/>
        <v>72644.399999999994</v>
      </c>
      <c r="AW55" s="298">
        <f t="shared" si="91"/>
        <v>68274.899999999994</v>
      </c>
      <c r="AX55" s="298">
        <f t="shared" si="91"/>
        <v>67933.5</v>
      </c>
      <c r="AY55" s="298">
        <f t="shared" si="91"/>
        <v>55872.9</v>
      </c>
      <c r="AZ55" s="298">
        <f t="shared" si="91"/>
        <v>56099.4</v>
      </c>
      <c r="BA55" s="298">
        <f t="shared" si="91"/>
        <v>67329.8</v>
      </c>
      <c r="BB55" s="298">
        <f t="shared" ref="BB55:BG55" si="92">+BB21</f>
        <v>68848.800000000003</v>
      </c>
      <c r="BC55" s="298">
        <f t="shared" si="92"/>
        <v>73048.7</v>
      </c>
      <c r="BD55" s="298">
        <f t="shared" si="92"/>
        <v>76367.5</v>
      </c>
      <c r="BE55" s="298">
        <f t="shared" si="92"/>
        <v>77272.800000000003</v>
      </c>
      <c r="BF55" s="298">
        <f t="shared" si="92"/>
        <v>67333.7</v>
      </c>
      <c r="BG55" s="298">
        <f t="shared" si="92"/>
        <v>74337.399999999994</v>
      </c>
      <c r="BH55" s="298">
        <f t="shared" ref="BH55:CJ55" si="93">+BH21</f>
        <v>86136.7</v>
      </c>
      <c r="BI55" s="298">
        <f t="shared" si="93"/>
        <v>92930.8</v>
      </c>
      <c r="BJ55" s="298">
        <f t="shared" ref="BJ55:CD55" si="94">+BJ21</f>
        <v>46142.799999999996</v>
      </c>
      <c r="BK55" s="298">
        <f t="shared" si="94"/>
        <v>56076.600000000006</v>
      </c>
      <c r="BL55" s="298">
        <f t="shared" si="94"/>
        <v>74662.3</v>
      </c>
      <c r="BM55" s="298">
        <f t="shared" si="94"/>
        <v>116461.8</v>
      </c>
      <c r="BN55" s="298">
        <f t="shared" si="94"/>
        <v>129110.1</v>
      </c>
      <c r="BO55" s="298">
        <f t="shared" si="94"/>
        <v>137068.79999999999</v>
      </c>
      <c r="BP55" s="298">
        <f t="shared" si="94"/>
        <v>143479.79999999999</v>
      </c>
      <c r="BQ55" s="298">
        <f t="shared" si="94"/>
        <v>122978</v>
      </c>
      <c r="BR55" s="298">
        <f t="shared" si="94"/>
        <v>125430.5</v>
      </c>
      <c r="BS55" s="298">
        <f t="shared" si="94"/>
        <v>129297.5</v>
      </c>
      <c r="BT55" s="298">
        <f t="shared" si="94"/>
        <v>130833</v>
      </c>
      <c r="BU55" s="298">
        <f t="shared" si="94"/>
        <v>133672.20000000001</v>
      </c>
      <c r="BV55" s="298">
        <f t="shared" si="94"/>
        <v>133849.1</v>
      </c>
      <c r="BW55" s="298">
        <f t="shared" si="94"/>
        <v>130383.79999999999</v>
      </c>
      <c r="BX55" s="298">
        <f t="shared" si="94"/>
        <v>127043.2</v>
      </c>
      <c r="BY55" s="298">
        <f t="shared" si="94"/>
        <v>128725</v>
      </c>
      <c r="BZ55" s="298">
        <f t="shared" si="94"/>
        <v>120689.5</v>
      </c>
      <c r="CA55" s="298">
        <f t="shared" si="94"/>
        <v>113931.6</v>
      </c>
      <c r="CB55" s="298">
        <f t="shared" si="94"/>
        <v>114769.3</v>
      </c>
      <c r="CC55" s="298">
        <f t="shared" si="94"/>
        <v>103219.29999999999</v>
      </c>
      <c r="CD55" s="298">
        <f t="shared" si="94"/>
        <v>106494.5</v>
      </c>
      <c r="CE55" s="298">
        <f t="shared" ref="CE55" si="95">+CE21</f>
        <v>105198.7</v>
      </c>
      <c r="CF55" s="298">
        <f t="shared" ref="CF55:CI55" si="96">+CF21</f>
        <v>101049.70000000001</v>
      </c>
      <c r="CG55" s="298">
        <f t="shared" si="96"/>
        <v>104287.7</v>
      </c>
      <c r="CH55" s="298">
        <f t="shared" si="96"/>
        <v>95183.4</v>
      </c>
      <c r="CI55" s="298">
        <f t="shared" si="96"/>
        <v>101176.1</v>
      </c>
      <c r="CJ55" s="298">
        <f t="shared" si="93"/>
        <v>113062.7</v>
      </c>
      <c r="CK55" s="146">
        <f t="shared" si="86"/>
        <v>0.24076517459423755</v>
      </c>
    </row>
    <row r="56" spans="2:89" ht="15" x14ac:dyDescent="0.3">
      <c r="B56" s="160" t="s">
        <v>120</v>
      </c>
      <c r="C56" s="142">
        <f t="shared" ref="C56:N56" si="97">+C27</f>
        <v>200554.2</v>
      </c>
      <c r="D56" s="142">
        <f t="shared" si="97"/>
        <v>202681.7</v>
      </c>
      <c r="E56" s="142">
        <f t="shared" si="97"/>
        <v>199729.3</v>
      </c>
      <c r="F56" s="142">
        <f t="shared" si="97"/>
        <v>196602</v>
      </c>
      <c r="G56" s="142">
        <f t="shared" si="97"/>
        <v>194053.5</v>
      </c>
      <c r="H56" s="142">
        <f t="shared" si="97"/>
        <v>195133.8</v>
      </c>
      <c r="I56" s="142">
        <f t="shared" si="97"/>
        <v>195882.19999999998</v>
      </c>
      <c r="J56" s="142">
        <f t="shared" si="97"/>
        <v>183254.39999999999</v>
      </c>
      <c r="K56" s="142">
        <f t="shared" si="97"/>
        <v>182387.7</v>
      </c>
      <c r="L56" s="142">
        <f t="shared" si="97"/>
        <v>182420.5</v>
      </c>
      <c r="M56" s="142">
        <f t="shared" si="97"/>
        <v>181690.6</v>
      </c>
      <c r="N56" s="142">
        <f t="shared" si="97"/>
        <v>182562.69999999998</v>
      </c>
      <c r="O56" s="142">
        <f t="shared" ref="O56:P56" si="98">+O27</f>
        <v>183612.4</v>
      </c>
      <c r="P56" s="142">
        <f t="shared" si="98"/>
        <v>184126.4</v>
      </c>
      <c r="Q56" s="142">
        <f t="shared" ref="Q56:R56" si="99">+Q27</f>
        <v>184600.09999999998</v>
      </c>
      <c r="R56" s="142">
        <f t="shared" si="99"/>
        <v>185011</v>
      </c>
      <c r="S56" s="142">
        <f t="shared" ref="S56" si="100">+S27</f>
        <v>183308.79999999999</v>
      </c>
      <c r="T56" s="142">
        <f t="shared" ref="T56:BA56" si="101">+T27</f>
        <v>183860.09999999998</v>
      </c>
      <c r="U56" s="142">
        <f t="shared" si="101"/>
        <v>180039</v>
      </c>
      <c r="V56" s="142">
        <f t="shared" si="101"/>
        <v>180000.5</v>
      </c>
      <c r="W56" s="142">
        <f t="shared" si="101"/>
        <v>197545.2</v>
      </c>
      <c r="X56" s="142">
        <f t="shared" si="101"/>
        <v>197525.1</v>
      </c>
      <c r="Y56" s="142">
        <f t="shared" si="101"/>
        <v>198086</v>
      </c>
      <c r="Z56" s="142">
        <f t="shared" si="101"/>
        <v>199581.8</v>
      </c>
      <c r="AA56" s="142">
        <f t="shared" si="101"/>
        <v>199265.09999999998</v>
      </c>
      <c r="AB56" s="142">
        <f t="shared" si="101"/>
        <v>199166.5</v>
      </c>
      <c r="AC56" s="142">
        <f t="shared" si="101"/>
        <v>199081.7</v>
      </c>
      <c r="AD56" s="142">
        <f t="shared" si="101"/>
        <v>198945.90000000002</v>
      </c>
      <c r="AE56" s="142">
        <f t="shared" si="101"/>
        <v>198926.2</v>
      </c>
      <c r="AF56" s="142">
        <f t="shared" si="101"/>
        <v>198944.6</v>
      </c>
      <c r="AG56" s="142">
        <f t="shared" si="101"/>
        <v>198617</v>
      </c>
      <c r="AH56" s="142">
        <f t="shared" si="101"/>
        <v>198504.3</v>
      </c>
      <c r="AI56" s="142">
        <f t="shared" si="101"/>
        <v>200456</v>
      </c>
      <c r="AJ56" s="298">
        <f t="shared" si="101"/>
        <v>200901.3</v>
      </c>
      <c r="AK56" s="298">
        <f t="shared" si="101"/>
        <v>202459.09999999998</v>
      </c>
      <c r="AL56" s="298">
        <f t="shared" si="101"/>
        <v>204334.9</v>
      </c>
      <c r="AM56" s="298">
        <f t="shared" si="101"/>
        <v>203879</v>
      </c>
      <c r="AN56" s="298">
        <f t="shared" si="101"/>
        <v>203782.1</v>
      </c>
      <c r="AO56" s="298">
        <f t="shared" si="101"/>
        <v>203760.90000000002</v>
      </c>
      <c r="AP56" s="298">
        <f t="shared" si="101"/>
        <v>204131.90000000002</v>
      </c>
      <c r="AQ56" s="298">
        <f t="shared" si="101"/>
        <v>204095.09999999998</v>
      </c>
      <c r="AR56" s="298">
        <f t="shared" si="101"/>
        <v>204303.1</v>
      </c>
      <c r="AS56" s="298">
        <f t="shared" si="101"/>
        <v>204336.90000000002</v>
      </c>
      <c r="AT56" s="298">
        <f t="shared" si="101"/>
        <v>204627.3</v>
      </c>
      <c r="AU56" s="298">
        <f t="shared" si="101"/>
        <v>207319.8</v>
      </c>
      <c r="AV56" s="298">
        <f t="shared" si="101"/>
        <v>208878.09999999998</v>
      </c>
      <c r="AW56" s="298">
        <f t="shared" si="101"/>
        <v>209112</v>
      </c>
      <c r="AX56" s="298">
        <f t="shared" si="101"/>
        <v>209958.2</v>
      </c>
      <c r="AY56" s="298">
        <f t="shared" si="101"/>
        <v>209942.2</v>
      </c>
      <c r="AZ56" s="298">
        <f t="shared" si="101"/>
        <v>209908.2</v>
      </c>
      <c r="BA56" s="298">
        <f t="shared" si="101"/>
        <v>210533</v>
      </c>
      <c r="BB56" s="298">
        <f t="shared" ref="BB56:BG56" si="102">+BB27</f>
        <v>210585.2</v>
      </c>
      <c r="BC56" s="298">
        <f t="shared" si="102"/>
        <v>210622.8</v>
      </c>
      <c r="BD56" s="298">
        <f t="shared" si="102"/>
        <v>211260.59999999998</v>
      </c>
      <c r="BE56" s="298">
        <f t="shared" si="102"/>
        <v>214419.20000000001</v>
      </c>
      <c r="BF56" s="298">
        <f t="shared" si="102"/>
        <v>214670.3</v>
      </c>
      <c r="BG56" s="298">
        <f t="shared" si="102"/>
        <v>216776.09999999998</v>
      </c>
      <c r="BH56" s="298">
        <f t="shared" ref="BH56:CJ56" si="103">+BH27</f>
        <v>215398.3</v>
      </c>
      <c r="BI56" s="298">
        <f t="shared" si="103"/>
        <v>215694.4</v>
      </c>
      <c r="BJ56" s="298">
        <f t="shared" ref="BJ56:CD56" si="104">+BJ27</f>
        <v>216396.7</v>
      </c>
      <c r="BK56" s="298">
        <f t="shared" si="104"/>
        <v>217803.5</v>
      </c>
      <c r="BL56" s="298">
        <f t="shared" si="104"/>
        <v>209149.90000000002</v>
      </c>
      <c r="BM56" s="298">
        <f t="shared" si="104"/>
        <v>208896.2</v>
      </c>
      <c r="BN56" s="298">
        <f t="shared" si="104"/>
        <v>208861.59999999998</v>
      </c>
      <c r="BO56" s="298">
        <f t="shared" si="104"/>
        <v>206809.19999999998</v>
      </c>
      <c r="BP56" s="298">
        <f t="shared" si="104"/>
        <v>206744.1</v>
      </c>
      <c r="BQ56" s="298">
        <f t="shared" si="104"/>
        <v>205807.3</v>
      </c>
      <c r="BR56" s="298">
        <f t="shared" si="104"/>
        <v>206426.1</v>
      </c>
      <c r="BS56" s="298">
        <f t="shared" si="104"/>
        <v>206389.40000000002</v>
      </c>
      <c r="BT56" s="298">
        <f t="shared" si="104"/>
        <v>206441.2</v>
      </c>
      <c r="BU56" s="298">
        <f t="shared" si="104"/>
        <v>207067.6</v>
      </c>
      <c r="BV56" s="298">
        <f t="shared" si="104"/>
        <v>208402.7</v>
      </c>
      <c r="BW56" s="298">
        <f t="shared" si="104"/>
        <v>205549</v>
      </c>
      <c r="BX56" s="298">
        <f t="shared" si="104"/>
        <v>205481.09999999998</v>
      </c>
      <c r="BY56" s="298">
        <f t="shared" si="104"/>
        <v>205261.09999999998</v>
      </c>
      <c r="BZ56" s="298">
        <f t="shared" si="104"/>
        <v>206640.60000000003</v>
      </c>
      <c r="CA56" s="298">
        <f t="shared" si="104"/>
        <v>193573.8</v>
      </c>
      <c r="CB56" s="298">
        <f t="shared" si="104"/>
        <v>192454.09999999998</v>
      </c>
      <c r="CC56" s="298">
        <f t="shared" si="104"/>
        <v>191126.3</v>
      </c>
      <c r="CD56" s="298">
        <f t="shared" si="104"/>
        <v>187951.09999999998</v>
      </c>
      <c r="CE56" s="298">
        <f t="shared" ref="CE56" si="105">+CE27</f>
        <v>187653</v>
      </c>
      <c r="CF56" s="298">
        <f t="shared" ref="CF56:CI56" si="106">+CF27</f>
        <v>187672.2</v>
      </c>
      <c r="CG56" s="298">
        <f t="shared" si="106"/>
        <v>187577.2</v>
      </c>
      <c r="CH56" s="298">
        <f t="shared" si="106"/>
        <v>197918.9</v>
      </c>
      <c r="CI56" s="298">
        <f t="shared" si="106"/>
        <v>195547.2</v>
      </c>
      <c r="CJ56" s="298">
        <f t="shared" si="103"/>
        <v>195737.8</v>
      </c>
      <c r="CK56" s="146">
        <f t="shared" si="86"/>
        <v>0.41682045087983877</v>
      </c>
    </row>
    <row r="57" spans="2:89" ht="15" x14ac:dyDescent="0.3">
      <c r="B57" s="160" t="s">
        <v>121</v>
      </c>
      <c r="C57" s="142">
        <f t="shared" ref="C57:N57" si="107">+C32</f>
        <v>21808.1</v>
      </c>
      <c r="D57" s="142">
        <f t="shared" si="107"/>
        <v>21767.9</v>
      </c>
      <c r="E57" s="142">
        <f t="shared" si="107"/>
        <v>21463</v>
      </c>
      <c r="F57" s="142">
        <f t="shared" si="107"/>
        <v>21479.9</v>
      </c>
      <c r="G57" s="142">
        <f t="shared" si="107"/>
        <v>20650.199999999997</v>
      </c>
      <c r="H57" s="142">
        <f t="shared" si="107"/>
        <v>21020</v>
      </c>
      <c r="I57" s="142">
        <f t="shared" si="107"/>
        <v>20550.800000000003</v>
      </c>
      <c r="J57" s="142">
        <f t="shared" si="107"/>
        <v>20382.2</v>
      </c>
      <c r="K57" s="142">
        <f t="shared" si="107"/>
        <v>20211.099999999999</v>
      </c>
      <c r="L57" s="142">
        <f t="shared" si="107"/>
        <v>20696.400000000001</v>
      </c>
      <c r="M57" s="142">
        <f t="shared" si="107"/>
        <v>20527.900000000001</v>
      </c>
      <c r="N57" s="142">
        <f t="shared" si="107"/>
        <v>20891.400000000001</v>
      </c>
      <c r="O57" s="142">
        <f t="shared" ref="O57:P57" si="108">+O32</f>
        <v>20674.8</v>
      </c>
      <c r="P57" s="142">
        <f t="shared" si="108"/>
        <v>20551.2</v>
      </c>
      <c r="Q57" s="142">
        <f t="shared" ref="Q57:R57" si="109">+Q32</f>
        <v>20544.5</v>
      </c>
      <c r="R57" s="142">
        <f t="shared" si="109"/>
        <v>20425.800000000003</v>
      </c>
      <c r="S57" s="142">
        <f t="shared" ref="S57" si="110">+S32</f>
        <v>20771.8</v>
      </c>
      <c r="T57" s="142">
        <f t="shared" ref="T57:BA57" si="111">+T32</f>
        <v>21007.499999999996</v>
      </c>
      <c r="U57" s="142">
        <f t="shared" si="111"/>
        <v>22024.9</v>
      </c>
      <c r="V57" s="142">
        <f t="shared" si="111"/>
        <v>22335.4</v>
      </c>
      <c r="W57" s="142">
        <f t="shared" si="111"/>
        <v>7057.3</v>
      </c>
      <c r="X57" s="142">
        <f t="shared" si="111"/>
        <v>7019.8</v>
      </c>
      <c r="Y57" s="142">
        <f t="shared" si="111"/>
        <v>7193.7999999999993</v>
      </c>
      <c r="Z57" s="142">
        <f t="shared" si="111"/>
        <v>7373.3</v>
      </c>
      <c r="AA57" s="142">
        <f t="shared" si="111"/>
        <v>7341.4999999999991</v>
      </c>
      <c r="AB57" s="142">
        <f t="shared" si="111"/>
        <v>7308.4000000000005</v>
      </c>
      <c r="AC57" s="142">
        <f t="shared" si="111"/>
        <v>7101.4000000000005</v>
      </c>
      <c r="AD57" s="142">
        <f t="shared" si="111"/>
        <v>7204.4000000000005</v>
      </c>
      <c r="AE57" s="142">
        <f t="shared" si="111"/>
        <v>7308.3</v>
      </c>
      <c r="AF57" s="142">
        <f t="shared" si="111"/>
        <v>7087.7000000000007</v>
      </c>
      <c r="AG57" s="142">
        <f t="shared" si="111"/>
        <v>7025.2000000000007</v>
      </c>
      <c r="AH57" s="142">
        <f t="shared" si="111"/>
        <v>6991.9</v>
      </c>
      <c r="AI57" s="142">
        <f t="shared" si="111"/>
        <v>6859.2</v>
      </c>
      <c r="AJ57" s="298">
        <f t="shared" si="111"/>
        <v>6847.2</v>
      </c>
      <c r="AK57" s="298">
        <f t="shared" si="111"/>
        <v>6680.6</v>
      </c>
      <c r="AL57" s="298">
        <f t="shared" si="111"/>
        <v>6708.9</v>
      </c>
      <c r="AM57" s="298">
        <f t="shared" si="111"/>
        <v>6695.2</v>
      </c>
      <c r="AN57" s="298">
        <f t="shared" si="111"/>
        <v>6609.5</v>
      </c>
      <c r="AO57" s="298">
        <f t="shared" si="111"/>
        <v>6520.5999999999995</v>
      </c>
      <c r="AP57" s="298">
        <f t="shared" si="111"/>
        <v>6207.0999999999995</v>
      </c>
      <c r="AQ57" s="298">
        <f t="shared" si="111"/>
        <v>6299.9</v>
      </c>
      <c r="AR57" s="298">
        <f t="shared" si="111"/>
        <v>6158.4</v>
      </c>
      <c r="AS57" s="298">
        <f t="shared" si="111"/>
        <v>6012.6</v>
      </c>
      <c r="AT57" s="298">
        <f t="shared" si="111"/>
        <v>5924.2000000000007</v>
      </c>
      <c r="AU57" s="298">
        <f t="shared" si="111"/>
        <v>5783.3</v>
      </c>
      <c r="AV57" s="298">
        <f t="shared" si="111"/>
        <v>6115.5</v>
      </c>
      <c r="AW57" s="298">
        <f t="shared" si="111"/>
        <v>6417.1</v>
      </c>
      <c r="AX57" s="298">
        <f t="shared" si="111"/>
        <v>6522.7999999999993</v>
      </c>
      <c r="AY57" s="298">
        <f t="shared" si="111"/>
        <v>6619.7000000000007</v>
      </c>
      <c r="AZ57" s="298">
        <f t="shared" si="111"/>
        <v>6446.4000000000005</v>
      </c>
      <c r="BA57" s="298">
        <f t="shared" si="111"/>
        <v>6529.2</v>
      </c>
      <c r="BB57" s="298">
        <f t="shared" ref="BB57:BG57" si="112">+BB32</f>
        <v>6629.7000000000007</v>
      </c>
      <c r="BC57" s="298">
        <f t="shared" si="112"/>
        <v>6409.1</v>
      </c>
      <c r="BD57" s="298">
        <f t="shared" si="112"/>
        <v>6555.4999999999991</v>
      </c>
      <c r="BE57" s="298">
        <f t="shared" si="112"/>
        <v>6614.9</v>
      </c>
      <c r="BF57" s="298">
        <f t="shared" si="112"/>
        <v>6530.3</v>
      </c>
      <c r="BG57" s="298">
        <f t="shared" si="112"/>
        <v>6367.4</v>
      </c>
      <c r="BH57" s="298">
        <f t="shared" ref="BH57:CJ57" si="113">+BH32</f>
        <v>6290.5</v>
      </c>
      <c r="BI57" s="298">
        <f t="shared" si="113"/>
        <v>6456.8</v>
      </c>
      <c r="BJ57" s="298">
        <f t="shared" ref="BJ57:CD57" si="114">+BJ32</f>
        <v>6546.7</v>
      </c>
      <c r="BK57" s="298">
        <f t="shared" si="114"/>
        <v>6416</v>
      </c>
      <c r="BL57" s="298">
        <f t="shared" si="114"/>
        <v>6406.1</v>
      </c>
      <c r="BM57" s="298">
        <f t="shared" si="114"/>
        <v>6316.8</v>
      </c>
      <c r="BN57" s="298">
        <f t="shared" si="114"/>
        <v>6232.0999999999995</v>
      </c>
      <c r="BO57" s="298">
        <f t="shared" si="114"/>
        <v>6314.5</v>
      </c>
      <c r="BP57" s="298">
        <f t="shared" si="114"/>
        <v>6234.0000000000009</v>
      </c>
      <c r="BQ57" s="298">
        <f t="shared" si="114"/>
        <v>6248.9000000000005</v>
      </c>
      <c r="BR57" s="298">
        <f t="shared" si="114"/>
        <v>6373.8000000000011</v>
      </c>
      <c r="BS57" s="298">
        <f t="shared" si="114"/>
        <v>6336.2</v>
      </c>
      <c r="BT57" s="298">
        <f t="shared" si="114"/>
        <v>6194.3</v>
      </c>
      <c r="BU57" s="298">
        <f t="shared" si="114"/>
        <v>6020.7</v>
      </c>
      <c r="BV57" s="298">
        <f t="shared" si="114"/>
        <v>5870.9000000000005</v>
      </c>
      <c r="BW57" s="298">
        <f t="shared" si="114"/>
        <v>5767.7</v>
      </c>
      <c r="BX57" s="298">
        <f t="shared" si="114"/>
        <v>5774.2</v>
      </c>
      <c r="BY57" s="298">
        <f t="shared" si="114"/>
        <v>5916.4</v>
      </c>
      <c r="BZ57" s="298">
        <f t="shared" si="114"/>
        <v>6188.5</v>
      </c>
      <c r="CA57" s="298">
        <f t="shared" si="114"/>
        <v>6175.9</v>
      </c>
      <c r="CB57" s="298">
        <f t="shared" si="114"/>
        <v>6406.2</v>
      </c>
      <c r="CC57" s="298">
        <f t="shared" si="114"/>
        <v>6083.2</v>
      </c>
      <c r="CD57" s="298">
        <f t="shared" si="114"/>
        <v>6231.8</v>
      </c>
      <c r="CE57" s="298">
        <f t="shared" ref="CE57" si="115">+CE32</f>
        <v>6151.1</v>
      </c>
      <c r="CF57" s="298">
        <f t="shared" ref="CF57:CI57" si="116">+CF32</f>
        <v>6023.9</v>
      </c>
      <c r="CG57" s="298">
        <f t="shared" si="116"/>
        <v>6054.7</v>
      </c>
      <c r="CH57" s="298">
        <f t="shared" si="116"/>
        <v>6119.2000000000007</v>
      </c>
      <c r="CI57" s="298">
        <f t="shared" si="116"/>
        <v>6047.0999999999995</v>
      </c>
      <c r="CJ57" s="298">
        <f t="shared" si="113"/>
        <v>6028.8</v>
      </c>
      <c r="CK57" s="146">
        <f t="shared" si="86"/>
        <v>1.2838231216782717E-2</v>
      </c>
    </row>
    <row r="58" spans="2:89" ht="15" x14ac:dyDescent="0.3">
      <c r="B58" s="160" t="s">
        <v>122</v>
      </c>
      <c r="C58" s="142">
        <f t="shared" ref="C58:N58" si="117">+C37</f>
        <v>1117.7</v>
      </c>
      <c r="D58" s="142">
        <f t="shared" si="117"/>
        <v>1095.9000000000001</v>
      </c>
      <c r="E58" s="142">
        <f t="shared" si="117"/>
        <v>1108.5999999999999</v>
      </c>
      <c r="F58" s="142">
        <f t="shared" si="117"/>
        <v>1109.0999999999999</v>
      </c>
      <c r="G58" s="142">
        <f t="shared" si="117"/>
        <v>754.4</v>
      </c>
      <c r="H58" s="142">
        <f t="shared" si="117"/>
        <v>760.8</v>
      </c>
      <c r="I58" s="142">
        <f t="shared" si="117"/>
        <v>754.5</v>
      </c>
      <c r="J58" s="142">
        <f t="shared" si="117"/>
        <v>779.6</v>
      </c>
      <c r="K58" s="142">
        <f t="shared" si="117"/>
        <v>769.1</v>
      </c>
      <c r="L58" s="142">
        <f t="shared" si="117"/>
        <v>769.4</v>
      </c>
      <c r="M58" s="142">
        <f t="shared" si="117"/>
        <v>753.8</v>
      </c>
      <c r="N58" s="142">
        <f t="shared" si="117"/>
        <v>760</v>
      </c>
      <c r="O58" s="142">
        <f t="shared" ref="O58:P58" si="118">+O37</f>
        <v>761.6</v>
      </c>
      <c r="P58" s="142">
        <f t="shared" si="118"/>
        <v>763.8</v>
      </c>
      <c r="Q58" s="142">
        <f t="shared" ref="Q58:R58" si="119">+Q37</f>
        <v>766.5</v>
      </c>
      <c r="R58" s="142">
        <f t="shared" si="119"/>
        <v>769</v>
      </c>
      <c r="S58" s="142">
        <f t="shared" ref="S58" si="120">+S37</f>
        <v>801.4</v>
      </c>
      <c r="T58" s="142">
        <f t="shared" ref="T58:BA58" si="121">+T37</f>
        <v>800.3</v>
      </c>
      <c r="U58" s="142">
        <f t="shared" si="121"/>
        <v>815.7</v>
      </c>
      <c r="V58" s="142">
        <f t="shared" si="121"/>
        <v>815.6</v>
      </c>
      <c r="W58" s="142">
        <f t="shared" si="121"/>
        <v>819</v>
      </c>
      <c r="X58" s="142">
        <f t="shared" si="121"/>
        <v>825.3</v>
      </c>
      <c r="Y58" s="142">
        <f t="shared" si="121"/>
        <v>822.8</v>
      </c>
      <c r="Z58" s="142">
        <f t="shared" si="121"/>
        <v>831</v>
      </c>
      <c r="AA58" s="142">
        <f t="shared" si="121"/>
        <v>819.6</v>
      </c>
      <c r="AB58" s="142">
        <f t="shared" si="121"/>
        <v>805</v>
      </c>
      <c r="AC58" s="142">
        <f t="shared" si="121"/>
        <v>775</v>
      </c>
      <c r="AD58" s="142">
        <f t="shared" si="121"/>
        <v>743.8</v>
      </c>
      <c r="AE58" s="142">
        <f t="shared" si="121"/>
        <v>736.8</v>
      </c>
      <c r="AF58" s="142">
        <f t="shared" si="121"/>
        <v>726.4</v>
      </c>
      <c r="AG58" s="142">
        <f t="shared" si="121"/>
        <v>683.8</v>
      </c>
      <c r="AH58" s="142">
        <f t="shared" si="121"/>
        <v>681.8</v>
      </c>
      <c r="AI58" s="142">
        <f t="shared" si="121"/>
        <v>674.1</v>
      </c>
      <c r="AJ58" s="298">
        <f t="shared" si="121"/>
        <v>658</v>
      </c>
      <c r="AK58" s="298">
        <f t="shared" si="121"/>
        <v>658</v>
      </c>
      <c r="AL58" s="298">
        <f t="shared" si="121"/>
        <v>646.9</v>
      </c>
      <c r="AM58" s="298">
        <f t="shared" si="121"/>
        <v>646.70000000000005</v>
      </c>
      <c r="AN58" s="298">
        <f t="shared" si="121"/>
        <v>604.79999999999995</v>
      </c>
      <c r="AO58" s="298">
        <f t="shared" si="121"/>
        <v>571.6</v>
      </c>
      <c r="AP58" s="298">
        <f t="shared" si="121"/>
        <v>535.70000000000005</v>
      </c>
      <c r="AQ58" s="298">
        <f t="shared" si="121"/>
        <v>536</v>
      </c>
      <c r="AR58" s="298">
        <f t="shared" si="121"/>
        <v>508.2</v>
      </c>
      <c r="AS58" s="298">
        <f t="shared" si="121"/>
        <v>517.9</v>
      </c>
      <c r="AT58" s="298">
        <f t="shared" si="121"/>
        <v>496.4</v>
      </c>
      <c r="AU58" s="298">
        <f t="shared" si="121"/>
        <v>476.5</v>
      </c>
      <c r="AV58" s="298">
        <f t="shared" si="121"/>
        <v>583.6</v>
      </c>
      <c r="AW58" s="298">
        <f t="shared" si="121"/>
        <v>624.6</v>
      </c>
      <c r="AX58" s="298">
        <f t="shared" si="121"/>
        <v>623.79999999999995</v>
      </c>
      <c r="AY58" s="298">
        <f t="shared" si="121"/>
        <v>628.70000000000005</v>
      </c>
      <c r="AZ58" s="298">
        <f t="shared" si="121"/>
        <v>600.5</v>
      </c>
      <c r="BA58" s="298">
        <f t="shared" si="121"/>
        <v>582.5</v>
      </c>
      <c r="BB58" s="298">
        <f t="shared" ref="BB58:BG58" si="122">+BB37</f>
        <v>567.6</v>
      </c>
      <c r="BC58" s="298">
        <f t="shared" si="122"/>
        <v>551.1</v>
      </c>
      <c r="BD58" s="298">
        <f t="shared" si="122"/>
        <v>532.1</v>
      </c>
      <c r="BE58" s="298">
        <f t="shared" si="122"/>
        <v>539.70000000000005</v>
      </c>
      <c r="BF58" s="298">
        <f t="shared" si="122"/>
        <v>527.6</v>
      </c>
      <c r="BG58" s="298">
        <f t="shared" si="122"/>
        <v>514.1</v>
      </c>
      <c r="BH58" s="298">
        <f t="shared" ref="BH58:CJ58" si="123">+BH37</f>
        <v>476.9</v>
      </c>
      <c r="BI58" s="298">
        <f t="shared" si="123"/>
        <v>484</v>
      </c>
      <c r="BJ58" s="298">
        <f t="shared" ref="BJ58:CD58" si="124">+BJ37</f>
        <v>508.9</v>
      </c>
      <c r="BK58" s="298">
        <f t="shared" si="124"/>
        <v>488.4</v>
      </c>
      <c r="BL58" s="298">
        <f t="shared" si="124"/>
        <v>478.3</v>
      </c>
      <c r="BM58" s="298">
        <f t="shared" si="124"/>
        <v>441.6</v>
      </c>
      <c r="BN58" s="298">
        <f t="shared" si="124"/>
        <v>423.3</v>
      </c>
      <c r="BO58" s="298">
        <f t="shared" si="124"/>
        <v>424.7</v>
      </c>
      <c r="BP58" s="298">
        <f t="shared" si="124"/>
        <v>412.3</v>
      </c>
      <c r="BQ58" s="298">
        <f t="shared" si="124"/>
        <v>442.1</v>
      </c>
      <c r="BR58" s="298">
        <f t="shared" si="124"/>
        <v>453.9</v>
      </c>
      <c r="BS58" s="298">
        <f t="shared" si="124"/>
        <v>427.3</v>
      </c>
      <c r="BT58" s="298">
        <f t="shared" si="124"/>
        <v>403.7</v>
      </c>
      <c r="BU58" s="298">
        <f t="shared" si="124"/>
        <v>410</v>
      </c>
      <c r="BV58" s="298">
        <f t="shared" si="124"/>
        <v>387.4</v>
      </c>
      <c r="BW58" s="298">
        <f t="shared" si="124"/>
        <v>392.5</v>
      </c>
      <c r="BX58" s="298">
        <f t="shared" si="124"/>
        <v>404.3</v>
      </c>
      <c r="BY58" s="298">
        <f t="shared" si="124"/>
        <v>368</v>
      </c>
      <c r="BZ58" s="298">
        <f t="shared" si="124"/>
        <v>385.9</v>
      </c>
      <c r="CA58" s="298">
        <f t="shared" si="124"/>
        <v>383.6</v>
      </c>
      <c r="CB58" s="298">
        <f t="shared" si="124"/>
        <v>379.9</v>
      </c>
      <c r="CC58" s="298">
        <f t="shared" si="124"/>
        <v>362.9</v>
      </c>
      <c r="CD58" s="298">
        <f t="shared" si="124"/>
        <v>372.2</v>
      </c>
      <c r="CE58" s="298">
        <f t="shared" ref="CE58" si="125">+CE37</f>
        <v>331.4</v>
      </c>
      <c r="CF58" s="298">
        <f t="shared" ref="CF58:CI58" si="126">+CF37</f>
        <v>318.3</v>
      </c>
      <c r="CG58" s="298">
        <f t="shared" si="126"/>
        <v>313.89999999999998</v>
      </c>
      <c r="CH58" s="298">
        <f t="shared" si="126"/>
        <v>309.8</v>
      </c>
      <c r="CI58" s="298">
        <f t="shared" si="126"/>
        <v>313.39999999999998</v>
      </c>
      <c r="CJ58" s="298">
        <f t="shared" si="123"/>
        <v>310.89999999999998</v>
      </c>
      <c r="CK58" s="146">
        <f t="shared" si="86"/>
        <v>6.6205647646260391E-4</v>
      </c>
    </row>
    <row r="59" spans="2:89" ht="15" x14ac:dyDescent="0.3">
      <c r="B59" s="160" t="s">
        <v>123</v>
      </c>
      <c r="C59" s="142">
        <f t="shared" ref="C59:N59" si="127">+C40</f>
        <v>28330.7</v>
      </c>
      <c r="D59" s="142">
        <f t="shared" si="127"/>
        <v>28275.200000000001</v>
      </c>
      <c r="E59" s="142">
        <f t="shared" si="127"/>
        <v>28079</v>
      </c>
      <c r="F59" s="142">
        <f t="shared" si="127"/>
        <v>38837.1</v>
      </c>
      <c r="G59" s="142">
        <f t="shared" si="127"/>
        <v>38607</v>
      </c>
      <c r="H59" s="142">
        <f t="shared" si="127"/>
        <v>38955</v>
      </c>
      <c r="I59" s="142">
        <f t="shared" si="127"/>
        <v>44234.8</v>
      </c>
      <c r="J59" s="142">
        <f t="shared" si="127"/>
        <v>43684</v>
      </c>
      <c r="K59" s="142">
        <f t="shared" si="127"/>
        <v>43523.199999999997</v>
      </c>
      <c r="L59" s="142">
        <f t="shared" si="127"/>
        <v>44032.800000000003</v>
      </c>
      <c r="M59" s="142">
        <f t="shared" si="127"/>
        <v>43827.3</v>
      </c>
      <c r="N59" s="142">
        <f t="shared" si="127"/>
        <v>44141.599999999999</v>
      </c>
      <c r="O59" s="142">
        <f t="shared" ref="O59:P59" si="128">+O40</f>
        <v>43953.2</v>
      </c>
      <c r="P59" s="142">
        <f t="shared" si="128"/>
        <v>43838.5</v>
      </c>
      <c r="Q59" s="142">
        <f t="shared" ref="Q59:R59" si="129">+Q40</f>
        <v>43569.3</v>
      </c>
      <c r="R59" s="142">
        <f t="shared" si="129"/>
        <v>43616.3</v>
      </c>
      <c r="S59" s="142">
        <f t="shared" ref="S59" si="130">+S40</f>
        <v>43795.8</v>
      </c>
      <c r="T59" s="142">
        <f t="shared" ref="T59:BA59" si="131">+T40</f>
        <v>43915.5</v>
      </c>
      <c r="U59" s="142">
        <f t="shared" si="131"/>
        <v>45106.9</v>
      </c>
      <c r="V59" s="142">
        <f t="shared" si="131"/>
        <v>45292.5</v>
      </c>
      <c r="W59" s="142">
        <f t="shared" si="131"/>
        <v>44935.5</v>
      </c>
      <c r="X59" s="142">
        <f t="shared" si="131"/>
        <v>45061.7</v>
      </c>
      <c r="Y59" s="142">
        <f t="shared" si="131"/>
        <v>45746.3</v>
      </c>
      <c r="Z59" s="142">
        <f t="shared" si="131"/>
        <v>45976</v>
      </c>
      <c r="AA59" s="142">
        <f t="shared" si="131"/>
        <v>45989.2</v>
      </c>
      <c r="AB59" s="142">
        <f t="shared" si="131"/>
        <v>45942.9</v>
      </c>
      <c r="AC59" s="142">
        <f t="shared" si="131"/>
        <v>45239.6</v>
      </c>
      <c r="AD59" s="142">
        <f t="shared" si="131"/>
        <v>45836.7</v>
      </c>
      <c r="AE59" s="142">
        <f t="shared" si="131"/>
        <v>46114.8</v>
      </c>
      <c r="AF59" s="142">
        <f t="shared" si="131"/>
        <v>45528.5</v>
      </c>
      <c r="AG59" s="142">
        <f t="shared" si="131"/>
        <v>45606.6</v>
      </c>
      <c r="AH59" s="142">
        <f t="shared" si="131"/>
        <v>45463.7</v>
      </c>
      <c r="AI59" s="142">
        <f t="shared" si="131"/>
        <v>43101.3</v>
      </c>
      <c r="AJ59" s="298">
        <f t="shared" si="131"/>
        <v>43302.1</v>
      </c>
      <c r="AK59" s="298">
        <f t="shared" si="131"/>
        <v>42853.2</v>
      </c>
      <c r="AL59" s="298">
        <f t="shared" si="131"/>
        <v>40959.5</v>
      </c>
      <c r="AM59" s="298">
        <f t="shared" si="131"/>
        <v>40010.800000000003</v>
      </c>
      <c r="AN59" s="298">
        <f t="shared" si="131"/>
        <v>40100.1</v>
      </c>
      <c r="AO59" s="298">
        <f t="shared" si="131"/>
        <v>46632</v>
      </c>
      <c r="AP59" s="298">
        <f t="shared" si="131"/>
        <v>44658</v>
      </c>
      <c r="AQ59" s="298">
        <f t="shared" si="131"/>
        <v>44838.8</v>
      </c>
      <c r="AR59" s="298">
        <f t="shared" si="131"/>
        <v>45421.4</v>
      </c>
      <c r="AS59" s="298">
        <f t="shared" si="131"/>
        <v>43308.2</v>
      </c>
      <c r="AT59" s="298">
        <f t="shared" si="131"/>
        <v>42581.1</v>
      </c>
      <c r="AU59" s="298">
        <f t="shared" si="131"/>
        <v>39300.1</v>
      </c>
      <c r="AV59" s="298">
        <f t="shared" si="131"/>
        <v>40721.4</v>
      </c>
      <c r="AW59" s="298">
        <f t="shared" si="131"/>
        <v>41722.699999999997</v>
      </c>
      <c r="AX59" s="298">
        <f t="shared" si="131"/>
        <v>45706.6</v>
      </c>
      <c r="AY59" s="298">
        <f t="shared" si="131"/>
        <v>43474.8</v>
      </c>
      <c r="AZ59" s="298">
        <f t="shared" si="131"/>
        <v>42839.4</v>
      </c>
      <c r="BA59" s="298">
        <f t="shared" si="131"/>
        <v>46040.800000000003</v>
      </c>
      <c r="BB59" s="298">
        <f t="shared" ref="BB59:BG59" si="132">+BB40</f>
        <v>43442.5</v>
      </c>
      <c r="BC59" s="298">
        <f t="shared" si="132"/>
        <v>42813.9</v>
      </c>
      <c r="BD59" s="298">
        <f t="shared" si="132"/>
        <v>40220.1</v>
      </c>
      <c r="BE59" s="298">
        <f t="shared" si="132"/>
        <v>37956.6</v>
      </c>
      <c r="BF59" s="298">
        <f t="shared" si="132"/>
        <v>43988.6</v>
      </c>
      <c r="BG59" s="298">
        <f t="shared" si="132"/>
        <v>43491.1</v>
      </c>
      <c r="BH59" s="298">
        <f t="shared" ref="BH59:CJ59" si="133">+BH40</f>
        <v>43298.400000000001</v>
      </c>
      <c r="BI59" s="298">
        <f t="shared" si="133"/>
        <v>41466.699999999997</v>
      </c>
      <c r="BJ59" s="298">
        <f t="shared" ref="BJ59:CD59" si="134">+BJ40</f>
        <v>40899</v>
      </c>
      <c r="BK59" s="298">
        <f t="shared" si="134"/>
        <v>43157.3</v>
      </c>
      <c r="BL59" s="298">
        <f t="shared" si="134"/>
        <v>43077.1</v>
      </c>
      <c r="BM59" s="298">
        <f t="shared" si="134"/>
        <v>42963.1</v>
      </c>
      <c r="BN59" s="298">
        <f t="shared" si="134"/>
        <v>40837.5</v>
      </c>
      <c r="BO59" s="298">
        <f t="shared" si="134"/>
        <v>41015.9</v>
      </c>
      <c r="BP59" s="298">
        <f t="shared" si="134"/>
        <v>41546.1</v>
      </c>
      <c r="BQ59" s="298">
        <f t="shared" si="134"/>
        <v>41312.400000000001</v>
      </c>
      <c r="BR59" s="298">
        <f t="shared" si="134"/>
        <v>41879.9</v>
      </c>
      <c r="BS59" s="298">
        <f t="shared" si="134"/>
        <v>42180.9</v>
      </c>
      <c r="BT59" s="298">
        <f t="shared" si="134"/>
        <v>41411.5</v>
      </c>
      <c r="BU59" s="298">
        <f t="shared" si="134"/>
        <v>40861.9</v>
      </c>
      <c r="BV59" s="298">
        <f t="shared" si="134"/>
        <v>40558.199999999997</v>
      </c>
      <c r="BW59" s="298">
        <f t="shared" si="134"/>
        <v>40547.599999999999</v>
      </c>
      <c r="BX59" s="298">
        <f t="shared" si="134"/>
        <v>40712.1</v>
      </c>
      <c r="BY59" s="298">
        <f t="shared" si="134"/>
        <v>41323.4</v>
      </c>
      <c r="BZ59" s="298">
        <f t="shared" si="134"/>
        <v>54597.2</v>
      </c>
      <c r="CA59" s="298">
        <f t="shared" si="134"/>
        <v>54619.5</v>
      </c>
      <c r="CB59" s="298">
        <f t="shared" si="134"/>
        <v>55317.4</v>
      </c>
      <c r="CC59" s="298">
        <f t="shared" si="134"/>
        <v>54545.5</v>
      </c>
      <c r="CD59" s="298">
        <f t="shared" si="134"/>
        <v>57190.400000000001</v>
      </c>
      <c r="CE59" s="298">
        <f t="shared" ref="CE59" si="135">+CE40</f>
        <v>57292.3</v>
      </c>
      <c r="CF59" s="298">
        <f t="shared" ref="CF59:CI59" si="136">+CF40</f>
        <v>56763.1</v>
      </c>
      <c r="CG59" s="298">
        <f t="shared" si="136"/>
        <v>56770.8</v>
      </c>
      <c r="CH59" s="298">
        <f t="shared" si="136"/>
        <v>57229.5</v>
      </c>
      <c r="CI59" s="298">
        <f t="shared" si="136"/>
        <v>57743.5</v>
      </c>
      <c r="CJ59" s="298">
        <f t="shared" si="133"/>
        <v>57449.8</v>
      </c>
      <c r="CK59" s="146">
        <f t="shared" si="86"/>
        <v>0.12233841158405052</v>
      </c>
    </row>
    <row r="60" spans="2:89" ht="15" x14ac:dyDescent="0.3">
      <c r="B60" s="160" t="s">
        <v>296</v>
      </c>
      <c r="C60" s="142">
        <f t="shared" ref="C60:N60" si="137">+C43</f>
        <v>665.1</v>
      </c>
      <c r="D60" s="142">
        <f t="shared" si="137"/>
        <v>662.5</v>
      </c>
      <c r="E60" s="142">
        <f t="shared" si="137"/>
        <v>664.4</v>
      </c>
      <c r="F60" s="142">
        <f t="shared" si="137"/>
        <v>651.1</v>
      </c>
      <c r="G60" s="142">
        <f t="shared" si="137"/>
        <v>554.9</v>
      </c>
      <c r="H60" s="142">
        <f t="shared" si="137"/>
        <v>568.29999999999995</v>
      </c>
      <c r="I60" s="142">
        <f t="shared" si="137"/>
        <v>562.20000000000005</v>
      </c>
      <c r="J60" s="142">
        <f t="shared" si="137"/>
        <v>564.5</v>
      </c>
      <c r="K60" s="142">
        <f t="shared" si="137"/>
        <v>560.6</v>
      </c>
      <c r="L60" s="142">
        <f t="shared" si="137"/>
        <v>572.20000000000005</v>
      </c>
      <c r="M60" s="142">
        <f t="shared" si="137"/>
        <v>570.9</v>
      </c>
      <c r="N60" s="142">
        <f t="shared" si="137"/>
        <v>589</v>
      </c>
      <c r="O60" s="142">
        <f t="shared" ref="O60:P60" si="138">+O43</f>
        <v>599</v>
      </c>
      <c r="P60" s="142">
        <f t="shared" si="138"/>
        <v>597.20000000000005</v>
      </c>
      <c r="Q60" s="142">
        <f t="shared" ref="Q60:R60" si="139">+Q43</f>
        <v>597.70000000000005</v>
      </c>
      <c r="R60" s="142">
        <f t="shared" si="139"/>
        <v>606.79999999999995</v>
      </c>
      <c r="S60" s="142">
        <f t="shared" ref="S60" si="140">+S43</f>
        <v>620.9</v>
      </c>
      <c r="T60" s="142">
        <f t="shared" ref="T60:BA60" si="141">+T43</f>
        <v>629.29999999999995</v>
      </c>
      <c r="U60" s="142">
        <f t="shared" si="141"/>
        <v>655.7</v>
      </c>
      <c r="V60" s="142">
        <f t="shared" si="141"/>
        <v>662.1</v>
      </c>
      <c r="W60" s="142">
        <f t="shared" si="141"/>
        <v>218.8</v>
      </c>
      <c r="X60" s="142">
        <f t="shared" si="141"/>
        <v>218.9</v>
      </c>
      <c r="Y60" s="142">
        <f t="shared" si="141"/>
        <v>226.1</v>
      </c>
      <c r="Z60" s="142">
        <f t="shared" si="141"/>
        <v>234.2</v>
      </c>
      <c r="AA60" s="142">
        <f t="shared" si="141"/>
        <v>235.7</v>
      </c>
      <c r="AB60" s="142">
        <f t="shared" si="141"/>
        <v>232.8</v>
      </c>
      <c r="AC60" s="142">
        <f t="shared" si="141"/>
        <v>228.4</v>
      </c>
      <c r="AD60" s="142">
        <f t="shared" si="141"/>
        <v>224.3</v>
      </c>
      <c r="AE60" s="142">
        <f t="shared" si="141"/>
        <v>227.4</v>
      </c>
      <c r="AF60" s="142">
        <f t="shared" si="141"/>
        <v>226.39999999999998</v>
      </c>
      <c r="AG60" s="142">
        <f t="shared" si="141"/>
        <v>214.39999999999998</v>
      </c>
      <c r="AH60" s="142">
        <f t="shared" si="141"/>
        <v>215.89999999999998</v>
      </c>
      <c r="AI60" s="142">
        <f t="shared" si="141"/>
        <v>215.29999999999998</v>
      </c>
      <c r="AJ60" s="298">
        <f t="shared" si="141"/>
        <v>221.8</v>
      </c>
      <c r="AK60" s="298">
        <f t="shared" si="141"/>
        <v>224.6</v>
      </c>
      <c r="AL60" s="298">
        <f t="shared" si="141"/>
        <v>230.7</v>
      </c>
      <c r="AM60" s="298">
        <f t="shared" si="141"/>
        <v>123.4</v>
      </c>
      <c r="AN60" s="298">
        <f t="shared" si="141"/>
        <v>111.10000000000001</v>
      </c>
      <c r="AO60" s="298">
        <f t="shared" si="141"/>
        <v>110.60000000000001</v>
      </c>
      <c r="AP60" s="298">
        <f t="shared" si="141"/>
        <v>105.30000000000001</v>
      </c>
      <c r="AQ60" s="298">
        <f t="shared" si="141"/>
        <v>106.6</v>
      </c>
      <c r="AR60" s="298">
        <f t="shared" si="141"/>
        <v>103.8</v>
      </c>
      <c r="AS60" s="298">
        <f t="shared" si="141"/>
        <v>104.2</v>
      </c>
      <c r="AT60" s="298">
        <f t="shared" si="141"/>
        <v>100.8</v>
      </c>
      <c r="AU60" s="298">
        <f t="shared" si="141"/>
        <v>99.2</v>
      </c>
      <c r="AV60" s="298">
        <f t="shared" si="141"/>
        <v>141.69999999999999</v>
      </c>
      <c r="AW60" s="298">
        <f t="shared" si="141"/>
        <v>149.30000000000001</v>
      </c>
      <c r="AX60" s="298">
        <f t="shared" si="141"/>
        <v>140.19999999999999</v>
      </c>
      <c r="AY60" s="298">
        <f t="shared" si="141"/>
        <v>141.69999999999999</v>
      </c>
      <c r="AZ60" s="298">
        <f t="shared" si="141"/>
        <v>137.9</v>
      </c>
      <c r="BA60" s="298">
        <f t="shared" si="141"/>
        <v>129.69999999999999</v>
      </c>
      <c r="BB60" s="298">
        <f t="shared" ref="BB60:BG60" si="142">+BB43</f>
        <v>132.30000000000001</v>
      </c>
      <c r="BC60" s="298">
        <f t="shared" si="142"/>
        <v>130.1</v>
      </c>
      <c r="BD60" s="298">
        <f t="shared" si="142"/>
        <v>132.5</v>
      </c>
      <c r="BE60" s="298">
        <f t="shared" si="142"/>
        <v>135.6</v>
      </c>
      <c r="BF60" s="298">
        <f t="shared" si="142"/>
        <v>133.69999999999999</v>
      </c>
      <c r="BG60" s="298">
        <f t="shared" si="142"/>
        <v>129.5</v>
      </c>
      <c r="BH60" s="298">
        <f t="shared" ref="BH60:CJ60" si="143">+BH43</f>
        <v>120.19999999999999</v>
      </c>
      <c r="BI60" s="298">
        <f t="shared" si="143"/>
        <v>124.8</v>
      </c>
      <c r="BJ60" s="298">
        <f t="shared" ref="BJ60:CD60" si="144">+BJ43</f>
        <v>129.69999999999999</v>
      </c>
      <c r="BK60" s="298">
        <f t="shared" si="144"/>
        <v>126.60000000000001</v>
      </c>
      <c r="BL60" s="298">
        <f t="shared" si="144"/>
        <v>123.8</v>
      </c>
      <c r="BM60" s="298">
        <f t="shared" si="144"/>
        <v>108.7</v>
      </c>
      <c r="BN60" s="298">
        <f t="shared" si="144"/>
        <v>106.4</v>
      </c>
      <c r="BO60" s="298">
        <f t="shared" si="144"/>
        <v>108.5</v>
      </c>
      <c r="BP60" s="298">
        <f t="shared" si="144"/>
        <v>108.7</v>
      </c>
      <c r="BQ60" s="298">
        <f t="shared" si="144"/>
        <v>110.60000000000001</v>
      </c>
      <c r="BR60" s="298">
        <f t="shared" si="144"/>
        <v>114.2</v>
      </c>
      <c r="BS60" s="298">
        <f t="shared" si="144"/>
        <v>100.4</v>
      </c>
      <c r="BT60" s="298">
        <f t="shared" si="144"/>
        <v>98.2</v>
      </c>
      <c r="BU60" s="298">
        <f t="shared" si="144"/>
        <v>96.600000000000009</v>
      </c>
      <c r="BV60" s="298">
        <f t="shared" si="144"/>
        <v>93.699999999999989</v>
      </c>
      <c r="BW60" s="298">
        <f t="shared" si="144"/>
        <v>93.5</v>
      </c>
      <c r="BX60" s="298">
        <f t="shared" si="144"/>
        <v>94.3</v>
      </c>
      <c r="BY60" s="298">
        <f t="shared" si="144"/>
        <v>80.400000000000006</v>
      </c>
      <c r="BZ60" s="298">
        <f t="shared" si="144"/>
        <v>85.5</v>
      </c>
      <c r="CA60" s="298">
        <f t="shared" si="144"/>
        <v>86</v>
      </c>
      <c r="CB60" s="298">
        <f t="shared" si="144"/>
        <v>88.7</v>
      </c>
      <c r="CC60" s="298">
        <f t="shared" si="144"/>
        <v>86.600000000000009</v>
      </c>
      <c r="CD60" s="298">
        <f t="shared" si="144"/>
        <v>91.7</v>
      </c>
      <c r="CE60" s="298">
        <f t="shared" ref="CE60" si="145">+CE43</f>
        <v>71.900000000000006</v>
      </c>
      <c r="CF60" s="298">
        <f t="shared" ref="CF60:CI60" si="146">+CF43</f>
        <v>71.2</v>
      </c>
      <c r="CG60" s="298">
        <f t="shared" si="146"/>
        <v>71.3</v>
      </c>
      <c r="CH60" s="298">
        <f t="shared" si="146"/>
        <v>72.3</v>
      </c>
      <c r="CI60" s="298">
        <f t="shared" si="146"/>
        <v>73.899999999999991</v>
      </c>
      <c r="CJ60" s="298">
        <f t="shared" si="143"/>
        <v>74.100000000000009</v>
      </c>
      <c r="CK60" s="146">
        <f t="shared" si="86"/>
        <v>1.5779474077156307E-4</v>
      </c>
    </row>
    <row r="61" spans="2:89" ht="15.6" thickBot="1" x14ac:dyDescent="0.35">
      <c r="B61" s="153"/>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c r="AI61" s="154"/>
      <c r="AJ61" s="301"/>
      <c r="AK61" s="301"/>
      <c r="AL61" s="301"/>
      <c r="AM61" s="301"/>
      <c r="AN61" s="301"/>
      <c r="AO61" s="301"/>
      <c r="AP61" s="301"/>
      <c r="AQ61" s="301"/>
      <c r="AR61" s="301"/>
      <c r="AS61" s="301"/>
      <c r="AT61" s="301"/>
      <c r="AU61" s="301"/>
      <c r="AV61" s="301"/>
      <c r="AW61" s="301"/>
      <c r="AX61" s="301"/>
      <c r="AY61" s="301"/>
      <c r="AZ61" s="301"/>
      <c r="BA61" s="301"/>
      <c r="BB61" s="301"/>
      <c r="BC61" s="301"/>
      <c r="BD61" s="301"/>
      <c r="BE61" s="301"/>
      <c r="BF61" s="301"/>
      <c r="BG61" s="301"/>
      <c r="BH61" s="301"/>
      <c r="BI61" s="301"/>
      <c r="BJ61" s="301"/>
      <c r="BK61" s="301"/>
      <c r="BL61" s="301"/>
      <c r="BM61" s="301"/>
      <c r="BN61" s="301"/>
      <c r="BO61" s="301"/>
      <c r="BP61" s="301"/>
      <c r="BQ61" s="301"/>
      <c r="BR61" s="301"/>
      <c r="BS61" s="301"/>
      <c r="BT61" s="301"/>
      <c r="BU61" s="301"/>
      <c r="BV61" s="301"/>
      <c r="BW61" s="301"/>
      <c r="BX61" s="301"/>
      <c r="BY61" s="301"/>
      <c r="BZ61" s="301"/>
      <c r="CA61" s="301"/>
      <c r="CB61" s="301"/>
      <c r="CC61" s="301"/>
      <c r="CD61" s="301"/>
      <c r="CE61" s="301"/>
      <c r="CF61" s="301"/>
      <c r="CG61" s="301"/>
      <c r="CH61" s="301"/>
      <c r="CI61" s="301"/>
      <c r="CJ61" s="301"/>
      <c r="CK61" s="154"/>
    </row>
    <row r="62" spans="2:89" ht="15" thickTop="1" x14ac:dyDescent="0.3"/>
    <row r="63" spans="2:89" x14ac:dyDescent="0.3">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292"/>
      <c r="AK63" s="292"/>
      <c r="AL63" s="292"/>
      <c r="AM63" s="292"/>
      <c r="AN63" s="292"/>
      <c r="AO63" s="292"/>
      <c r="AP63" s="292"/>
      <c r="AQ63" s="292"/>
      <c r="AR63" s="292"/>
      <c r="AS63" s="292"/>
      <c r="AT63" s="292"/>
      <c r="AU63" s="292"/>
      <c r="AV63" s="292"/>
      <c r="AW63" s="292"/>
      <c r="AX63" s="292"/>
      <c r="AY63" s="292"/>
      <c r="AZ63" s="292"/>
      <c r="BA63" s="292"/>
      <c r="BB63" s="292"/>
      <c r="BC63" s="292"/>
      <c r="BD63" s="292"/>
      <c r="BE63" s="292"/>
      <c r="BF63" s="292"/>
      <c r="BG63" s="292"/>
      <c r="BH63" s="292"/>
      <c r="BI63" s="292"/>
      <c r="BJ63" s="292"/>
      <c r="BK63" s="292"/>
      <c r="BL63" s="292"/>
      <c r="BM63" s="292"/>
      <c r="BN63" s="292"/>
      <c r="BO63" s="292"/>
      <c r="BP63" s="292"/>
      <c r="BQ63" s="292"/>
      <c r="BR63" s="292"/>
      <c r="BS63" s="292"/>
      <c r="BT63" s="292"/>
      <c r="BU63" s="292"/>
      <c r="BV63" s="292"/>
      <c r="BW63" s="292"/>
      <c r="BX63" s="292"/>
      <c r="BY63" s="292"/>
      <c r="BZ63" s="292"/>
      <c r="CA63" s="292"/>
      <c r="CB63" s="292"/>
      <c r="CC63" s="292"/>
      <c r="CD63" s="292"/>
      <c r="CE63" s="292"/>
      <c r="CF63" s="292"/>
      <c r="CG63" s="292"/>
      <c r="CH63" s="292"/>
      <c r="CI63" s="292"/>
      <c r="CJ63" s="292"/>
    </row>
    <row r="64" spans="2:89" ht="18" x14ac:dyDescent="0.35">
      <c r="B64" s="457" t="s">
        <v>66</v>
      </c>
      <c r="C64" s="457"/>
      <c r="D64" s="457"/>
      <c r="E64" s="457"/>
      <c r="F64" s="457"/>
      <c r="G64" s="457"/>
      <c r="H64" s="457"/>
      <c r="I64" s="457"/>
      <c r="J64" s="457"/>
      <c r="K64" s="457"/>
      <c r="L64" s="457"/>
      <c r="M64" s="457"/>
      <c r="N64" s="296"/>
      <c r="O64" s="296"/>
      <c r="P64" s="296"/>
      <c r="Q64" s="296"/>
      <c r="R64" s="296"/>
      <c r="S64" s="296"/>
      <c r="T64" s="296"/>
      <c r="U64" s="296"/>
      <c r="V64" s="296"/>
      <c r="W64" s="296"/>
      <c r="X64" s="296"/>
      <c r="Y64" s="296"/>
      <c r="Z64" s="296"/>
      <c r="AA64" s="296"/>
      <c r="AB64" s="296"/>
      <c r="AC64" s="296"/>
      <c r="AD64" s="296"/>
      <c r="AE64" s="296"/>
      <c r="AF64" s="296"/>
      <c r="AG64" s="296"/>
      <c r="AH64" s="296"/>
      <c r="AI64" s="296"/>
      <c r="AJ64" s="296"/>
      <c r="AK64" s="296"/>
      <c r="AL64" s="296"/>
      <c r="AM64" s="296"/>
      <c r="AN64" s="296"/>
      <c r="AO64" s="296"/>
      <c r="AP64" s="296"/>
      <c r="AQ64" s="296"/>
      <c r="AR64" s="296"/>
      <c r="AS64" s="296"/>
      <c r="AT64" s="296"/>
      <c r="AU64" s="296"/>
      <c r="AV64" s="296"/>
      <c r="AW64" s="296"/>
      <c r="AX64" s="296"/>
      <c r="AY64" s="296"/>
      <c r="AZ64" s="296"/>
      <c r="BA64" s="296"/>
      <c r="BB64" s="296"/>
      <c r="BC64" s="296"/>
      <c r="BD64" s="296"/>
      <c r="BE64" s="296"/>
      <c r="BF64" s="296"/>
      <c r="BG64" s="296"/>
      <c r="BH64" s="296"/>
      <c r="BI64" s="296"/>
      <c r="BJ64" s="296"/>
      <c r="BK64" s="296"/>
      <c r="BL64" s="296"/>
      <c r="BM64" s="296"/>
      <c r="BN64" s="296"/>
      <c r="BO64" s="296"/>
      <c r="BP64" s="296"/>
      <c r="BQ64" s="296"/>
      <c r="BR64" s="296"/>
      <c r="BS64" s="296"/>
      <c r="BT64" s="296"/>
      <c r="BU64" s="296"/>
      <c r="BV64" s="296"/>
      <c r="BW64" s="296"/>
      <c r="BX64" s="296"/>
      <c r="BY64" s="296"/>
      <c r="BZ64" s="296"/>
      <c r="CA64" s="296"/>
      <c r="CB64" s="296"/>
      <c r="CC64" s="296"/>
      <c r="CD64" s="296"/>
      <c r="CE64" s="296"/>
      <c r="CF64" s="296"/>
      <c r="CG64" s="296"/>
      <c r="CH64" s="296"/>
      <c r="CI64" s="296"/>
      <c r="CJ64" s="296"/>
      <c r="CK64" s="296"/>
    </row>
    <row r="65" spans="2:89" ht="15" thickBot="1" x14ac:dyDescent="0.35">
      <c r="D65" s="73"/>
    </row>
    <row r="66" spans="2:89" ht="18.600000000000001" thickTop="1" x14ac:dyDescent="0.35">
      <c r="B66" s="241"/>
      <c r="C66" s="242">
        <f>+C51</f>
        <v>43466</v>
      </c>
      <c r="D66" s="242">
        <f t="shared" ref="D66:AL66" si="147">+D51</f>
        <v>43497</v>
      </c>
      <c r="E66" s="242">
        <f t="shared" si="147"/>
        <v>43525</v>
      </c>
      <c r="F66" s="242">
        <f t="shared" si="147"/>
        <v>43556</v>
      </c>
      <c r="G66" s="242">
        <f t="shared" si="147"/>
        <v>43586</v>
      </c>
      <c r="H66" s="242">
        <f t="shared" si="147"/>
        <v>43617</v>
      </c>
      <c r="I66" s="242">
        <f t="shared" si="147"/>
        <v>43647</v>
      </c>
      <c r="J66" s="242">
        <f t="shared" si="147"/>
        <v>43678</v>
      </c>
      <c r="K66" s="242">
        <f t="shared" si="147"/>
        <v>43709</v>
      </c>
      <c r="L66" s="242">
        <f t="shared" si="147"/>
        <v>43739</v>
      </c>
      <c r="M66" s="242">
        <f t="shared" si="147"/>
        <v>43770</v>
      </c>
      <c r="N66" s="242">
        <f t="shared" si="147"/>
        <v>43800</v>
      </c>
      <c r="O66" s="242">
        <f t="shared" si="147"/>
        <v>43831</v>
      </c>
      <c r="P66" s="242">
        <f t="shared" ref="P66:W66" si="148">+P51</f>
        <v>43862</v>
      </c>
      <c r="Q66" s="242">
        <f t="shared" si="148"/>
        <v>43891</v>
      </c>
      <c r="R66" s="242">
        <f t="shared" si="148"/>
        <v>43922</v>
      </c>
      <c r="S66" s="242">
        <f t="shared" si="148"/>
        <v>43952</v>
      </c>
      <c r="T66" s="242">
        <f t="shared" si="148"/>
        <v>43983</v>
      </c>
      <c r="U66" s="242">
        <f t="shared" si="148"/>
        <v>44013</v>
      </c>
      <c r="V66" s="242">
        <f t="shared" si="148"/>
        <v>44044</v>
      </c>
      <c r="W66" s="242">
        <f t="shared" si="148"/>
        <v>44075</v>
      </c>
      <c r="X66" s="242">
        <f t="shared" si="147"/>
        <v>44105</v>
      </c>
      <c r="Y66" s="242">
        <f t="shared" ref="Y66:AK66" si="149">+Y51</f>
        <v>44136</v>
      </c>
      <c r="Z66" s="242">
        <f t="shared" si="149"/>
        <v>44166</v>
      </c>
      <c r="AA66" s="242">
        <f t="shared" si="149"/>
        <v>44197</v>
      </c>
      <c r="AB66" s="242">
        <f t="shared" si="149"/>
        <v>44228</v>
      </c>
      <c r="AC66" s="242">
        <f t="shared" si="149"/>
        <v>44256</v>
      </c>
      <c r="AD66" s="242">
        <f t="shared" si="149"/>
        <v>44287</v>
      </c>
      <c r="AE66" s="242">
        <f t="shared" si="149"/>
        <v>44317</v>
      </c>
      <c r="AF66" s="242">
        <f t="shared" si="149"/>
        <v>44348</v>
      </c>
      <c r="AG66" s="242">
        <f t="shared" si="149"/>
        <v>44378</v>
      </c>
      <c r="AH66" s="242">
        <f t="shared" si="149"/>
        <v>44409</v>
      </c>
      <c r="AI66" s="242">
        <f t="shared" si="149"/>
        <v>44440</v>
      </c>
      <c r="AJ66" s="306">
        <f t="shared" si="149"/>
        <v>44470</v>
      </c>
      <c r="AK66" s="306">
        <f t="shared" si="149"/>
        <v>44501</v>
      </c>
      <c r="AL66" s="306">
        <f t="shared" si="147"/>
        <v>44531</v>
      </c>
      <c r="AM66" s="306">
        <f t="shared" ref="AM66:BA66" si="150">+AM51</f>
        <v>44562</v>
      </c>
      <c r="AN66" s="306">
        <f t="shared" si="150"/>
        <v>44593</v>
      </c>
      <c r="AO66" s="306">
        <f t="shared" si="150"/>
        <v>44621</v>
      </c>
      <c r="AP66" s="306">
        <f t="shared" si="150"/>
        <v>44652</v>
      </c>
      <c r="AQ66" s="306">
        <f t="shared" si="150"/>
        <v>44682</v>
      </c>
      <c r="AR66" s="306">
        <f t="shared" si="150"/>
        <v>44713</v>
      </c>
      <c r="AS66" s="306">
        <f t="shared" si="150"/>
        <v>44743</v>
      </c>
      <c r="AT66" s="306">
        <f t="shared" si="150"/>
        <v>44774</v>
      </c>
      <c r="AU66" s="306">
        <f t="shared" si="150"/>
        <v>44805</v>
      </c>
      <c r="AV66" s="306">
        <f t="shared" si="150"/>
        <v>44835</v>
      </c>
      <c r="AW66" s="306">
        <f t="shared" si="150"/>
        <v>44866</v>
      </c>
      <c r="AX66" s="306">
        <f t="shared" si="150"/>
        <v>44896</v>
      </c>
      <c r="AY66" s="306">
        <f t="shared" si="150"/>
        <v>44927</v>
      </c>
      <c r="AZ66" s="306">
        <f t="shared" si="150"/>
        <v>44958</v>
      </c>
      <c r="BA66" s="306">
        <f t="shared" si="150"/>
        <v>44986</v>
      </c>
      <c r="BB66" s="306">
        <f t="shared" ref="BB66:BG66" si="151">+BB51</f>
        <v>45017</v>
      </c>
      <c r="BC66" s="306">
        <f t="shared" si="151"/>
        <v>45047</v>
      </c>
      <c r="BD66" s="306">
        <f t="shared" si="151"/>
        <v>45078</v>
      </c>
      <c r="BE66" s="306">
        <f t="shared" si="151"/>
        <v>45108</v>
      </c>
      <c r="BF66" s="306">
        <f t="shared" si="151"/>
        <v>45139</v>
      </c>
      <c r="BG66" s="306">
        <f t="shared" si="151"/>
        <v>45170</v>
      </c>
      <c r="BH66" s="306">
        <f t="shared" ref="BH66:BI66" si="152">+BH51</f>
        <v>45200</v>
      </c>
      <c r="BI66" s="306">
        <f t="shared" si="152"/>
        <v>45231</v>
      </c>
      <c r="BJ66" s="306">
        <f t="shared" ref="BJ66:BN66" si="153">+BJ51</f>
        <v>45261</v>
      </c>
      <c r="BK66" s="306">
        <f t="shared" si="153"/>
        <v>45292</v>
      </c>
      <c r="BL66" s="306">
        <f t="shared" si="153"/>
        <v>45323</v>
      </c>
      <c r="BM66" s="306">
        <f t="shared" si="153"/>
        <v>45352</v>
      </c>
      <c r="BN66" s="306">
        <f t="shared" si="153"/>
        <v>45383</v>
      </c>
      <c r="BO66" s="306">
        <f t="shared" ref="BO66:CJ66" si="154">+BO51</f>
        <v>45413</v>
      </c>
      <c r="BP66" s="306">
        <f t="shared" si="154"/>
        <v>45444</v>
      </c>
      <c r="BQ66" s="411">
        <f t="shared" si="154"/>
        <v>45474</v>
      </c>
      <c r="BR66" s="411">
        <f t="shared" si="154"/>
        <v>45505</v>
      </c>
      <c r="BS66" s="411">
        <f t="shared" si="154"/>
        <v>45536</v>
      </c>
      <c r="BT66" s="411">
        <f t="shared" ref="BT66:BU66" si="155">+BT51</f>
        <v>45566</v>
      </c>
      <c r="BU66" s="411">
        <f t="shared" si="155"/>
        <v>45597</v>
      </c>
      <c r="BV66" s="411">
        <v>45627</v>
      </c>
      <c r="BW66" s="411">
        <f t="shared" ref="BW66:CI66" si="156">+BW51</f>
        <v>45658</v>
      </c>
      <c r="BX66" s="411">
        <f t="shared" si="156"/>
        <v>45689</v>
      </c>
      <c r="BY66" s="411">
        <f t="shared" si="156"/>
        <v>45717</v>
      </c>
      <c r="BZ66" s="411">
        <f t="shared" si="156"/>
        <v>45748</v>
      </c>
      <c r="CA66" s="411">
        <f t="shared" si="156"/>
        <v>45778</v>
      </c>
      <c r="CB66" s="411">
        <f t="shared" si="156"/>
        <v>45809</v>
      </c>
      <c r="CC66" s="411">
        <f t="shared" si="156"/>
        <v>45839</v>
      </c>
      <c r="CD66" s="411">
        <f t="shared" si="156"/>
        <v>45870</v>
      </c>
      <c r="CE66" s="411" t="str">
        <f t="shared" si="156"/>
        <v>sep-25 (*)</v>
      </c>
      <c r="CF66" s="411">
        <f t="shared" si="156"/>
        <v>45931</v>
      </c>
      <c r="CG66" s="411">
        <f t="shared" si="156"/>
        <v>45962</v>
      </c>
      <c r="CH66" s="411">
        <f t="shared" si="156"/>
        <v>45992</v>
      </c>
      <c r="CI66" s="411" t="str">
        <f t="shared" si="156"/>
        <v>ene-26 (*)</v>
      </c>
      <c r="CJ66" s="411" t="str">
        <f t="shared" si="154"/>
        <v>feb-26 (*)</v>
      </c>
      <c r="CK66" s="237" t="s">
        <v>187</v>
      </c>
    </row>
    <row r="67" spans="2:89" ht="16.2" x14ac:dyDescent="0.3">
      <c r="B67" s="238" t="s">
        <v>142</v>
      </c>
      <c r="C67" s="239">
        <f t="shared" ref="C67:M67" si="157">SUM(C69:C71)</f>
        <v>332746.59999999998</v>
      </c>
      <c r="D67" s="239">
        <f t="shared" si="157"/>
        <v>331571.19999999995</v>
      </c>
      <c r="E67" s="239">
        <f t="shared" si="157"/>
        <v>322317.30000000005</v>
      </c>
      <c r="F67" s="239">
        <f t="shared" si="157"/>
        <v>331741.10000000003</v>
      </c>
      <c r="G67" s="239">
        <f t="shared" si="157"/>
        <v>327350.39999999997</v>
      </c>
      <c r="H67" s="239">
        <f t="shared" si="157"/>
        <v>334706.09999999998</v>
      </c>
      <c r="I67" s="239">
        <f t="shared" si="157"/>
        <v>339420.29999999993</v>
      </c>
      <c r="J67" s="239">
        <f t="shared" si="157"/>
        <v>307589.19999999995</v>
      </c>
      <c r="K67" s="239">
        <f t="shared" si="157"/>
        <v>308742.7</v>
      </c>
      <c r="L67" s="239">
        <f t="shared" si="157"/>
        <v>309941.59999999998</v>
      </c>
      <c r="M67" s="239">
        <f t="shared" si="157"/>
        <v>310778.5</v>
      </c>
      <c r="N67" s="239">
        <f t="shared" ref="N67:R67" si="158">SUM(N69:N71)</f>
        <v>320525.40000000002</v>
      </c>
      <c r="O67" s="239">
        <f t="shared" si="158"/>
        <v>321908.59999999998</v>
      </c>
      <c r="P67" s="239">
        <f t="shared" si="158"/>
        <v>321843.5</v>
      </c>
      <c r="Q67" s="239">
        <f t="shared" si="158"/>
        <v>320855.3</v>
      </c>
      <c r="R67" s="239">
        <f t="shared" si="158"/>
        <v>320737.50000000006</v>
      </c>
      <c r="S67" s="239">
        <f t="shared" ref="S67" si="159">SUM(S69:S71)</f>
        <v>322280.09999999998</v>
      </c>
      <c r="T67" s="239">
        <f t="shared" ref="T67:BA67" si="160">SUM(T69:T71)</f>
        <v>322014.59999999998</v>
      </c>
      <c r="U67" s="239">
        <f t="shared" si="160"/>
        <v>325507.8</v>
      </c>
      <c r="V67" s="239">
        <f t="shared" si="160"/>
        <v>326886.69999999995</v>
      </c>
      <c r="W67" s="239">
        <f t="shared" si="160"/>
        <v>329672.40000000002</v>
      </c>
      <c r="X67" s="239">
        <f t="shared" si="160"/>
        <v>330633.3</v>
      </c>
      <c r="Y67" s="239">
        <f t="shared" si="160"/>
        <v>330670.09999999998</v>
      </c>
      <c r="Z67" s="239">
        <f t="shared" si="160"/>
        <v>332975</v>
      </c>
      <c r="AA67" s="239">
        <f t="shared" si="160"/>
        <v>332328.89999999997</v>
      </c>
      <c r="AB67" s="239">
        <f t="shared" si="160"/>
        <v>332288.7</v>
      </c>
      <c r="AC67" s="239">
        <f t="shared" si="160"/>
        <v>332989.59999999998</v>
      </c>
      <c r="AD67" s="239">
        <f t="shared" si="160"/>
        <v>335741.89999999997</v>
      </c>
      <c r="AE67" s="239">
        <f t="shared" si="160"/>
        <v>338483.20000000001</v>
      </c>
      <c r="AF67" s="239">
        <f t="shared" si="160"/>
        <v>340944.2</v>
      </c>
      <c r="AG67" s="239">
        <f t="shared" si="160"/>
        <v>342559.6</v>
      </c>
      <c r="AH67" s="239">
        <f t="shared" si="160"/>
        <v>343294</v>
      </c>
      <c r="AI67" s="239">
        <f t="shared" si="160"/>
        <v>340061.30000000005</v>
      </c>
      <c r="AJ67" s="305">
        <f t="shared" si="160"/>
        <v>346671.60000000003</v>
      </c>
      <c r="AK67" s="305">
        <f t="shared" si="160"/>
        <v>351881.19999999995</v>
      </c>
      <c r="AL67" s="305">
        <f t="shared" si="160"/>
        <v>360688.7</v>
      </c>
      <c r="AM67" s="305">
        <f t="shared" si="160"/>
        <v>363214.2</v>
      </c>
      <c r="AN67" s="305">
        <f t="shared" si="160"/>
        <v>364093.20000000007</v>
      </c>
      <c r="AO67" s="305">
        <f t="shared" si="160"/>
        <v>373780.7</v>
      </c>
      <c r="AP67" s="305">
        <f t="shared" si="160"/>
        <v>371722.3</v>
      </c>
      <c r="AQ67" s="305">
        <f t="shared" si="160"/>
        <v>372084.19999999995</v>
      </c>
      <c r="AR67" s="305">
        <f t="shared" si="160"/>
        <v>376032.5</v>
      </c>
      <c r="AS67" s="305">
        <f t="shared" si="160"/>
        <v>378320.2</v>
      </c>
      <c r="AT67" s="305">
        <f t="shared" si="160"/>
        <v>378682.4</v>
      </c>
      <c r="AU67" s="305">
        <f t="shared" si="160"/>
        <v>379863.8</v>
      </c>
      <c r="AV67" s="305">
        <f t="shared" si="160"/>
        <v>383850.10000000003</v>
      </c>
      <c r="AW67" s="305">
        <f t="shared" si="160"/>
        <v>384193.5</v>
      </c>
      <c r="AX67" s="305">
        <f t="shared" si="160"/>
        <v>394064.19999999995</v>
      </c>
      <c r="AY67" s="305">
        <f t="shared" si="160"/>
        <v>393353.10000000003</v>
      </c>
      <c r="AZ67" s="305">
        <f t="shared" si="160"/>
        <v>391720.4</v>
      </c>
      <c r="BA67" s="305">
        <f t="shared" si="160"/>
        <v>395744.7</v>
      </c>
      <c r="BB67" s="305">
        <f t="shared" ref="BB67:BG67" si="161">SUM(BB69:BB71)</f>
        <v>393756.6</v>
      </c>
      <c r="BC67" s="305">
        <f t="shared" si="161"/>
        <v>396344.30000000005</v>
      </c>
      <c r="BD67" s="305">
        <f t="shared" si="161"/>
        <v>401329.5</v>
      </c>
      <c r="BE67" s="305">
        <f t="shared" si="161"/>
        <v>403621.4</v>
      </c>
      <c r="BF67" s="305">
        <f t="shared" si="161"/>
        <v>393268.70000000007</v>
      </c>
      <c r="BG67" s="305">
        <f t="shared" si="161"/>
        <v>404476.6</v>
      </c>
      <c r="BH67" s="305">
        <f t="shared" ref="BH67:CJ67" si="162">SUM(BH69:BH71)</f>
        <v>415540.1</v>
      </c>
      <c r="BI67" s="305">
        <f t="shared" si="162"/>
        <v>423046.39999999997</v>
      </c>
      <c r="BJ67" s="305">
        <f t="shared" ref="BJ67:BV67" si="163">SUM(BJ69:BJ71)</f>
        <v>368225</v>
      </c>
      <c r="BK67" s="305">
        <f t="shared" si="163"/>
        <v>378837.8</v>
      </c>
      <c r="BL67" s="305">
        <f t="shared" si="163"/>
        <v>384099</v>
      </c>
      <c r="BM67" s="305">
        <f t="shared" si="163"/>
        <v>400605.5</v>
      </c>
      <c r="BN67" s="305">
        <f t="shared" si="163"/>
        <v>411603.39999999997</v>
      </c>
      <c r="BO67" s="305">
        <f t="shared" si="163"/>
        <v>433246.49999999994</v>
      </c>
      <c r="BP67" s="305">
        <f t="shared" si="163"/>
        <v>440072.39999999997</v>
      </c>
      <c r="BQ67" s="305">
        <f t="shared" si="163"/>
        <v>449617.80000000005</v>
      </c>
      <c r="BR67" s="305">
        <f t="shared" si="163"/>
        <v>455936.10000000003</v>
      </c>
      <c r="BS67" s="305">
        <f t="shared" si="163"/>
        <v>457587.7</v>
      </c>
      <c r="BT67" s="305">
        <f t="shared" si="163"/>
        <v>460781.5</v>
      </c>
      <c r="BU67" s="305">
        <f t="shared" si="163"/>
        <v>462498.80000000005</v>
      </c>
      <c r="BV67" s="305">
        <f t="shared" si="163"/>
        <v>464503.20000000007</v>
      </c>
      <c r="BW67" s="305">
        <f t="shared" ref="BW67:CI67" si="164">SUM(BW69:BW71)</f>
        <v>465375.1</v>
      </c>
      <c r="BX67" s="305">
        <f t="shared" si="164"/>
        <v>468741.69999999995</v>
      </c>
      <c r="BY67" s="305">
        <f t="shared" si="164"/>
        <v>471102.9</v>
      </c>
      <c r="BZ67" s="305">
        <f t="shared" si="164"/>
        <v>470421.2</v>
      </c>
      <c r="CA67" s="305">
        <f t="shared" si="164"/>
        <v>458517.79999999993</v>
      </c>
      <c r="CB67" s="305">
        <f t="shared" si="164"/>
        <v>462817.5</v>
      </c>
      <c r="CC67" s="305">
        <f t="shared" si="164"/>
        <v>444678.70000000007</v>
      </c>
      <c r="CD67" s="305">
        <f t="shared" si="164"/>
        <v>451740.5</v>
      </c>
      <c r="CE67" s="305">
        <f t="shared" si="164"/>
        <v>451511.5</v>
      </c>
      <c r="CF67" s="305">
        <f t="shared" si="164"/>
        <v>440731.2</v>
      </c>
      <c r="CG67" s="305">
        <f t="shared" si="164"/>
        <v>444518.69999999995</v>
      </c>
      <c r="CH67" s="305">
        <f t="shared" si="164"/>
        <v>452551.10000000003</v>
      </c>
      <c r="CI67" s="305">
        <f t="shared" si="164"/>
        <v>458397.5</v>
      </c>
      <c r="CJ67" s="305">
        <f t="shared" si="162"/>
        <v>469597.4</v>
      </c>
      <c r="CK67" s="240">
        <f>SUM(CK69:CK71)</f>
        <v>0.99999999999999989</v>
      </c>
    </row>
    <row r="68" spans="2:89" x14ac:dyDescent="0.3">
      <c r="B68" s="159" t="s">
        <v>57</v>
      </c>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298"/>
      <c r="AK68" s="298"/>
      <c r="AL68" s="298"/>
      <c r="AM68" s="298"/>
      <c r="AN68" s="298"/>
      <c r="AO68" s="298"/>
      <c r="AP68" s="298"/>
      <c r="AQ68" s="298"/>
      <c r="AR68" s="298"/>
      <c r="AS68" s="298"/>
      <c r="AT68" s="298"/>
      <c r="AU68" s="298"/>
      <c r="AV68" s="298"/>
      <c r="AW68" s="298"/>
      <c r="AX68" s="298"/>
      <c r="AY68" s="298"/>
      <c r="AZ68" s="298"/>
      <c r="BA68" s="298"/>
      <c r="BB68" s="298"/>
      <c r="BC68" s="298"/>
      <c r="BD68" s="298"/>
      <c r="BE68" s="298"/>
      <c r="BF68" s="298"/>
      <c r="BG68" s="298"/>
      <c r="BH68" s="298"/>
      <c r="BI68" s="298"/>
      <c r="BJ68" s="298"/>
      <c r="BK68" s="298"/>
      <c r="BL68" s="298"/>
      <c r="BM68" s="298"/>
      <c r="BN68" s="298"/>
      <c r="BO68" s="298"/>
      <c r="BP68" s="298"/>
      <c r="BQ68" s="298"/>
      <c r="BR68" s="298"/>
      <c r="BS68" s="298"/>
      <c r="BT68" s="298"/>
      <c r="BU68" s="298"/>
      <c r="BV68" s="298"/>
      <c r="BW68" s="298"/>
      <c r="BX68" s="298"/>
      <c r="BY68" s="298"/>
      <c r="BZ68" s="298"/>
      <c r="CA68" s="298"/>
      <c r="CB68" s="298"/>
      <c r="CC68" s="298"/>
      <c r="CD68" s="298"/>
      <c r="CE68" s="298"/>
      <c r="CF68" s="298"/>
      <c r="CG68" s="298"/>
      <c r="CH68" s="298"/>
      <c r="CI68" s="298"/>
      <c r="CJ68" s="298"/>
      <c r="CK68" s="142"/>
    </row>
    <row r="69" spans="2:89" ht="15" x14ac:dyDescent="0.3">
      <c r="B69" s="160" t="s">
        <v>124</v>
      </c>
      <c r="C69" s="142">
        <f t="shared" ref="C69" si="165">+C44+C38+C33+C28+C22+C17</f>
        <v>190439.5</v>
      </c>
      <c r="D69" s="142">
        <f t="shared" ref="D69:E69" si="166">+D44+D38+D33+D28+D22+D17</f>
        <v>189357.19999999998</v>
      </c>
      <c r="E69" s="142">
        <f t="shared" si="166"/>
        <v>182758.39999999999</v>
      </c>
      <c r="F69" s="142">
        <f t="shared" ref="F69:O69" si="167">+F44+F38+F33+F28+F22+F17</f>
        <v>182453.90000000002</v>
      </c>
      <c r="G69" s="142">
        <f t="shared" ref="G69:H69" si="168">+G44+G38+G33+G28+G22+G17</f>
        <v>178665.8</v>
      </c>
      <c r="H69" s="142">
        <f t="shared" si="168"/>
        <v>182829.2</v>
      </c>
      <c r="I69" s="142">
        <f t="shared" si="167"/>
        <v>182269.89999999997</v>
      </c>
      <c r="J69" s="142">
        <f t="shared" ref="J69:K69" si="169">+J44+J38+J33+J28+J22+J17</f>
        <v>156907.59999999998</v>
      </c>
      <c r="K69" s="142">
        <f t="shared" si="169"/>
        <v>158110.40000000002</v>
      </c>
      <c r="L69" s="142">
        <f t="shared" si="167"/>
        <v>158060.1</v>
      </c>
      <c r="M69" s="142">
        <f t="shared" ref="M69:N69" si="170">+M44+M38+M33+M28+M22+M17</f>
        <v>158429.69999999998</v>
      </c>
      <c r="N69" s="142">
        <f t="shared" si="170"/>
        <v>158732.6</v>
      </c>
      <c r="O69" s="142">
        <f t="shared" si="167"/>
        <v>157342.39999999999</v>
      </c>
      <c r="P69" s="142">
        <f t="shared" ref="P69" si="171">+P44+P38+P33+P28+P22+P17</f>
        <v>156008.4</v>
      </c>
      <c r="Q69" s="142">
        <f t="shared" ref="Q69:R69" si="172">+Q44+Q38+Q33+Q28+Q22+Q17</f>
        <v>155327</v>
      </c>
      <c r="R69" s="142">
        <f t="shared" si="172"/>
        <v>152577.20000000001</v>
      </c>
      <c r="S69" s="142">
        <f t="shared" ref="S69" si="173">+S44+S38+S33+S28+S22+S17</f>
        <v>155131.09999999998</v>
      </c>
      <c r="T69" s="142">
        <f t="shared" ref="T69" si="174">+T44+T38+T33+T28+T22+T17</f>
        <v>155125.1</v>
      </c>
      <c r="U69" s="142">
        <f t="shared" ref="U69:AA69" si="175">+U44+U38+U33+U28+U22+U17</f>
        <v>159865</v>
      </c>
      <c r="V69" s="142">
        <f t="shared" ref="V69:W69" si="176">+V44+V38+V33+V28+V22+V17</f>
        <v>160045.19999999998</v>
      </c>
      <c r="W69" s="142">
        <f t="shared" si="176"/>
        <v>165087.79999999999</v>
      </c>
      <c r="X69" s="142">
        <f t="shared" si="175"/>
        <v>167969.1</v>
      </c>
      <c r="Y69" s="142">
        <f t="shared" ref="Y69:Z69" si="177">+Y44+Y38+Y33+Y28+Y22+Y17</f>
        <v>169690.8</v>
      </c>
      <c r="Z69" s="142">
        <f t="shared" si="177"/>
        <v>172016.3</v>
      </c>
      <c r="AA69" s="142">
        <f t="shared" si="175"/>
        <v>172332.79999999999</v>
      </c>
      <c r="AB69" s="142">
        <f t="shared" ref="AB69:AC69" si="178">+AB44+AB38+AB33+AB28+AB22+AB17</f>
        <v>173611.2</v>
      </c>
      <c r="AC69" s="142">
        <f t="shared" si="178"/>
        <v>174189.1</v>
      </c>
      <c r="AD69" s="142">
        <f t="shared" ref="AD69" si="179">+AD44+AD38+AD33+AD28+AD22+AD17</f>
        <v>174270.19999999998</v>
      </c>
      <c r="AE69" s="142">
        <f t="shared" ref="AE69:BA69" si="180">+AE44+AE38+AE33+AE28+AE22+AE17</f>
        <v>176775.9</v>
      </c>
      <c r="AF69" s="142">
        <f t="shared" si="180"/>
        <v>177587.3</v>
      </c>
      <c r="AG69" s="142">
        <f t="shared" si="180"/>
        <v>176730.4</v>
      </c>
      <c r="AH69" s="142">
        <f t="shared" si="180"/>
        <v>176381.99999999997</v>
      </c>
      <c r="AI69" s="142">
        <f t="shared" si="180"/>
        <v>176592.00000000003</v>
      </c>
      <c r="AJ69" s="298">
        <f t="shared" si="180"/>
        <v>178527.80000000002</v>
      </c>
      <c r="AK69" s="298">
        <f t="shared" si="180"/>
        <v>180433.7</v>
      </c>
      <c r="AL69" s="298">
        <f t="shared" si="180"/>
        <v>181337.4</v>
      </c>
      <c r="AM69" s="298">
        <f t="shared" si="180"/>
        <v>182179.6</v>
      </c>
      <c r="AN69" s="298">
        <f t="shared" si="180"/>
        <v>183295.30000000002</v>
      </c>
      <c r="AO69" s="298">
        <f t="shared" si="180"/>
        <v>183126.30000000002</v>
      </c>
      <c r="AP69" s="298">
        <f t="shared" si="180"/>
        <v>184860.1</v>
      </c>
      <c r="AQ69" s="298">
        <f t="shared" si="180"/>
        <v>183040.19999999998</v>
      </c>
      <c r="AR69" s="298">
        <f t="shared" si="180"/>
        <v>183710.6</v>
      </c>
      <c r="AS69" s="298">
        <f t="shared" si="180"/>
        <v>183685.9</v>
      </c>
      <c r="AT69" s="298">
        <f t="shared" si="180"/>
        <v>177539.6</v>
      </c>
      <c r="AU69" s="298">
        <f t="shared" si="180"/>
        <v>176756.5</v>
      </c>
      <c r="AV69" s="298">
        <f t="shared" si="180"/>
        <v>178308.40000000002</v>
      </c>
      <c r="AW69" s="298">
        <f t="shared" si="180"/>
        <v>175671.9</v>
      </c>
      <c r="AX69" s="298">
        <f t="shared" si="180"/>
        <v>175692.99999999997</v>
      </c>
      <c r="AY69" s="298">
        <f t="shared" si="180"/>
        <v>170033.2</v>
      </c>
      <c r="AZ69" s="298">
        <f t="shared" si="180"/>
        <v>169643.5</v>
      </c>
      <c r="BA69" s="298">
        <f t="shared" si="180"/>
        <v>186799.90000000002</v>
      </c>
      <c r="BB69" s="298">
        <f t="shared" ref="BB69:BG69" si="181">+BB44+BB38+BB33+BB28+BB22+BB17</f>
        <v>185610.4</v>
      </c>
      <c r="BC69" s="298">
        <f t="shared" si="181"/>
        <v>188751.6</v>
      </c>
      <c r="BD69" s="298">
        <f t="shared" si="181"/>
        <v>193364.69999999998</v>
      </c>
      <c r="BE69" s="298">
        <f t="shared" si="181"/>
        <v>195472.10000000003</v>
      </c>
      <c r="BF69" s="298">
        <f t="shared" si="181"/>
        <v>184918.80000000002</v>
      </c>
      <c r="BG69" s="298">
        <f t="shared" si="181"/>
        <v>191538.3</v>
      </c>
      <c r="BH69" s="298">
        <f t="shared" ref="BH69:CJ69" si="182">+BH44+BH38+BH33+BH28+BH22+BH17</f>
        <v>203953.1</v>
      </c>
      <c r="BI69" s="298">
        <f t="shared" si="182"/>
        <v>213655.3</v>
      </c>
      <c r="BJ69" s="298">
        <f t="shared" ref="BJ69:BU69" si="183">+BJ44+BJ38+BJ33+BJ28+BJ22+BJ17</f>
        <v>169125.60000000003</v>
      </c>
      <c r="BK69" s="298">
        <f t="shared" si="183"/>
        <v>176899.6</v>
      </c>
      <c r="BL69" s="298">
        <f t="shared" si="183"/>
        <v>179536.30000000002</v>
      </c>
      <c r="BM69" s="298">
        <f t="shared" si="183"/>
        <v>158026.80000000002</v>
      </c>
      <c r="BN69" s="298">
        <f t="shared" si="183"/>
        <v>162458.19999999998</v>
      </c>
      <c r="BO69" s="298">
        <f t="shared" si="183"/>
        <v>177249.09999999998</v>
      </c>
      <c r="BP69" s="298">
        <f t="shared" si="183"/>
        <v>179883.59999999998</v>
      </c>
      <c r="BQ69" s="298">
        <f t="shared" si="183"/>
        <v>178987.19999999998</v>
      </c>
      <c r="BR69" s="298">
        <f t="shared" si="183"/>
        <v>181422</v>
      </c>
      <c r="BS69" s="298">
        <f t="shared" si="183"/>
        <v>179370.6</v>
      </c>
      <c r="BT69" s="298">
        <f t="shared" si="183"/>
        <v>179305.3</v>
      </c>
      <c r="BU69" s="298">
        <f t="shared" si="183"/>
        <v>173984.40000000002</v>
      </c>
      <c r="BV69" s="298">
        <v>173519.60000000003</v>
      </c>
      <c r="BW69" s="298">
        <f t="shared" ref="BW69:CI69" si="184">+BW44+BW38+BW33+BW28+BW22+BW17</f>
        <v>170371.4</v>
      </c>
      <c r="BX69" s="298">
        <f t="shared" si="184"/>
        <v>171309.5</v>
      </c>
      <c r="BY69" s="298">
        <f t="shared" si="184"/>
        <v>171710.19999999998</v>
      </c>
      <c r="BZ69" s="298">
        <f t="shared" si="184"/>
        <v>163419.1</v>
      </c>
      <c r="CA69" s="298">
        <f t="shared" si="184"/>
        <v>164690.79999999999</v>
      </c>
      <c r="CB69" s="298">
        <f t="shared" si="184"/>
        <v>168649.4</v>
      </c>
      <c r="CC69" s="298">
        <f t="shared" si="184"/>
        <v>184313.5</v>
      </c>
      <c r="CD69" s="298">
        <f t="shared" si="184"/>
        <v>179964.90000000002</v>
      </c>
      <c r="CE69" s="298">
        <f t="shared" si="184"/>
        <v>175439.7</v>
      </c>
      <c r="CF69" s="298">
        <f t="shared" si="184"/>
        <v>162439.20000000001</v>
      </c>
      <c r="CG69" s="298">
        <f t="shared" si="184"/>
        <v>164791.5</v>
      </c>
      <c r="CH69" s="298">
        <f t="shared" si="184"/>
        <v>181261.2</v>
      </c>
      <c r="CI69" s="298">
        <f t="shared" si="184"/>
        <v>184634.09999999998</v>
      </c>
      <c r="CJ69" s="298">
        <f t="shared" si="182"/>
        <v>185273.3</v>
      </c>
      <c r="CK69" s="146">
        <f>+CJ69/$CJ$67</f>
        <v>0.39453646889867783</v>
      </c>
    </row>
    <row r="70" spans="2:89" ht="15" x14ac:dyDescent="0.3">
      <c r="B70" s="160" t="s">
        <v>125</v>
      </c>
      <c r="C70" s="142">
        <f t="shared" ref="C70:AC70" si="185">+C29+C23+C18+C34+C45</f>
        <v>37059.300000000003</v>
      </c>
      <c r="D70" s="142">
        <f t="shared" si="185"/>
        <v>36546.5</v>
      </c>
      <c r="E70" s="142">
        <f t="shared" si="185"/>
        <v>36310.300000000003</v>
      </c>
      <c r="F70" s="142">
        <f t="shared" si="185"/>
        <v>35402.500000000007</v>
      </c>
      <c r="G70" s="142">
        <f t="shared" si="185"/>
        <v>34510.9</v>
      </c>
      <c r="H70" s="142">
        <f t="shared" si="185"/>
        <v>36118.400000000001</v>
      </c>
      <c r="I70" s="142">
        <f t="shared" si="185"/>
        <v>36432.800000000003</v>
      </c>
      <c r="J70" s="142">
        <f t="shared" si="185"/>
        <v>32843.599999999999</v>
      </c>
      <c r="K70" s="142">
        <f t="shared" si="185"/>
        <v>32115.1</v>
      </c>
      <c r="L70" s="142">
        <f t="shared" si="185"/>
        <v>32783.699999999997</v>
      </c>
      <c r="M70" s="142">
        <f t="shared" si="185"/>
        <v>33036.800000000003</v>
      </c>
      <c r="N70" s="142">
        <f t="shared" si="185"/>
        <v>39630</v>
      </c>
      <c r="O70" s="142">
        <f t="shared" si="185"/>
        <v>39397.299999999996</v>
      </c>
      <c r="P70" s="142">
        <f t="shared" si="185"/>
        <v>40250</v>
      </c>
      <c r="Q70" s="142">
        <f t="shared" si="185"/>
        <v>40559.600000000006</v>
      </c>
      <c r="R70" s="142">
        <f t="shared" si="185"/>
        <v>43737.200000000004</v>
      </c>
      <c r="S70" s="142">
        <f t="shared" si="185"/>
        <v>42484.799999999996</v>
      </c>
      <c r="T70" s="142">
        <f t="shared" si="185"/>
        <v>43122.400000000001</v>
      </c>
      <c r="U70" s="142">
        <f t="shared" si="185"/>
        <v>41335.899999999994</v>
      </c>
      <c r="V70" s="142">
        <f t="shared" si="185"/>
        <v>43870.9</v>
      </c>
      <c r="W70" s="142">
        <f t="shared" si="185"/>
        <v>42370.2</v>
      </c>
      <c r="X70" s="142">
        <f t="shared" si="185"/>
        <v>40420.699999999997</v>
      </c>
      <c r="Y70" s="142">
        <f t="shared" si="185"/>
        <v>37428.200000000004</v>
      </c>
      <c r="Z70" s="142">
        <f t="shared" si="185"/>
        <v>35791</v>
      </c>
      <c r="AA70" s="142">
        <f t="shared" si="185"/>
        <v>34556.399999999994</v>
      </c>
      <c r="AB70" s="142">
        <f t="shared" si="185"/>
        <v>32215.199999999997</v>
      </c>
      <c r="AC70" s="142">
        <f t="shared" si="185"/>
        <v>33337.199999999997</v>
      </c>
      <c r="AD70" s="142">
        <f t="shared" ref="AD70:BA70" si="186">+AD29+AD23+AD18+AD34+AD45</f>
        <v>35509.199999999997</v>
      </c>
      <c r="AE70" s="142">
        <f t="shared" si="186"/>
        <v>35575.9</v>
      </c>
      <c r="AF70" s="142">
        <f t="shared" si="186"/>
        <v>38807.699999999997</v>
      </c>
      <c r="AG70" s="142">
        <f t="shared" si="186"/>
        <v>41799.1</v>
      </c>
      <c r="AH70" s="142">
        <f t="shared" si="186"/>
        <v>43653</v>
      </c>
      <c r="AI70" s="142">
        <f t="shared" si="186"/>
        <v>40877.5</v>
      </c>
      <c r="AJ70" s="298">
        <f t="shared" si="186"/>
        <v>45456.5</v>
      </c>
      <c r="AK70" s="298">
        <f t="shared" si="186"/>
        <v>47896.399999999994</v>
      </c>
      <c r="AL70" s="298">
        <f t="shared" si="186"/>
        <v>55058.5</v>
      </c>
      <c r="AM70" s="298">
        <f t="shared" si="186"/>
        <v>57399.8</v>
      </c>
      <c r="AN70" s="298">
        <f t="shared" si="186"/>
        <v>57141.3</v>
      </c>
      <c r="AO70" s="298">
        <f t="shared" si="186"/>
        <v>60324.6</v>
      </c>
      <c r="AP70" s="298">
        <f t="shared" si="186"/>
        <v>59021.2</v>
      </c>
      <c r="AQ70" s="298">
        <f t="shared" si="186"/>
        <v>57117.100000000006</v>
      </c>
      <c r="AR70" s="298">
        <f t="shared" si="186"/>
        <v>59786.6</v>
      </c>
      <c r="AS70" s="298">
        <f t="shared" si="186"/>
        <v>63832.3</v>
      </c>
      <c r="AT70" s="298">
        <f t="shared" si="186"/>
        <v>71274.700000000012</v>
      </c>
      <c r="AU70" s="298">
        <f t="shared" si="186"/>
        <v>73638.7</v>
      </c>
      <c r="AV70" s="298">
        <f t="shared" si="186"/>
        <v>73564</v>
      </c>
      <c r="AW70" s="298">
        <f t="shared" si="186"/>
        <v>74702.600000000006</v>
      </c>
      <c r="AX70" s="298">
        <f t="shared" si="186"/>
        <v>78543.8</v>
      </c>
      <c r="AY70" s="298">
        <f t="shared" si="186"/>
        <v>86118.900000000009</v>
      </c>
      <c r="AZ70" s="298">
        <f t="shared" si="186"/>
        <v>85661.7</v>
      </c>
      <c r="BA70" s="298">
        <f t="shared" si="186"/>
        <v>68786.799999999988</v>
      </c>
      <c r="BB70" s="298">
        <f t="shared" ref="BB70:BG70" si="187">+BB29+BB23+BB18+BB34+BB45</f>
        <v>70660.800000000003</v>
      </c>
      <c r="BC70" s="298">
        <f t="shared" si="187"/>
        <v>70956.600000000006</v>
      </c>
      <c r="BD70" s="298">
        <f t="shared" si="187"/>
        <v>73493.2</v>
      </c>
      <c r="BE70" s="298">
        <f t="shared" si="187"/>
        <v>72866.299999999988</v>
      </c>
      <c r="BF70" s="298">
        <f t="shared" si="187"/>
        <v>67528.800000000003</v>
      </c>
      <c r="BG70" s="298">
        <f t="shared" si="187"/>
        <v>70282.5</v>
      </c>
      <c r="BH70" s="298">
        <f t="shared" ref="BH70:CJ70" si="188">+BH29+BH23+BH18+BH34+BH45</f>
        <v>70281.100000000006</v>
      </c>
      <c r="BI70" s="298">
        <f t="shared" si="188"/>
        <v>69581.899999999994</v>
      </c>
      <c r="BJ70" s="298">
        <f t="shared" ref="BJ70:BU70" si="189">+BJ29+BJ23+BJ18+BJ34+BJ45</f>
        <v>59343.299999999996</v>
      </c>
      <c r="BK70" s="298">
        <f t="shared" si="189"/>
        <v>58445.399999999994</v>
      </c>
      <c r="BL70" s="298">
        <f t="shared" si="189"/>
        <v>62212.7</v>
      </c>
      <c r="BM70" s="298">
        <f t="shared" si="189"/>
        <v>100575.6</v>
      </c>
      <c r="BN70" s="298">
        <f t="shared" si="189"/>
        <v>109277.6</v>
      </c>
      <c r="BO70" s="298">
        <f t="shared" si="189"/>
        <v>115820.1</v>
      </c>
      <c r="BP70" s="298">
        <f t="shared" si="189"/>
        <v>119717.50000000001</v>
      </c>
      <c r="BQ70" s="298">
        <f t="shared" si="189"/>
        <v>108367.29999999999</v>
      </c>
      <c r="BR70" s="298">
        <f t="shared" si="189"/>
        <v>110779.20000000001</v>
      </c>
      <c r="BS70" s="298">
        <f t="shared" si="189"/>
        <v>113753.8</v>
      </c>
      <c r="BT70" s="298">
        <f t="shared" si="189"/>
        <v>117405.4</v>
      </c>
      <c r="BU70" s="298">
        <f t="shared" si="189"/>
        <v>124170.8</v>
      </c>
      <c r="BV70" s="298">
        <v>125167.50000000001</v>
      </c>
      <c r="BW70" s="298">
        <f t="shared" ref="BW70:CI70" si="190">+BW29+BW23+BW18+BW34+BW45</f>
        <v>115849.09999999999</v>
      </c>
      <c r="BX70" s="298">
        <f t="shared" si="190"/>
        <v>117744.8</v>
      </c>
      <c r="BY70" s="298">
        <f t="shared" si="190"/>
        <v>118610.59999999999</v>
      </c>
      <c r="BZ70" s="298">
        <f t="shared" si="190"/>
        <v>113363.4</v>
      </c>
      <c r="CA70" s="298">
        <f t="shared" si="190"/>
        <v>107850.4</v>
      </c>
      <c r="CB70" s="298">
        <f t="shared" si="190"/>
        <v>106293.7</v>
      </c>
      <c r="CC70" s="298">
        <f t="shared" si="190"/>
        <v>97354.4</v>
      </c>
      <c r="CD70" s="298">
        <f t="shared" si="190"/>
        <v>99989</v>
      </c>
      <c r="CE70" s="298">
        <f t="shared" si="190"/>
        <v>103501.99999999999</v>
      </c>
      <c r="CF70" s="298">
        <f t="shared" si="190"/>
        <v>106590.50000000001</v>
      </c>
      <c r="CG70" s="298">
        <f t="shared" si="190"/>
        <v>108257.29999999999</v>
      </c>
      <c r="CH70" s="298">
        <f t="shared" si="190"/>
        <v>96355.400000000009</v>
      </c>
      <c r="CI70" s="298">
        <f t="shared" si="190"/>
        <v>99089.9</v>
      </c>
      <c r="CJ70" s="298">
        <f t="shared" si="188"/>
        <v>109361.3</v>
      </c>
      <c r="CK70" s="146">
        <f>+CJ70/$CJ$67</f>
        <v>0.23288310369691143</v>
      </c>
    </row>
    <row r="71" spans="2:89" ht="15" x14ac:dyDescent="0.3">
      <c r="B71" s="160" t="s">
        <v>126</v>
      </c>
      <c r="C71" s="142">
        <f t="shared" ref="C71" si="191">+C41+C35+C30+C19</f>
        <v>105247.8</v>
      </c>
      <c r="D71" s="142">
        <f t="shared" ref="D71:E71" si="192">+D41+D35+D30+D19</f>
        <v>105667.5</v>
      </c>
      <c r="E71" s="142">
        <f t="shared" si="192"/>
        <v>103248.6</v>
      </c>
      <c r="F71" s="142">
        <f t="shared" ref="F71:O71" si="193">+F41+F35+F30+F19</f>
        <v>113884.7</v>
      </c>
      <c r="G71" s="142">
        <f t="shared" ref="G71:H71" si="194">+G41+G35+G30+G19</f>
        <v>114173.7</v>
      </c>
      <c r="H71" s="142">
        <f t="shared" si="194"/>
        <v>115758.5</v>
      </c>
      <c r="I71" s="142">
        <f t="shared" si="193"/>
        <v>120717.6</v>
      </c>
      <c r="J71" s="142">
        <f t="shared" ref="J71:K71" si="195">+J41+J35+J30+J19</f>
        <v>117837.99999999999</v>
      </c>
      <c r="K71" s="142">
        <f t="shared" si="195"/>
        <v>118517.19999999998</v>
      </c>
      <c r="L71" s="142">
        <f t="shared" si="193"/>
        <v>119097.8</v>
      </c>
      <c r="M71" s="142">
        <f t="shared" ref="M71:N71" si="196">+M41+M35+M30+M19</f>
        <v>119312.00000000001</v>
      </c>
      <c r="N71" s="142">
        <f t="shared" si="196"/>
        <v>122162.79999999999</v>
      </c>
      <c r="O71" s="142">
        <f t="shared" si="193"/>
        <v>125168.9</v>
      </c>
      <c r="P71" s="142">
        <f t="shared" ref="P71" si="197">+P41+P35+P30+P19</f>
        <v>125585.1</v>
      </c>
      <c r="Q71" s="142">
        <f t="shared" ref="Q71:R71" si="198">+Q41+Q35+Q30+Q19</f>
        <v>124968.7</v>
      </c>
      <c r="R71" s="142">
        <f t="shared" si="198"/>
        <v>124423.10000000002</v>
      </c>
      <c r="S71" s="142">
        <f t="shared" ref="S71" si="199">+S41+S35+S30+S19</f>
        <v>124664.2</v>
      </c>
      <c r="T71" s="142">
        <f t="shared" ref="T71" si="200">+T41+T35+T30+T19</f>
        <v>123767.1</v>
      </c>
      <c r="U71" s="142">
        <f t="shared" ref="U71:X71" si="201">+U41+U35+U30+U19</f>
        <v>124306.90000000001</v>
      </c>
      <c r="V71" s="142">
        <f t="shared" ref="V71:W71" si="202">+V41+V35+V30+V19</f>
        <v>122970.59999999999</v>
      </c>
      <c r="W71" s="142">
        <f t="shared" si="202"/>
        <v>122214.40000000001</v>
      </c>
      <c r="X71" s="142">
        <f t="shared" si="201"/>
        <v>122243.5</v>
      </c>
      <c r="Y71" s="142">
        <f t="shared" ref="Y71:Z71" si="203">+Y41+Y35+Y30+Y19</f>
        <v>123551.1</v>
      </c>
      <c r="Z71" s="142">
        <f t="shared" si="203"/>
        <v>125167.70000000001</v>
      </c>
      <c r="AA71" s="142">
        <f t="shared" ref="AA71:AB71" si="204">+AA41+AA35+AA30+AA19</f>
        <v>125439.7</v>
      </c>
      <c r="AB71" s="142">
        <f t="shared" si="204"/>
        <v>126462.3</v>
      </c>
      <c r="AC71" s="142">
        <f t="shared" ref="AC71" si="205">+AC41+AC35+AC30+AC19</f>
        <v>125463.30000000002</v>
      </c>
      <c r="AD71" s="142">
        <f t="shared" ref="AD71:BA71" si="206">+AD41+AD35+AD30+AD19</f>
        <v>125962.5</v>
      </c>
      <c r="AE71" s="142">
        <f t="shared" si="206"/>
        <v>126131.40000000002</v>
      </c>
      <c r="AF71" s="142">
        <f t="shared" si="206"/>
        <v>124549.20000000001</v>
      </c>
      <c r="AG71" s="142">
        <f t="shared" si="206"/>
        <v>124030.09999999999</v>
      </c>
      <c r="AH71" s="142">
        <f t="shared" si="206"/>
        <v>123259</v>
      </c>
      <c r="AI71" s="142">
        <f t="shared" si="206"/>
        <v>122591.8</v>
      </c>
      <c r="AJ71" s="298">
        <f t="shared" si="206"/>
        <v>122687.3</v>
      </c>
      <c r="AK71" s="298">
        <f t="shared" si="206"/>
        <v>123551.09999999998</v>
      </c>
      <c r="AL71" s="298">
        <f t="shared" si="206"/>
        <v>124292.8</v>
      </c>
      <c r="AM71" s="298">
        <f t="shared" si="206"/>
        <v>123634.8</v>
      </c>
      <c r="AN71" s="298">
        <f t="shared" si="206"/>
        <v>123656.6</v>
      </c>
      <c r="AO71" s="298">
        <f t="shared" si="206"/>
        <v>130329.8</v>
      </c>
      <c r="AP71" s="298">
        <f t="shared" si="206"/>
        <v>127841.00000000001</v>
      </c>
      <c r="AQ71" s="298">
        <f t="shared" si="206"/>
        <v>131926.9</v>
      </c>
      <c r="AR71" s="298">
        <f t="shared" si="206"/>
        <v>132535.29999999999</v>
      </c>
      <c r="AS71" s="298">
        <f t="shared" si="206"/>
        <v>130802</v>
      </c>
      <c r="AT71" s="298">
        <f t="shared" si="206"/>
        <v>129868.09999999999</v>
      </c>
      <c r="AU71" s="298">
        <f t="shared" si="206"/>
        <v>129468.59999999999</v>
      </c>
      <c r="AV71" s="298">
        <f t="shared" si="206"/>
        <v>131977.70000000001</v>
      </c>
      <c r="AW71" s="298">
        <f t="shared" si="206"/>
        <v>133819</v>
      </c>
      <c r="AX71" s="298">
        <f t="shared" si="206"/>
        <v>139827.4</v>
      </c>
      <c r="AY71" s="298">
        <f t="shared" si="206"/>
        <v>137201</v>
      </c>
      <c r="AZ71" s="298">
        <f t="shared" si="206"/>
        <v>136415.20000000001</v>
      </c>
      <c r="BA71" s="298">
        <f t="shared" si="206"/>
        <v>140158</v>
      </c>
      <c r="BB71" s="298">
        <f t="shared" ref="BB71:BG71" si="207">+BB41+BB35+BB30+BB19</f>
        <v>137485.4</v>
      </c>
      <c r="BC71" s="298">
        <f t="shared" si="207"/>
        <v>136636.1</v>
      </c>
      <c r="BD71" s="298">
        <f t="shared" si="207"/>
        <v>134471.6</v>
      </c>
      <c r="BE71" s="298">
        <f t="shared" si="207"/>
        <v>135283</v>
      </c>
      <c r="BF71" s="298">
        <f t="shared" si="207"/>
        <v>140821.1</v>
      </c>
      <c r="BG71" s="298">
        <f t="shared" si="207"/>
        <v>142655.79999999999</v>
      </c>
      <c r="BH71" s="298">
        <f t="shared" ref="BH71:CJ71" si="208">+BH41+BH35+BH30+BH19</f>
        <v>141305.9</v>
      </c>
      <c r="BI71" s="298">
        <f t="shared" si="208"/>
        <v>139809.20000000001</v>
      </c>
      <c r="BJ71" s="298">
        <f t="shared" ref="BJ71:BU71" si="209">+BJ41+BJ35+BJ30+BJ19</f>
        <v>139756.1</v>
      </c>
      <c r="BK71" s="298">
        <f t="shared" si="209"/>
        <v>143492.79999999999</v>
      </c>
      <c r="BL71" s="298">
        <f t="shared" si="209"/>
        <v>142350</v>
      </c>
      <c r="BM71" s="298">
        <f t="shared" si="209"/>
        <v>142003.09999999998</v>
      </c>
      <c r="BN71" s="298">
        <f t="shared" si="209"/>
        <v>139867.59999999998</v>
      </c>
      <c r="BO71" s="298">
        <f t="shared" si="209"/>
        <v>140177.29999999999</v>
      </c>
      <c r="BP71" s="298">
        <f t="shared" si="209"/>
        <v>140471.29999999999</v>
      </c>
      <c r="BQ71" s="298">
        <f t="shared" si="209"/>
        <v>162263.30000000002</v>
      </c>
      <c r="BR71" s="298">
        <f t="shared" si="209"/>
        <v>163734.90000000002</v>
      </c>
      <c r="BS71" s="298">
        <f t="shared" si="209"/>
        <v>164463.29999999999</v>
      </c>
      <c r="BT71" s="298">
        <f t="shared" si="209"/>
        <v>164070.80000000002</v>
      </c>
      <c r="BU71" s="298">
        <f t="shared" si="209"/>
        <v>164343.6</v>
      </c>
      <c r="BV71" s="298">
        <v>165816.1</v>
      </c>
      <c r="BW71" s="298">
        <f t="shared" ref="BW71:CI71" si="210">+BW41+BW35+BW30+BW19</f>
        <v>179154.59999999998</v>
      </c>
      <c r="BX71" s="298">
        <f t="shared" si="210"/>
        <v>179687.4</v>
      </c>
      <c r="BY71" s="298">
        <f t="shared" si="210"/>
        <v>180782.1</v>
      </c>
      <c r="BZ71" s="298">
        <f t="shared" si="210"/>
        <v>193638.7</v>
      </c>
      <c r="CA71" s="298">
        <f t="shared" si="210"/>
        <v>185976.6</v>
      </c>
      <c r="CB71" s="298">
        <f t="shared" si="210"/>
        <v>187874.4</v>
      </c>
      <c r="CC71" s="298">
        <f t="shared" si="210"/>
        <v>163010.80000000002</v>
      </c>
      <c r="CD71" s="298">
        <f t="shared" si="210"/>
        <v>171786.6</v>
      </c>
      <c r="CE71" s="298">
        <f t="shared" si="210"/>
        <v>172569.8</v>
      </c>
      <c r="CF71" s="298">
        <f t="shared" si="210"/>
        <v>171701.5</v>
      </c>
      <c r="CG71" s="298">
        <f t="shared" si="210"/>
        <v>171469.9</v>
      </c>
      <c r="CH71" s="298">
        <f t="shared" si="210"/>
        <v>174934.5</v>
      </c>
      <c r="CI71" s="298">
        <f t="shared" si="210"/>
        <v>174673.5</v>
      </c>
      <c r="CJ71" s="298">
        <f t="shared" si="208"/>
        <v>174962.80000000002</v>
      </c>
      <c r="CK71" s="146">
        <f>+CJ71/$CJ$67</f>
        <v>0.37258042740441066</v>
      </c>
    </row>
    <row r="72" spans="2:89" ht="15.6" thickBot="1" x14ac:dyDescent="0.35">
      <c r="B72" s="153"/>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c r="AI72" s="154"/>
      <c r="AJ72" s="301"/>
      <c r="AK72" s="301"/>
      <c r="AL72" s="301"/>
      <c r="AM72" s="301"/>
      <c r="AN72" s="301"/>
      <c r="AO72" s="301"/>
      <c r="AP72" s="301"/>
      <c r="AQ72" s="301"/>
      <c r="AR72" s="301"/>
      <c r="AS72" s="301"/>
      <c r="AT72" s="301"/>
      <c r="AU72" s="301"/>
      <c r="AV72" s="301"/>
      <c r="AW72" s="301"/>
      <c r="AX72" s="301"/>
      <c r="AY72" s="301"/>
      <c r="AZ72" s="301"/>
      <c r="BA72" s="301"/>
      <c r="BB72" s="301"/>
      <c r="BC72" s="301"/>
      <c r="BD72" s="301"/>
      <c r="BE72" s="301"/>
      <c r="BF72" s="301"/>
      <c r="BG72" s="301"/>
      <c r="BH72" s="301"/>
      <c r="BI72" s="301"/>
      <c r="BJ72" s="301"/>
      <c r="BK72" s="301"/>
      <c r="BL72" s="301"/>
      <c r="BM72" s="301"/>
      <c r="BN72" s="301"/>
      <c r="BO72" s="301"/>
      <c r="BP72" s="301"/>
      <c r="BQ72" s="301"/>
      <c r="BR72" s="301"/>
      <c r="BS72" s="301"/>
      <c r="BT72" s="301"/>
      <c r="BU72" s="301"/>
      <c r="BV72" s="301"/>
      <c r="BW72" s="301"/>
      <c r="BX72" s="301"/>
      <c r="BY72" s="301"/>
      <c r="BZ72" s="301"/>
      <c r="CA72" s="301"/>
      <c r="CB72" s="301"/>
      <c r="CC72" s="301"/>
      <c r="CD72" s="301"/>
      <c r="CE72" s="301"/>
      <c r="CF72" s="301"/>
      <c r="CG72" s="301"/>
      <c r="CH72" s="301"/>
      <c r="CI72" s="301"/>
      <c r="CJ72" s="301"/>
      <c r="CK72" s="154"/>
    </row>
    <row r="73" spans="2:89" ht="15" thickTop="1" x14ac:dyDescent="0.3"/>
    <row r="74" spans="2:89" x14ac:dyDescent="0.3">
      <c r="B74" s="161" t="s">
        <v>65</v>
      </c>
      <c r="C74" s="161"/>
      <c r="D74" s="161"/>
      <c r="E74" s="161"/>
      <c r="N74" s="130"/>
      <c r="O74" s="130"/>
      <c r="P74" s="130"/>
      <c r="Q74" s="129"/>
      <c r="R74" s="129"/>
      <c r="S74" s="129"/>
      <c r="T74" s="129"/>
      <c r="U74" s="129"/>
      <c r="V74" s="129"/>
      <c r="W74" s="129"/>
      <c r="X74" s="129"/>
      <c r="Y74" s="129"/>
      <c r="Z74" s="129"/>
      <c r="AA74" s="129"/>
      <c r="AB74" s="129"/>
      <c r="AC74" s="129"/>
      <c r="AD74" s="129"/>
      <c r="AE74" s="129"/>
      <c r="AF74" s="129"/>
      <c r="AG74" s="129"/>
      <c r="AH74" s="129"/>
      <c r="AI74" s="129"/>
      <c r="AJ74" s="291"/>
      <c r="AK74" s="291"/>
      <c r="AL74" s="291"/>
      <c r="AM74" s="291"/>
      <c r="AN74" s="291"/>
      <c r="AO74" s="291"/>
      <c r="AP74" s="291"/>
      <c r="AQ74" s="291"/>
      <c r="AR74" s="291"/>
      <c r="AS74" s="291"/>
      <c r="AT74" s="291"/>
      <c r="AU74" s="291"/>
      <c r="AV74" s="291"/>
      <c r="AW74" s="291"/>
      <c r="AX74" s="291"/>
      <c r="AY74" s="291"/>
      <c r="AZ74" s="291"/>
      <c r="BA74" s="291"/>
      <c r="BB74" s="291"/>
      <c r="BC74" s="291"/>
      <c r="BD74" s="291"/>
      <c r="BE74" s="291"/>
      <c r="BF74" s="291"/>
      <c r="BG74" s="291"/>
      <c r="BH74" s="291"/>
      <c r="BI74" s="291"/>
      <c r="BJ74" s="291"/>
      <c r="BK74" s="291"/>
      <c r="BL74" s="291"/>
      <c r="BM74" s="291"/>
      <c r="BN74" s="291"/>
      <c r="BO74" s="291"/>
      <c r="BP74" s="291"/>
      <c r="BQ74" s="291"/>
      <c r="BR74" s="291"/>
      <c r="BS74" s="291"/>
      <c r="BT74" s="291"/>
      <c r="BU74" s="291"/>
      <c r="BV74" s="291"/>
      <c r="BW74" s="291"/>
      <c r="BX74" s="291"/>
      <c r="BY74" s="291"/>
      <c r="BZ74" s="291"/>
      <c r="CA74" s="291"/>
      <c r="CB74" s="291"/>
      <c r="CC74" s="291"/>
      <c r="CD74" s="291"/>
      <c r="CE74" s="291"/>
      <c r="CF74" s="291"/>
      <c r="CG74" s="291"/>
      <c r="CH74" s="291"/>
      <c r="CI74" s="291"/>
      <c r="CJ74" s="291"/>
    </row>
    <row r="75" spans="2:89" x14ac:dyDescent="0.3">
      <c r="B75" s="458" t="s">
        <v>109</v>
      </c>
      <c r="C75" s="458"/>
      <c r="D75" s="458"/>
      <c r="E75" s="458"/>
      <c r="F75" s="458"/>
      <c r="G75" s="458"/>
      <c r="H75" s="458"/>
      <c r="I75" s="458"/>
      <c r="J75" s="458"/>
      <c r="K75" s="458"/>
      <c r="L75" s="458"/>
      <c r="M75" s="458"/>
      <c r="N75" s="458"/>
      <c r="O75" s="458"/>
      <c r="P75" s="458"/>
      <c r="Q75" s="458"/>
      <c r="R75" s="458"/>
      <c r="S75" s="458"/>
      <c r="T75" s="458"/>
      <c r="U75" s="458"/>
      <c r="V75" s="458"/>
      <c r="W75" s="458"/>
      <c r="X75" s="458"/>
      <c r="Y75" s="458"/>
      <c r="Z75" s="458"/>
      <c r="AA75" s="458"/>
      <c r="AB75" s="458"/>
      <c r="AC75" s="458"/>
      <c r="AD75" s="458"/>
      <c r="AE75" s="458"/>
      <c r="AF75" s="458"/>
      <c r="AG75" s="458"/>
      <c r="AH75" s="458"/>
      <c r="AI75" s="458"/>
      <c r="AJ75" s="458"/>
      <c r="AK75" s="458"/>
      <c r="AL75" s="458"/>
      <c r="AM75" s="458"/>
      <c r="AN75" s="458"/>
      <c r="AO75" s="458"/>
      <c r="AP75" s="458"/>
      <c r="AQ75" s="458"/>
      <c r="AR75" s="458"/>
      <c r="AS75" s="458"/>
      <c r="AT75" s="458"/>
      <c r="AU75" s="458"/>
      <c r="AV75" s="458"/>
      <c r="AW75" s="458"/>
      <c r="AX75" s="458"/>
      <c r="AY75" s="458"/>
      <c r="AZ75" s="458"/>
      <c r="BA75" s="458"/>
      <c r="BB75" s="458"/>
      <c r="BC75" s="458"/>
      <c r="BD75" s="458"/>
      <c r="BE75" s="458"/>
      <c r="BF75" s="458"/>
      <c r="BG75" s="458"/>
      <c r="BH75" s="458"/>
      <c r="BI75" s="458"/>
      <c r="BJ75" s="458"/>
      <c r="BK75" s="458"/>
      <c r="BL75" s="458"/>
      <c r="BM75" s="458"/>
      <c r="BN75" s="458"/>
      <c r="BO75" s="458"/>
      <c r="BP75" s="458"/>
      <c r="BQ75" s="458"/>
      <c r="BR75" s="458"/>
      <c r="BS75" s="458"/>
      <c r="BT75" s="458"/>
      <c r="BU75" s="458"/>
      <c r="BV75" s="458"/>
      <c r="BW75" s="458"/>
      <c r="BX75" s="458"/>
      <c r="BY75" s="458"/>
      <c r="BZ75" s="458"/>
      <c r="CA75" s="458"/>
      <c r="CB75" s="458"/>
      <c r="CC75" s="458"/>
      <c r="CD75" s="458"/>
      <c r="CE75" s="458"/>
      <c r="CF75" s="458"/>
      <c r="CG75" s="458"/>
      <c r="CH75" s="458"/>
      <c r="CI75" s="458"/>
      <c r="CJ75" s="458"/>
      <c r="CK75" s="458"/>
    </row>
    <row r="76" spans="2:89" ht="17.25" customHeight="1" x14ac:dyDescent="0.3">
      <c r="B76" s="65" t="s">
        <v>143</v>
      </c>
      <c r="I76" s="291"/>
      <c r="J76" s="291"/>
      <c r="K76" s="291"/>
      <c r="L76" s="291"/>
      <c r="M76" s="291"/>
      <c r="N76" s="291"/>
      <c r="O76" s="291"/>
      <c r="P76" s="291"/>
      <c r="Q76" s="291"/>
      <c r="R76" s="291"/>
      <c r="S76" s="291"/>
      <c r="T76" s="291"/>
      <c r="U76" s="291"/>
      <c r="V76" s="291"/>
      <c r="W76" s="291"/>
      <c r="X76" s="291"/>
      <c r="Y76" s="291"/>
      <c r="Z76" s="291"/>
      <c r="AA76" s="291"/>
      <c r="AB76" s="291"/>
      <c r="AC76" s="291"/>
      <c r="AD76" s="291"/>
      <c r="AE76" s="291"/>
      <c r="AF76" s="291"/>
      <c r="AG76" s="291"/>
      <c r="AH76" s="291"/>
      <c r="AI76" s="291"/>
      <c r="AJ76" s="291"/>
      <c r="AK76" s="291"/>
      <c r="AL76" s="291"/>
      <c r="AM76" s="291"/>
      <c r="AN76" s="291"/>
      <c r="AO76" s="291"/>
      <c r="AP76" s="291"/>
      <c r="AQ76" s="291"/>
      <c r="AR76" s="291"/>
      <c r="AS76" s="291"/>
      <c r="AT76" s="291"/>
      <c r="AU76" s="291"/>
      <c r="AV76" s="291"/>
      <c r="AW76" s="291"/>
      <c r="AX76" s="291"/>
      <c r="AY76" s="291"/>
      <c r="AZ76" s="291"/>
      <c r="BA76" s="291"/>
      <c r="BB76" s="291"/>
      <c r="BC76" s="291"/>
      <c r="BD76" s="291"/>
      <c r="BE76" s="291"/>
      <c r="BF76" s="291"/>
      <c r="BG76" s="291"/>
      <c r="BH76" s="291"/>
      <c r="BI76" s="291"/>
      <c r="BJ76" s="291"/>
      <c r="BK76" s="291"/>
      <c r="BL76" s="291"/>
      <c r="BM76" s="291"/>
      <c r="BN76" s="291"/>
      <c r="BO76" s="291"/>
      <c r="BP76" s="291"/>
      <c r="BQ76" s="291"/>
      <c r="BR76" s="291"/>
      <c r="BS76" s="291"/>
      <c r="BT76" s="291"/>
      <c r="BU76" s="291"/>
      <c r="BV76" s="291"/>
      <c r="BW76" s="291"/>
      <c r="BX76" s="291"/>
      <c r="BY76" s="291"/>
      <c r="BZ76" s="291"/>
      <c r="CA76" s="291"/>
      <c r="CB76" s="291"/>
      <c r="CC76" s="291"/>
      <c r="CD76" s="291"/>
      <c r="CE76" s="291"/>
      <c r="CF76" s="291"/>
      <c r="CG76" s="291"/>
      <c r="CH76" s="291"/>
      <c r="CI76" s="291"/>
      <c r="CJ76" s="291"/>
      <c r="CK76" s="129"/>
    </row>
    <row r="77" spans="2:89" ht="80.25" customHeight="1" x14ac:dyDescent="0.3">
      <c r="B77" s="447" t="s">
        <v>193</v>
      </c>
      <c r="C77" s="448"/>
      <c r="D77" s="448"/>
      <c r="E77" s="448"/>
      <c r="F77" s="448"/>
      <c r="G77" s="449"/>
      <c r="H77" s="128"/>
      <c r="I77" s="128"/>
      <c r="J77" s="128"/>
      <c r="CK77" s="129"/>
    </row>
    <row r="78" spans="2:89" ht="71.25" customHeight="1" x14ac:dyDescent="0.3">
      <c r="B78" s="450" t="s">
        <v>192</v>
      </c>
      <c r="C78" s="451"/>
      <c r="D78" s="451"/>
      <c r="E78" s="451"/>
      <c r="F78" s="451"/>
      <c r="G78" s="452"/>
      <c r="H78" s="129"/>
      <c r="I78" s="129"/>
      <c r="J78" s="129"/>
      <c r="CK78" s="129"/>
    </row>
    <row r="79" spans="2:89" x14ac:dyDescent="0.3">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129"/>
    </row>
    <row r="80" spans="2:89" ht="59.4" customHeight="1" x14ac:dyDescent="0.3">
      <c r="B80" s="445" t="s">
        <v>334</v>
      </c>
      <c r="C80" s="445"/>
      <c r="D80" s="445"/>
      <c r="E80" s="445"/>
      <c r="F80" s="445"/>
      <c r="G80" s="445"/>
      <c r="H80" s="129"/>
      <c r="I80" s="129"/>
      <c r="J80" s="129"/>
    </row>
    <row r="82" spans="3:10" x14ac:dyDescent="0.3">
      <c r="C82" s="129"/>
      <c r="D82" s="129"/>
      <c r="E82" s="129"/>
      <c r="H82" s="129"/>
      <c r="I82" s="129"/>
      <c r="J82" s="129"/>
    </row>
    <row r="102" spans="3:88" x14ac:dyDescent="0.3">
      <c r="C102" s="291"/>
      <c r="D102" s="291"/>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c r="AA102" s="291"/>
      <c r="AB102" s="291"/>
      <c r="AC102" s="291"/>
      <c r="AD102" s="291"/>
      <c r="AE102" s="291"/>
      <c r="AF102" s="291"/>
      <c r="AG102" s="291"/>
      <c r="AH102" s="291"/>
      <c r="AI102" s="291"/>
      <c r="AJ102" s="291"/>
      <c r="AK102" s="291"/>
      <c r="AL102" s="291"/>
      <c r="AM102" s="291"/>
      <c r="AN102" s="291"/>
      <c r="AO102" s="291"/>
      <c r="AP102" s="291"/>
      <c r="AQ102" s="291"/>
      <c r="AR102" s="291"/>
      <c r="AS102" s="291"/>
      <c r="AT102" s="291"/>
      <c r="AU102" s="291"/>
      <c r="AV102" s="291"/>
      <c r="AW102" s="291"/>
      <c r="AX102" s="291"/>
      <c r="AY102" s="291"/>
      <c r="AZ102" s="291"/>
      <c r="BA102" s="291"/>
      <c r="BB102" s="291"/>
      <c r="BC102" s="291"/>
      <c r="BD102" s="291"/>
      <c r="BE102" s="291"/>
      <c r="BF102" s="291"/>
      <c r="BG102" s="291"/>
      <c r="BH102" s="291"/>
      <c r="BI102" s="291"/>
      <c r="BJ102" s="291"/>
      <c r="BK102" s="291"/>
      <c r="BL102" s="291"/>
      <c r="BM102" s="291"/>
      <c r="BN102" s="291"/>
      <c r="BO102" s="291"/>
      <c r="BP102" s="291"/>
      <c r="BQ102" s="291"/>
      <c r="BR102" s="291"/>
      <c r="BS102" s="291"/>
      <c r="BT102" s="291"/>
      <c r="BU102" s="291"/>
      <c r="BV102" s="291"/>
      <c r="BW102" s="291"/>
      <c r="BX102" s="291"/>
      <c r="BY102" s="291"/>
      <c r="BZ102" s="291"/>
      <c r="CA102" s="291"/>
      <c r="CB102" s="291"/>
      <c r="CC102" s="291"/>
      <c r="CD102" s="291"/>
      <c r="CE102" s="291"/>
      <c r="CF102" s="291"/>
      <c r="CG102" s="291"/>
      <c r="CH102" s="291"/>
      <c r="CI102" s="291"/>
      <c r="CJ102" s="291"/>
    </row>
    <row r="193" spans="2:3" x14ac:dyDescent="0.3">
      <c r="B193" s="162"/>
      <c r="C193" s="130"/>
    </row>
    <row r="194" spans="2:3" x14ac:dyDescent="0.3">
      <c r="B194" s="162"/>
      <c r="C194" s="130"/>
    </row>
    <row r="195" spans="2:3" x14ac:dyDescent="0.3">
      <c r="B195" s="162"/>
      <c r="C195" s="130"/>
    </row>
    <row r="196" spans="2:3" x14ac:dyDescent="0.3">
      <c r="B196" s="162"/>
      <c r="C196" s="130"/>
    </row>
    <row r="197" spans="2:3" x14ac:dyDescent="0.3">
      <c r="B197" s="162"/>
      <c r="C197" s="130"/>
    </row>
    <row r="198" spans="2:3" x14ac:dyDescent="0.3">
      <c r="B198" s="162"/>
    </row>
    <row r="199" spans="2:3" x14ac:dyDescent="0.3">
      <c r="B199" s="162"/>
      <c r="C199" s="130"/>
    </row>
    <row r="202" spans="2:3" x14ac:dyDescent="0.3">
      <c r="B202" s="162"/>
      <c r="C202" s="130"/>
    </row>
    <row r="203" spans="2:3" x14ac:dyDescent="0.3">
      <c r="B203" s="162"/>
      <c r="C203" s="130"/>
    </row>
    <row r="204" spans="2:3" x14ac:dyDescent="0.3">
      <c r="B204" s="162"/>
      <c r="C204" s="130"/>
    </row>
  </sheetData>
  <mergeCells count="9">
    <mergeCell ref="B80:G80"/>
    <mergeCell ref="B6:M6"/>
    <mergeCell ref="B7:M7"/>
    <mergeCell ref="B78:G78"/>
    <mergeCell ref="B77:G77"/>
    <mergeCell ref="B75:CK75"/>
    <mergeCell ref="B49:M49"/>
    <mergeCell ref="B64:M64"/>
    <mergeCell ref="B8:M8"/>
  </mergeCells>
  <hyperlinks>
    <hyperlink ref="A1" location="Indice!A1" display="A.1"/>
  </hyperlinks>
  <pageMargins left="0.11811023622047245" right="0.11811023622047245" top="0.35433070866141736" bottom="0.35433070866141736" header="0.31496062992125984" footer="0.31496062992125984"/>
  <pageSetup paperSize="9" scale="75"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pageSetUpPr fitToPage="1"/>
  </sheetPr>
  <dimension ref="A1:DS464"/>
  <sheetViews>
    <sheetView zoomScale="80" zoomScaleNormal="80" workbookViewId="0">
      <pane xSplit="2" ySplit="10" topLeftCell="C11" activePane="bottomRight" state="frozen"/>
      <selection pane="topRight" activeCell="C1" sqref="C1"/>
      <selection pane="bottomLeft" activeCell="A11" sqref="A11"/>
      <selection pane="bottomRight" activeCell="B2" sqref="B2"/>
    </sheetView>
  </sheetViews>
  <sheetFormatPr baseColWidth="10" defaultColWidth="11.44140625" defaultRowHeight="15" x14ac:dyDescent="0.3"/>
  <cols>
    <col min="1" max="1" width="8.44140625" style="222" customWidth="1"/>
    <col min="2" max="2" width="120.6640625" style="163" customWidth="1"/>
    <col min="3" max="3" width="14.6640625" style="164" customWidth="1"/>
    <col min="4" max="13" width="14.6640625" style="1" customWidth="1"/>
    <col min="14" max="14" width="13.44140625" style="165" bestFit="1" customWidth="1"/>
    <col min="15" max="15" width="12.88671875" style="165" bestFit="1" customWidth="1"/>
    <col min="16" max="16" width="13" style="165" bestFit="1" customWidth="1"/>
    <col min="17" max="17" width="13.33203125" style="165" bestFit="1" customWidth="1"/>
    <col min="18" max="18" width="13" style="165" bestFit="1" customWidth="1"/>
    <col min="19" max="19" width="13.5546875" style="165" bestFit="1" customWidth="1"/>
    <col min="20" max="20" width="12.77734375" style="165" bestFit="1" customWidth="1"/>
    <col min="21" max="21" width="13.5546875" style="165" bestFit="1" customWidth="1"/>
    <col min="22" max="22" width="13.5546875" style="1" bestFit="1" customWidth="1"/>
    <col min="23" max="24" width="13" style="1" bestFit="1" customWidth="1"/>
    <col min="25" max="25" width="12.88671875" style="1" bestFit="1" customWidth="1"/>
    <col min="26" max="26" width="13.109375" style="1" bestFit="1" customWidth="1"/>
    <col min="27" max="27" width="13.21875" style="1" bestFit="1" customWidth="1"/>
    <col min="28" max="28" width="13.44140625" style="1" bestFit="1" customWidth="1"/>
    <col min="29" max="29" width="13.109375" style="1" bestFit="1" customWidth="1"/>
    <col min="30" max="30" width="13.21875" style="1" bestFit="1" customWidth="1"/>
    <col min="31" max="31" width="13.33203125" style="1" bestFit="1" customWidth="1"/>
    <col min="32" max="32" width="13.109375" style="1" bestFit="1" customWidth="1"/>
    <col min="33" max="33" width="13.44140625" style="1" bestFit="1" customWidth="1"/>
    <col min="34" max="34" width="13.6640625" style="1" bestFit="1" customWidth="1"/>
    <col min="35" max="35" width="13.33203125" style="1" bestFit="1" customWidth="1"/>
    <col min="36" max="36" width="13.21875" style="1" bestFit="1" customWidth="1"/>
    <col min="37" max="37" width="13" style="1" bestFit="1" customWidth="1"/>
    <col min="38" max="38" width="13.21875" style="1" bestFit="1" customWidth="1"/>
    <col min="39" max="39" width="13.109375" style="1" bestFit="1" customWidth="1"/>
    <col min="40" max="40" width="13.44140625" style="1" bestFit="1" customWidth="1"/>
    <col min="41" max="41" width="13.33203125" style="1" bestFit="1" customWidth="1"/>
    <col min="42" max="43" width="12.77734375" style="1" bestFit="1" customWidth="1"/>
    <col min="44" max="44" width="13.21875" style="1" bestFit="1" customWidth="1"/>
    <col min="45" max="45" width="12.88671875" style="1" bestFit="1" customWidth="1"/>
    <col min="46" max="46" width="12.77734375" style="1" bestFit="1" customWidth="1"/>
    <col min="47" max="47" width="13.33203125" style="1" bestFit="1" customWidth="1"/>
    <col min="48" max="48" width="12.88671875" style="1" bestFit="1" customWidth="1"/>
    <col min="49" max="49" width="13.77734375" style="1" bestFit="1" customWidth="1"/>
    <col min="50" max="50" width="13" style="1" bestFit="1" customWidth="1"/>
    <col min="51" max="51" width="13.21875" style="1" bestFit="1" customWidth="1"/>
    <col min="52" max="52" width="13.109375" style="1" bestFit="1" customWidth="1"/>
    <col min="53" max="53" width="13.44140625" style="1" bestFit="1" customWidth="1"/>
    <col min="54" max="54" width="13.5546875" style="1" bestFit="1" customWidth="1"/>
    <col min="55" max="55" width="13.33203125" style="1" bestFit="1" customWidth="1"/>
    <col min="56" max="56" width="13.5546875" style="1" bestFit="1" customWidth="1"/>
    <col min="57" max="57" width="13.21875" style="1" bestFit="1" customWidth="1"/>
    <col min="58" max="58" width="12.88671875" style="1" bestFit="1" customWidth="1"/>
    <col min="59" max="59" width="14" style="1" bestFit="1" customWidth="1"/>
    <col min="60" max="60" width="12.88671875" style="1" bestFit="1" customWidth="1"/>
    <col min="61" max="61" width="13" style="1" bestFit="1" customWidth="1"/>
    <col min="62" max="62" width="13.21875" style="1" bestFit="1" customWidth="1"/>
    <col min="63" max="63" width="13.44140625" style="1" bestFit="1" customWidth="1"/>
    <col min="64" max="64" width="13.5546875" style="1" bestFit="1" customWidth="1"/>
    <col min="65" max="65" width="13.88671875" style="1" bestFit="1" customWidth="1"/>
    <col min="66" max="66" width="13.21875" style="1" bestFit="1" customWidth="1"/>
    <col min="67" max="67" width="13.44140625" style="1" bestFit="1" customWidth="1"/>
    <col min="68" max="68" width="12.88671875" style="1" bestFit="1" customWidth="1"/>
    <col min="69" max="69" width="12.77734375" style="1" bestFit="1" customWidth="1"/>
    <col min="70" max="70" width="13.88671875" style="1" bestFit="1" customWidth="1"/>
    <col min="71" max="71" width="14.109375" style="1" bestFit="1" customWidth="1"/>
    <col min="72" max="72" width="13.77734375" style="1" bestFit="1" customWidth="1"/>
    <col min="73" max="73" width="13.6640625" style="1" bestFit="1" customWidth="1"/>
    <col min="74" max="74" width="13.77734375" style="1" bestFit="1" customWidth="1"/>
    <col min="75" max="75" width="13" style="1" bestFit="1" customWidth="1"/>
    <col min="76" max="76" width="13.88671875" style="1" bestFit="1" customWidth="1"/>
    <col min="77" max="77" width="12.88671875" style="1" bestFit="1" customWidth="1"/>
    <col min="78" max="79" width="13.21875" style="1" bestFit="1" customWidth="1"/>
    <col min="80" max="80" width="13.44140625" style="1" bestFit="1" customWidth="1"/>
    <col min="81" max="81" width="13.5546875" style="1" customWidth="1"/>
    <col min="82" max="88" width="13.6640625" style="1" customWidth="1"/>
    <col min="89" max="89" width="17.6640625" style="1" bestFit="1" customWidth="1"/>
    <col min="90" max="90" width="17.88671875" style="1" bestFit="1" customWidth="1"/>
    <col min="91" max="16384" width="11.44140625" style="1"/>
  </cols>
  <sheetData>
    <row r="1" spans="1:88" x14ac:dyDescent="0.3">
      <c r="A1" s="7" t="s">
        <v>108</v>
      </c>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c r="AY1" s="164"/>
      <c r="AZ1" s="164"/>
      <c r="BA1" s="164"/>
      <c r="BB1" s="164"/>
      <c r="BC1" s="164"/>
      <c r="BD1" s="164"/>
      <c r="BE1" s="164"/>
      <c r="BF1" s="164"/>
      <c r="BG1" s="164"/>
      <c r="BH1" s="164"/>
      <c r="BI1" s="164"/>
      <c r="BJ1" s="164"/>
      <c r="BK1" s="164"/>
      <c r="BL1" s="164"/>
      <c r="BM1" s="164"/>
      <c r="BN1" s="164"/>
      <c r="BO1" s="164"/>
      <c r="BP1" s="164"/>
      <c r="BQ1" s="164"/>
      <c r="BR1" s="164"/>
      <c r="BS1" s="164"/>
      <c r="BT1" s="164"/>
      <c r="BU1" s="164"/>
      <c r="BV1" s="164"/>
      <c r="BW1" s="164"/>
      <c r="BX1" s="164"/>
      <c r="BY1" s="164"/>
      <c r="BZ1" s="164"/>
      <c r="CA1" s="164"/>
      <c r="CB1" s="164"/>
      <c r="CC1" s="164"/>
      <c r="CD1" s="164"/>
      <c r="CE1" s="164"/>
      <c r="CF1" s="164"/>
      <c r="CG1" s="164"/>
      <c r="CH1" s="164"/>
      <c r="CI1" s="164"/>
      <c r="CJ1" s="164"/>
    </row>
    <row r="2" spans="1:88" ht="16.2" x14ac:dyDescent="0.3">
      <c r="A2" s="166"/>
      <c r="B2" s="75" t="s">
        <v>183</v>
      </c>
      <c r="C2" s="167"/>
    </row>
    <row r="3" spans="1:88" ht="16.2" x14ac:dyDescent="0.3">
      <c r="A3" s="168"/>
      <c r="B3" s="169" t="s">
        <v>0</v>
      </c>
      <c r="C3" s="170"/>
      <c r="D3" s="170"/>
      <c r="E3" s="170"/>
      <c r="F3" s="170"/>
      <c r="G3" s="170"/>
      <c r="H3" s="170"/>
      <c r="I3" s="170"/>
      <c r="J3" s="170"/>
      <c r="K3" s="170"/>
      <c r="L3" s="170"/>
      <c r="M3" s="170"/>
      <c r="N3" s="171"/>
      <c r="O3" s="171"/>
      <c r="P3" s="171"/>
      <c r="Q3" s="171"/>
      <c r="R3" s="171"/>
      <c r="S3" s="171"/>
      <c r="T3" s="171"/>
      <c r="U3" s="171"/>
    </row>
    <row r="4" spans="1:88" ht="5.0999999999999996" customHeight="1" x14ac:dyDescent="0.3">
      <c r="A4" s="166"/>
      <c r="B4" s="172"/>
      <c r="C4" s="167"/>
    </row>
    <row r="5" spans="1:88" ht="18" x14ac:dyDescent="0.35">
      <c r="A5" s="166"/>
      <c r="B5" s="454"/>
      <c r="C5" s="454"/>
      <c r="D5" s="454"/>
      <c r="E5" s="454"/>
      <c r="F5" s="454"/>
      <c r="G5" s="454"/>
      <c r="H5" s="454"/>
      <c r="I5" s="454"/>
      <c r="J5" s="454"/>
      <c r="K5" s="454"/>
      <c r="L5" s="454"/>
      <c r="M5" s="454"/>
      <c r="N5" s="454"/>
      <c r="O5" s="1"/>
      <c r="P5" s="1"/>
      <c r="Q5" s="1"/>
      <c r="R5" s="1"/>
      <c r="S5" s="1"/>
      <c r="T5" s="1"/>
      <c r="U5" s="1"/>
    </row>
    <row r="6" spans="1:88" ht="18" x14ac:dyDescent="0.35">
      <c r="A6" s="166"/>
      <c r="B6" s="459" t="s">
        <v>417</v>
      </c>
      <c r="C6" s="459"/>
      <c r="D6" s="459"/>
      <c r="E6" s="459"/>
      <c r="F6" s="459"/>
      <c r="G6" s="459"/>
      <c r="H6" s="459"/>
      <c r="I6" s="459"/>
      <c r="J6" s="459"/>
      <c r="K6" s="459"/>
      <c r="L6" s="459"/>
      <c r="M6" s="459"/>
      <c r="N6" s="459"/>
      <c r="O6" s="1"/>
      <c r="P6" s="1"/>
      <c r="Q6" s="1"/>
      <c r="R6" s="1"/>
      <c r="S6" s="1"/>
      <c r="T6" s="1"/>
      <c r="U6" s="1"/>
    </row>
    <row r="7" spans="1:88" ht="16.2" x14ac:dyDescent="0.3">
      <c r="A7" s="173"/>
      <c r="B7" s="453" t="s">
        <v>426</v>
      </c>
      <c r="C7" s="453"/>
      <c r="D7" s="453"/>
      <c r="E7" s="453"/>
      <c r="F7" s="453"/>
      <c r="G7" s="453"/>
      <c r="H7" s="453"/>
      <c r="I7" s="453"/>
      <c r="J7" s="453"/>
      <c r="K7" s="453"/>
      <c r="L7" s="453"/>
      <c r="M7" s="453"/>
      <c r="N7" s="453"/>
      <c r="O7" s="1"/>
      <c r="P7" s="1"/>
      <c r="Q7" s="1"/>
      <c r="R7" s="1"/>
      <c r="S7" s="1"/>
      <c r="T7" s="1"/>
      <c r="U7" s="1"/>
    </row>
    <row r="8" spans="1:88" ht="7.5" customHeight="1" x14ac:dyDescent="0.3">
      <c r="A8" s="173"/>
      <c r="B8" s="174"/>
      <c r="C8" s="174"/>
      <c r="D8" s="175"/>
      <c r="E8" s="176"/>
      <c r="F8" s="176"/>
      <c r="G8" s="176"/>
      <c r="H8" s="176"/>
      <c r="I8" s="176"/>
      <c r="J8" s="176"/>
      <c r="K8" s="176"/>
      <c r="L8" s="176"/>
      <c r="M8" s="176"/>
      <c r="N8" s="177"/>
      <c r="O8" s="177"/>
      <c r="P8" s="177"/>
      <c r="Q8" s="177"/>
      <c r="R8" s="177"/>
      <c r="S8" s="177"/>
      <c r="T8" s="177"/>
      <c r="U8" s="177"/>
    </row>
    <row r="9" spans="1:88" ht="7.5" customHeight="1" thickBot="1" x14ac:dyDescent="0.35">
      <c r="A9" s="173"/>
      <c r="B9" s="174"/>
      <c r="C9" s="174"/>
      <c r="D9" s="175"/>
      <c r="E9" s="176"/>
      <c r="F9" s="176"/>
      <c r="G9" s="176"/>
      <c r="H9" s="176"/>
      <c r="I9" s="176"/>
      <c r="J9" s="176"/>
      <c r="K9" s="176"/>
      <c r="L9" s="176"/>
      <c r="M9" s="176"/>
      <c r="N9" s="177"/>
      <c r="O9" s="177"/>
      <c r="P9" s="177"/>
      <c r="Q9" s="177"/>
      <c r="R9" s="177"/>
      <c r="S9" s="177"/>
      <c r="T9" s="177"/>
      <c r="U9" s="177"/>
    </row>
    <row r="10" spans="1:88" ht="23.25" customHeight="1" thickTop="1" thickBot="1" x14ac:dyDescent="0.35">
      <c r="A10" s="173"/>
      <c r="B10" s="178"/>
      <c r="C10" s="408">
        <v>43466</v>
      </c>
      <c r="D10" s="408">
        <v>43497</v>
      </c>
      <c r="E10" s="408">
        <v>43525</v>
      </c>
      <c r="F10" s="408">
        <v>43556</v>
      </c>
      <c r="G10" s="408">
        <v>43586</v>
      </c>
      <c r="H10" s="408">
        <v>43617</v>
      </c>
      <c r="I10" s="408">
        <v>43647</v>
      </c>
      <c r="J10" s="408">
        <v>43678</v>
      </c>
      <c r="K10" s="408">
        <v>43709</v>
      </c>
      <c r="L10" s="408">
        <v>43739</v>
      </c>
      <c r="M10" s="408">
        <v>43770</v>
      </c>
      <c r="N10" s="408">
        <v>43800</v>
      </c>
      <c r="O10" s="409">
        <v>43831</v>
      </c>
      <c r="P10" s="409">
        <v>43862</v>
      </c>
      <c r="Q10" s="409">
        <v>43891</v>
      </c>
      <c r="R10" s="408">
        <v>43922</v>
      </c>
      <c r="S10" s="409">
        <v>43952</v>
      </c>
      <c r="T10" s="409">
        <v>43983</v>
      </c>
      <c r="U10" s="409">
        <v>44013</v>
      </c>
      <c r="V10" s="410">
        <v>44044</v>
      </c>
      <c r="W10" s="410">
        <v>44075</v>
      </c>
      <c r="X10" s="410">
        <v>44105</v>
      </c>
      <c r="Y10" s="410">
        <v>44136</v>
      </c>
      <c r="Z10" s="410">
        <v>44166</v>
      </c>
      <c r="AA10" s="410">
        <v>44197</v>
      </c>
      <c r="AB10" s="410">
        <v>44228</v>
      </c>
      <c r="AC10" s="410">
        <v>44256</v>
      </c>
      <c r="AD10" s="410">
        <v>44287</v>
      </c>
      <c r="AE10" s="410">
        <v>44317</v>
      </c>
      <c r="AF10" s="410">
        <v>44348</v>
      </c>
      <c r="AG10" s="410">
        <v>44378</v>
      </c>
      <c r="AH10" s="410">
        <v>44409</v>
      </c>
      <c r="AI10" s="410">
        <v>44440</v>
      </c>
      <c r="AJ10" s="410">
        <v>44470</v>
      </c>
      <c r="AK10" s="410">
        <v>44501</v>
      </c>
      <c r="AL10" s="410">
        <v>44531</v>
      </c>
      <c r="AM10" s="410">
        <v>44562</v>
      </c>
      <c r="AN10" s="410">
        <v>44593</v>
      </c>
      <c r="AO10" s="410">
        <v>44621</v>
      </c>
      <c r="AP10" s="410">
        <v>44652</v>
      </c>
      <c r="AQ10" s="410">
        <v>44682</v>
      </c>
      <c r="AR10" s="410">
        <v>44713</v>
      </c>
      <c r="AS10" s="410">
        <v>44743</v>
      </c>
      <c r="AT10" s="410">
        <v>44774</v>
      </c>
      <c r="AU10" s="410">
        <v>44805</v>
      </c>
      <c r="AV10" s="410">
        <v>44835</v>
      </c>
      <c r="AW10" s="410">
        <v>44866</v>
      </c>
      <c r="AX10" s="410">
        <v>44896</v>
      </c>
      <c r="AY10" s="410">
        <v>44927</v>
      </c>
      <c r="AZ10" s="410">
        <v>44958</v>
      </c>
      <c r="BA10" s="410">
        <v>44986</v>
      </c>
      <c r="BB10" s="410">
        <v>45017</v>
      </c>
      <c r="BC10" s="410">
        <v>45047</v>
      </c>
      <c r="BD10" s="410">
        <v>45078</v>
      </c>
      <c r="BE10" s="410">
        <v>45108</v>
      </c>
      <c r="BF10" s="410">
        <v>45139</v>
      </c>
      <c r="BG10" s="410">
        <v>45170</v>
      </c>
      <c r="BH10" s="410">
        <v>45200</v>
      </c>
      <c r="BI10" s="410">
        <v>45231</v>
      </c>
      <c r="BJ10" s="410">
        <v>45261</v>
      </c>
      <c r="BK10" s="410">
        <v>45292</v>
      </c>
      <c r="BL10" s="410">
        <v>45323</v>
      </c>
      <c r="BM10" s="410">
        <v>45352</v>
      </c>
      <c r="BN10" s="410">
        <v>45383</v>
      </c>
      <c r="BO10" s="410">
        <v>45413</v>
      </c>
      <c r="BP10" s="410">
        <v>45444</v>
      </c>
      <c r="BQ10" s="410">
        <v>45474</v>
      </c>
      <c r="BR10" s="410">
        <v>45505</v>
      </c>
      <c r="BS10" s="410">
        <v>45536</v>
      </c>
      <c r="BT10" s="410">
        <v>45566</v>
      </c>
      <c r="BU10" s="410">
        <v>45597</v>
      </c>
      <c r="BV10" s="410">
        <v>45627</v>
      </c>
      <c r="BW10" s="410">
        <v>45658</v>
      </c>
      <c r="BX10" s="410">
        <v>45689</v>
      </c>
      <c r="BY10" s="410">
        <v>45717</v>
      </c>
      <c r="BZ10" s="410">
        <v>45748</v>
      </c>
      <c r="CA10" s="410">
        <v>45778</v>
      </c>
      <c r="CB10" s="410">
        <v>45809</v>
      </c>
      <c r="CC10" s="410">
        <v>45839</v>
      </c>
      <c r="CD10" s="410">
        <v>45870</v>
      </c>
      <c r="CE10" s="410">
        <v>45901</v>
      </c>
      <c r="CF10" s="410">
        <v>45931</v>
      </c>
      <c r="CG10" s="410">
        <v>45962</v>
      </c>
      <c r="CH10" s="410">
        <v>45992</v>
      </c>
      <c r="CI10" s="405" t="s">
        <v>423</v>
      </c>
      <c r="CJ10" s="405" t="s">
        <v>429</v>
      </c>
    </row>
    <row r="11" spans="1:88" ht="16.8" thickTop="1" x14ac:dyDescent="0.3">
      <c r="A11" s="173"/>
      <c r="B11" s="179"/>
      <c r="C11" s="180" t="s">
        <v>57</v>
      </c>
      <c r="D11" s="180"/>
      <c r="E11" s="180"/>
      <c r="F11" s="180"/>
      <c r="G11" s="180"/>
      <c r="H11" s="180"/>
      <c r="I11" s="180"/>
      <c r="J11" s="180"/>
      <c r="K11" s="180"/>
      <c r="L11" s="180"/>
      <c r="M11" s="180"/>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311" t="s">
        <v>57</v>
      </c>
      <c r="AL11" s="311" t="s">
        <v>57</v>
      </c>
      <c r="AM11" s="311" t="s">
        <v>57</v>
      </c>
      <c r="AN11" s="311" t="s">
        <v>57</v>
      </c>
      <c r="AO11" s="311" t="s">
        <v>57</v>
      </c>
      <c r="AP11" s="311" t="s">
        <v>57</v>
      </c>
      <c r="AQ11" s="311" t="s">
        <v>57</v>
      </c>
      <c r="AR11" s="311" t="s">
        <v>57</v>
      </c>
      <c r="AS11" s="311" t="s">
        <v>57</v>
      </c>
      <c r="AT11" s="311" t="s">
        <v>57</v>
      </c>
      <c r="AU11" s="311" t="s">
        <v>57</v>
      </c>
      <c r="AV11" s="311" t="s">
        <v>57</v>
      </c>
      <c r="AW11" s="311" t="s">
        <v>57</v>
      </c>
      <c r="AX11" s="311" t="s">
        <v>57</v>
      </c>
      <c r="AY11" s="311" t="s">
        <v>57</v>
      </c>
      <c r="AZ11" s="311" t="s">
        <v>57</v>
      </c>
      <c r="BA11" s="311" t="s">
        <v>57</v>
      </c>
      <c r="BB11" s="311" t="s">
        <v>57</v>
      </c>
      <c r="BC11" s="311" t="s">
        <v>57</v>
      </c>
      <c r="BD11" s="311" t="s">
        <v>57</v>
      </c>
      <c r="BE11" s="311" t="s">
        <v>57</v>
      </c>
      <c r="BF11" s="311" t="s">
        <v>57</v>
      </c>
      <c r="BG11" s="311" t="s">
        <v>57</v>
      </c>
      <c r="BH11" s="311" t="s">
        <v>57</v>
      </c>
      <c r="BI11" s="311" t="s">
        <v>57</v>
      </c>
      <c r="BJ11" s="311" t="s">
        <v>57</v>
      </c>
      <c r="BK11" s="311" t="s">
        <v>57</v>
      </c>
      <c r="BL11" s="311" t="s">
        <v>57</v>
      </c>
      <c r="BM11" s="311" t="s">
        <v>57</v>
      </c>
      <c r="BN11" s="311" t="s">
        <v>57</v>
      </c>
      <c r="BO11" s="311" t="s">
        <v>57</v>
      </c>
      <c r="BP11" s="311" t="s">
        <v>57</v>
      </c>
      <c r="BQ11" s="311" t="s">
        <v>57</v>
      </c>
      <c r="BR11" s="311" t="s">
        <v>57</v>
      </c>
      <c r="BS11" s="311" t="s">
        <v>57</v>
      </c>
      <c r="BT11" s="311" t="s">
        <v>57</v>
      </c>
      <c r="BU11" s="311" t="s">
        <v>57</v>
      </c>
      <c r="BV11" s="311" t="s">
        <v>57</v>
      </c>
      <c r="BW11" s="311" t="s">
        <v>57</v>
      </c>
      <c r="BX11" s="311" t="s">
        <v>57</v>
      </c>
      <c r="BY11" s="311" t="s">
        <v>57</v>
      </c>
      <c r="BZ11" s="311" t="s">
        <v>57</v>
      </c>
      <c r="CA11" s="311" t="s">
        <v>57</v>
      </c>
      <c r="CB11" s="311" t="s">
        <v>57</v>
      </c>
      <c r="CC11" s="311" t="s">
        <v>57</v>
      </c>
      <c r="CD11" s="311" t="s">
        <v>57</v>
      </c>
      <c r="CE11" s="311" t="s">
        <v>57</v>
      </c>
      <c r="CF11" s="311" t="s">
        <v>57</v>
      </c>
      <c r="CG11" s="311" t="s">
        <v>57</v>
      </c>
      <c r="CH11" s="311" t="s">
        <v>57</v>
      </c>
      <c r="CI11" s="311" t="s">
        <v>57</v>
      </c>
      <c r="CJ11" s="311" t="s">
        <v>57</v>
      </c>
    </row>
    <row r="12" spans="1:88" ht="18" x14ac:dyDescent="0.35">
      <c r="A12" s="173"/>
      <c r="B12" s="231" t="s">
        <v>127</v>
      </c>
      <c r="C12" s="227">
        <v>329386.40000000002</v>
      </c>
      <c r="D12" s="227">
        <f t="shared" ref="D12:AI12" si="0">+C448</f>
        <v>332851.7</v>
      </c>
      <c r="E12" s="227">
        <f t="shared" si="0"/>
        <v>331675.90000000002</v>
      </c>
      <c r="F12" s="227">
        <f t="shared" si="0"/>
        <v>322421.09999999998</v>
      </c>
      <c r="G12" s="227">
        <f t="shared" si="0"/>
        <v>331845</v>
      </c>
      <c r="H12" s="227">
        <f t="shared" si="0"/>
        <v>327454.5</v>
      </c>
      <c r="I12" s="227">
        <f t="shared" si="0"/>
        <v>334810.69999999995</v>
      </c>
      <c r="J12" s="227">
        <f t="shared" si="0"/>
        <v>339524</v>
      </c>
      <c r="K12" s="227">
        <f t="shared" si="0"/>
        <v>307692.09999999998</v>
      </c>
      <c r="L12" s="227">
        <f t="shared" si="0"/>
        <v>308845.5</v>
      </c>
      <c r="M12" s="227">
        <f t="shared" si="0"/>
        <v>310045.49999999994</v>
      </c>
      <c r="N12" s="227">
        <f t="shared" si="0"/>
        <v>310881.49999999994</v>
      </c>
      <c r="O12" s="227">
        <f t="shared" si="0"/>
        <v>320629.49999999994</v>
      </c>
      <c r="P12" s="227">
        <f t="shared" si="0"/>
        <v>322012.3</v>
      </c>
      <c r="Q12" s="227">
        <f t="shared" si="0"/>
        <v>321946.99999999994</v>
      </c>
      <c r="R12" s="227">
        <f t="shared" si="0"/>
        <v>320958.79999999993</v>
      </c>
      <c r="S12" s="227">
        <f t="shared" si="0"/>
        <v>320840.69999999995</v>
      </c>
      <c r="T12" s="227">
        <f t="shared" si="0"/>
        <v>322383.69999999995</v>
      </c>
      <c r="U12" s="227">
        <f t="shared" si="0"/>
        <v>322118.59999999992</v>
      </c>
      <c r="V12" s="227">
        <f t="shared" si="0"/>
        <v>325613.29999999993</v>
      </c>
      <c r="W12" s="227">
        <f t="shared" si="0"/>
        <v>326992.59999999986</v>
      </c>
      <c r="X12" s="227">
        <f t="shared" si="0"/>
        <v>329777.7</v>
      </c>
      <c r="Y12" s="227">
        <f t="shared" si="0"/>
        <v>330738.40000000002</v>
      </c>
      <c r="Z12" s="227">
        <f t="shared" si="0"/>
        <v>330776</v>
      </c>
      <c r="AA12" s="227">
        <f t="shared" si="0"/>
        <v>333081.7</v>
      </c>
      <c r="AB12" s="227">
        <f t="shared" si="0"/>
        <v>332435.3</v>
      </c>
      <c r="AC12" s="227">
        <f t="shared" si="0"/>
        <v>332395</v>
      </c>
      <c r="AD12" s="227">
        <f t="shared" si="0"/>
        <v>333094.89999999997</v>
      </c>
      <c r="AE12" s="227">
        <f t="shared" si="0"/>
        <v>335848.1</v>
      </c>
      <c r="AF12" s="227">
        <f t="shared" si="0"/>
        <v>338590</v>
      </c>
      <c r="AG12" s="227">
        <f t="shared" si="0"/>
        <v>341049.99999999994</v>
      </c>
      <c r="AH12" s="227">
        <f t="shared" si="0"/>
        <v>342665.5</v>
      </c>
      <c r="AI12" s="227">
        <f t="shared" si="0"/>
        <v>343399.69999999995</v>
      </c>
      <c r="AJ12" s="227">
        <f>+AI448</f>
        <v>340166.39999999997</v>
      </c>
      <c r="AK12" s="227">
        <f>+AJ448</f>
        <v>346776.69999999995</v>
      </c>
      <c r="AL12" s="227">
        <f>+AK448</f>
        <v>351985.7</v>
      </c>
      <c r="AM12" s="227">
        <f>+AL448</f>
        <v>360793.3</v>
      </c>
      <c r="AN12" s="227">
        <f>+AM448</f>
        <v>363318.5</v>
      </c>
      <c r="AO12" s="227">
        <f t="shared" ref="AO12:AU12" si="1">+AN448</f>
        <v>364197.39999999997</v>
      </c>
      <c r="AP12" s="227">
        <f t="shared" si="1"/>
        <v>373884.4</v>
      </c>
      <c r="AQ12" s="227">
        <f t="shared" si="1"/>
        <v>371824.60000000003</v>
      </c>
      <c r="AR12" s="227">
        <f t="shared" si="1"/>
        <v>372187.10000000003</v>
      </c>
      <c r="AS12" s="227">
        <f t="shared" si="1"/>
        <v>376134.7</v>
      </c>
      <c r="AT12" s="227">
        <f t="shared" si="1"/>
        <v>378421.60000000003</v>
      </c>
      <c r="AU12" s="227">
        <f t="shared" si="1"/>
        <v>378783.4</v>
      </c>
      <c r="AV12" s="227">
        <f>+AU448</f>
        <v>379964</v>
      </c>
      <c r="AW12" s="227">
        <f t="shared" ref="AW12" si="2">+AV448</f>
        <v>383950.60000000003</v>
      </c>
      <c r="AX12" s="227">
        <f>+AW448</f>
        <v>384295.4</v>
      </c>
      <c r="AY12" s="227">
        <f t="shared" ref="AY12:BY12" si="3">+AX448</f>
        <v>394167</v>
      </c>
      <c r="AZ12" s="227">
        <f t="shared" si="3"/>
        <v>393456.3</v>
      </c>
      <c r="BA12" s="227">
        <f t="shared" si="3"/>
        <v>391822.8</v>
      </c>
      <c r="BB12" s="227">
        <f t="shared" si="3"/>
        <v>395847.8</v>
      </c>
      <c r="BC12" s="227">
        <f t="shared" si="3"/>
        <v>393860.3</v>
      </c>
      <c r="BD12" s="227">
        <f t="shared" si="3"/>
        <v>396447.10000000003</v>
      </c>
      <c r="BE12" s="227">
        <f t="shared" si="3"/>
        <v>401432.89999999997</v>
      </c>
      <c r="BF12" s="227">
        <f t="shared" si="3"/>
        <v>403724.99999999994</v>
      </c>
      <c r="BG12" s="227">
        <f t="shared" si="3"/>
        <v>393371.5</v>
      </c>
      <c r="BH12" s="227">
        <f t="shared" si="3"/>
        <v>404578.8</v>
      </c>
      <c r="BI12" s="227">
        <f t="shared" si="3"/>
        <v>415642.5</v>
      </c>
      <c r="BJ12" s="227">
        <f t="shared" si="3"/>
        <v>423149.89999999997</v>
      </c>
      <c r="BK12" s="227">
        <f t="shared" si="3"/>
        <v>368327.8</v>
      </c>
      <c r="BL12" s="227">
        <f t="shared" si="3"/>
        <v>378940.2</v>
      </c>
      <c r="BM12" s="227">
        <f t="shared" si="3"/>
        <v>384201.6</v>
      </c>
      <c r="BN12" s="227">
        <f t="shared" si="3"/>
        <v>400708.39999999997</v>
      </c>
      <c r="BO12" s="227">
        <f t="shared" si="3"/>
        <v>411705.89999999997</v>
      </c>
      <c r="BP12" s="227">
        <f t="shared" si="3"/>
        <v>433349.69999999995</v>
      </c>
      <c r="BQ12" s="227">
        <f t="shared" si="3"/>
        <v>440175.3</v>
      </c>
      <c r="BR12" s="227">
        <f t="shared" si="3"/>
        <v>449721.09999999992</v>
      </c>
      <c r="BS12" s="227">
        <f t="shared" si="3"/>
        <v>456039.99999999994</v>
      </c>
      <c r="BT12" s="227">
        <f t="shared" si="3"/>
        <v>457691.89999999991</v>
      </c>
      <c r="BU12" s="227">
        <f t="shared" si="3"/>
        <v>460885.09999999992</v>
      </c>
      <c r="BV12" s="227">
        <f t="shared" si="3"/>
        <v>462601.49999999994</v>
      </c>
      <c r="BW12" s="227">
        <f t="shared" si="3"/>
        <v>464605.29999999993</v>
      </c>
      <c r="BX12" s="227">
        <f t="shared" si="3"/>
        <v>465477.19999999995</v>
      </c>
      <c r="BY12" s="227">
        <f t="shared" si="3"/>
        <v>468843.89999999997</v>
      </c>
      <c r="BZ12" s="227">
        <f t="shared" ref="BZ12:CG12" si="4">+BY448</f>
        <v>471206.39999999991</v>
      </c>
      <c r="CA12" s="227">
        <f t="shared" si="4"/>
        <v>470525.99999999994</v>
      </c>
      <c r="CB12" s="227">
        <f t="shared" si="4"/>
        <v>458622.69999999995</v>
      </c>
      <c r="CC12" s="227">
        <f t="shared" si="4"/>
        <v>462923.69999999995</v>
      </c>
      <c r="CD12" s="227">
        <f t="shared" si="4"/>
        <v>444783.6</v>
      </c>
      <c r="CE12" s="227">
        <f t="shared" si="4"/>
        <v>451846.19999999995</v>
      </c>
      <c r="CF12" s="227">
        <f t="shared" si="4"/>
        <v>451617.29999999993</v>
      </c>
      <c r="CG12" s="227">
        <f t="shared" si="4"/>
        <v>440836.39999999997</v>
      </c>
      <c r="CH12" s="227">
        <f>+CG448</f>
        <v>444624.1</v>
      </c>
      <c r="CI12" s="227">
        <f>+CH448</f>
        <v>452656.99999999994</v>
      </c>
      <c r="CJ12" s="227">
        <f>+CI448</f>
        <v>458503.69999999995</v>
      </c>
    </row>
    <row r="13" spans="1:88" ht="16.2" x14ac:dyDescent="0.3">
      <c r="A13" s="173"/>
      <c r="B13" s="232" t="s">
        <v>57</v>
      </c>
      <c r="C13" s="229" t="s">
        <v>57</v>
      </c>
      <c r="D13" s="229" t="s">
        <v>57</v>
      </c>
      <c r="E13" s="229" t="s">
        <v>57</v>
      </c>
      <c r="F13" s="229" t="s">
        <v>57</v>
      </c>
      <c r="G13" s="229" t="s">
        <v>57</v>
      </c>
      <c r="H13" s="229" t="s">
        <v>57</v>
      </c>
      <c r="I13" s="229" t="s">
        <v>57</v>
      </c>
      <c r="J13" s="229" t="s">
        <v>57</v>
      </c>
      <c r="K13" s="229" t="s">
        <v>57</v>
      </c>
      <c r="L13" s="229" t="s">
        <v>57</v>
      </c>
      <c r="M13" s="229" t="s">
        <v>57</v>
      </c>
      <c r="N13" s="229" t="s">
        <v>57</v>
      </c>
      <c r="O13" s="229" t="s">
        <v>57</v>
      </c>
      <c r="P13" s="229" t="s">
        <v>57</v>
      </c>
      <c r="Q13" s="229" t="s">
        <v>57</v>
      </c>
      <c r="R13" s="229" t="s">
        <v>57</v>
      </c>
      <c r="S13" s="229" t="s">
        <v>57</v>
      </c>
      <c r="T13" s="229" t="s">
        <v>57</v>
      </c>
      <c r="U13" s="229" t="s">
        <v>57</v>
      </c>
      <c r="V13" s="229" t="s">
        <v>57</v>
      </c>
      <c r="W13" s="229" t="s">
        <v>57</v>
      </c>
      <c r="X13" s="229" t="s">
        <v>57</v>
      </c>
      <c r="Y13" s="229" t="s">
        <v>57</v>
      </c>
      <c r="Z13" s="229" t="s">
        <v>57</v>
      </c>
      <c r="AA13" s="229" t="s">
        <v>57</v>
      </c>
      <c r="AB13" s="229" t="s">
        <v>57</v>
      </c>
      <c r="AC13" s="229" t="s">
        <v>57</v>
      </c>
      <c r="AD13" s="182" t="s">
        <v>57</v>
      </c>
      <c r="AE13" s="182" t="s">
        <v>57</v>
      </c>
      <c r="AF13" s="182" t="s">
        <v>57</v>
      </c>
      <c r="AG13" s="229" t="s">
        <v>57</v>
      </c>
      <c r="AH13" s="229" t="s">
        <v>57</v>
      </c>
      <c r="AI13" s="229" t="s">
        <v>57</v>
      </c>
      <c r="AJ13" s="229" t="s">
        <v>57</v>
      </c>
      <c r="AK13" s="312" t="s">
        <v>57</v>
      </c>
      <c r="AL13" s="312" t="s">
        <v>57</v>
      </c>
      <c r="AM13" s="312" t="s">
        <v>57</v>
      </c>
      <c r="AN13" s="312" t="s">
        <v>57</v>
      </c>
      <c r="AO13" s="312" t="s">
        <v>57</v>
      </c>
      <c r="AP13" s="312" t="s">
        <v>57</v>
      </c>
      <c r="AQ13" s="312" t="s">
        <v>57</v>
      </c>
      <c r="AR13" s="312" t="s">
        <v>57</v>
      </c>
      <c r="AS13" s="312" t="s">
        <v>57</v>
      </c>
      <c r="AT13" s="312" t="s">
        <v>57</v>
      </c>
      <c r="AU13" s="312" t="s">
        <v>57</v>
      </c>
      <c r="AV13" s="312" t="s">
        <v>57</v>
      </c>
      <c r="AW13" s="312" t="s">
        <v>57</v>
      </c>
      <c r="AX13" s="312" t="s">
        <v>57</v>
      </c>
      <c r="AY13" s="312" t="s">
        <v>57</v>
      </c>
      <c r="AZ13" s="312" t="s">
        <v>57</v>
      </c>
      <c r="BA13" s="312" t="s">
        <v>57</v>
      </c>
      <c r="BB13" s="312" t="s">
        <v>57</v>
      </c>
      <c r="BC13" s="312" t="s">
        <v>57</v>
      </c>
      <c r="BD13" s="312" t="s">
        <v>57</v>
      </c>
      <c r="BE13" s="312" t="s">
        <v>57</v>
      </c>
      <c r="BF13" s="312" t="s">
        <v>57</v>
      </c>
      <c r="BG13" s="312" t="s">
        <v>57</v>
      </c>
      <c r="BH13" s="312" t="s">
        <v>57</v>
      </c>
      <c r="BI13" s="312" t="s">
        <v>57</v>
      </c>
      <c r="BJ13" s="312" t="s">
        <v>57</v>
      </c>
      <c r="BK13" s="312" t="s">
        <v>57</v>
      </c>
      <c r="BL13" s="312" t="s">
        <v>57</v>
      </c>
      <c r="BM13" s="312" t="s">
        <v>57</v>
      </c>
      <c r="BN13" s="312" t="s">
        <v>57</v>
      </c>
      <c r="BO13" s="312" t="s">
        <v>57</v>
      </c>
      <c r="BP13" s="312" t="s">
        <v>57</v>
      </c>
      <c r="BQ13" s="312" t="s">
        <v>57</v>
      </c>
      <c r="BR13" s="312" t="s">
        <v>57</v>
      </c>
      <c r="BS13" s="312" t="s">
        <v>57</v>
      </c>
      <c r="BT13" s="312" t="s">
        <v>57</v>
      </c>
      <c r="BU13" s="312" t="s">
        <v>57</v>
      </c>
      <c r="BV13" s="312" t="s">
        <v>57</v>
      </c>
      <c r="BW13" s="312" t="s">
        <v>57</v>
      </c>
      <c r="BX13" s="312" t="s">
        <v>57</v>
      </c>
      <c r="BY13" s="312" t="s">
        <v>57</v>
      </c>
      <c r="BZ13" s="312" t="s">
        <v>57</v>
      </c>
      <c r="CA13" s="312" t="s">
        <v>57</v>
      </c>
      <c r="CB13" s="312" t="s">
        <v>57</v>
      </c>
      <c r="CC13" s="312" t="s">
        <v>57</v>
      </c>
      <c r="CD13" s="312" t="s">
        <v>57</v>
      </c>
      <c r="CE13" s="312" t="s">
        <v>57</v>
      </c>
      <c r="CF13" s="312" t="s">
        <v>57</v>
      </c>
      <c r="CG13" s="312" t="s">
        <v>57</v>
      </c>
      <c r="CH13" s="312" t="s">
        <v>57</v>
      </c>
      <c r="CI13" s="312" t="s">
        <v>57</v>
      </c>
      <c r="CJ13" s="312" t="s">
        <v>57</v>
      </c>
    </row>
    <row r="14" spans="1:88" ht="18" x14ac:dyDescent="0.35">
      <c r="A14" s="173"/>
      <c r="B14" s="231" t="s">
        <v>67</v>
      </c>
      <c r="C14" s="227">
        <v>2805.4</v>
      </c>
      <c r="D14" s="227">
        <f t="shared" ref="D14:AI14" si="5">+C446</f>
        <v>2809.7000000000003</v>
      </c>
      <c r="E14" s="227">
        <f t="shared" si="5"/>
        <v>2801.0000000000005</v>
      </c>
      <c r="F14" s="227">
        <f t="shared" si="5"/>
        <v>2476.9000000000005</v>
      </c>
      <c r="G14" s="227">
        <f t="shared" si="5"/>
        <v>2477.8000000000006</v>
      </c>
      <c r="H14" s="227">
        <f t="shared" si="5"/>
        <v>2476.5000000000005</v>
      </c>
      <c r="I14" s="227">
        <f t="shared" si="5"/>
        <v>2456.4000000000005</v>
      </c>
      <c r="J14" s="227">
        <f t="shared" si="5"/>
        <v>2433.1000000000004</v>
      </c>
      <c r="K14" s="227">
        <f t="shared" si="5"/>
        <v>2409.6000000000004</v>
      </c>
      <c r="L14" s="227">
        <f t="shared" si="5"/>
        <v>2405.6000000000004</v>
      </c>
      <c r="M14" s="227">
        <f t="shared" si="5"/>
        <v>2425.9000000000005</v>
      </c>
      <c r="N14" s="227">
        <f t="shared" si="5"/>
        <v>2416.9000000000005</v>
      </c>
      <c r="O14" s="227">
        <f t="shared" si="5"/>
        <v>2434.9000000000005</v>
      </c>
      <c r="P14" s="227">
        <f t="shared" si="5"/>
        <v>2428.3000000000006</v>
      </c>
      <c r="Q14" s="227">
        <f t="shared" si="5"/>
        <v>2422.9000000000005</v>
      </c>
      <c r="R14" s="227">
        <f t="shared" si="5"/>
        <v>2422.4000000000005</v>
      </c>
      <c r="S14" s="227">
        <f t="shared" si="5"/>
        <v>2414.1000000000004</v>
      </c>
      <c r="T14" s="227">
        <f t="shared" si="5"/>
        <v>2424.6000000000004</v>
      </c>
      <c r="U14" s="227">
        <f t="shared" si="5"/>
        <v>2433.8000000000002</v>
      </c>
      <c r="V14" s="227">
        <f t="shared" si="5"/>
        <v>2474.6</v>
      </c>
      <c r="W14" s="227">
        <f t="shared" si="5"/>
        <v>2486.9</v>
      </c>
      <c r="X14" s="227">
        <f t="shared" si="5"/>
        <v>2469.8000000000002</v>
      </c>
      <c r="Y14" s="227">
        <f t="shared" si="5"/>
        <v>2456.3000000000002</v>
      </c>
      <c r="Z14" s="227">
        <f t="shared" si="5"/>
        <v>2477.8000000000002</v>
      </c>
      <c r="AA14" s="227">
        <f t="shared" si="5"/>
        <v>2500.5</v>
      </c>
      <c r="AB14" s="227">
        <f t="shared" si="5"/>
        <v>2493.9</v>
      </c>
      <c r="AC14" s="227">
        <f t="shared" si="5"/>
        <v>2488.8000000000002</v>
      </c>
      <c r="AD14" s="227">
        <f t="shared" si="5"/>
        <v>2461.2000000000003</v>
      </c>
      <c r="AE14" s="227">
        <f t="shared" si="5"/>
        <v>2484.0000000000005</v>
      </c>
      <c r="AF14" s="227">
        <f t="shared" si="5"/>
        <v>2501.8000000000006</v>
      </c>
      <c r="AG14" s="227">
        <f t="shared" si="5"/>
        <v>2473.9000000000005</v>
      </c>
      <c r="AH14" s="227">
        <f t="shared" si="5"/>
        <v>2474.8000000000006</v>
      </c>
      <c r="AI14" s="227">
        <f t="shared" si="5"/>
        <v>2470.7000000000007</v>
      </c>
      <c r="AJ14" s="227">
        <f>+AI446</f>
        <v>2453.7000000000007</v>
      </c>
      <c r="AK14" s="227">
        <f>+AJ446</f>
        <v>2452.4000000000005</v>
      </c>
      <c r="AL14" s="227">
        <f>+AK446</f>
        <v>2436.6000000000004</v>
      </c>
      <c r="AM14" s="227">
        <f>+AL446</f>
        <v>2439.3000000000002</v>
      </c>
      <c r="AN14" s="227">
        <f>+AM446</f>
        <v>2429.1000000000004</v>
      </c>
      <c r="AO14" s="227">
        <f t="shared" ref="AO14:AU14" si="6">+AN446</f>
        <v>2428.9000000000005</v>
      </c>
      <c r="AP14" s="227">
        <f t="shared" si="6"/>
        <v>2416.0000000000005</v>
      </c>
      <c r="AQ14" s="227">
        <f t="shared" si="6"/>
        <v>2374.3000000000006</v>
      </c>
      <c r="AR14" s="227">
        <f t="shared" si="6"/>
        <v>2390.7000000000007</v>
      </c>
      <c r="AS14" s="227">
        <f t="shared" si="6"/>
        <v>2370.9000000000005</v>
      </c>
      <c r="AT14" s="227">
        <f t="shared" si="6"/>
        <v>2351.1000000000004</v>
      </c>
      <c r="AU14" s="227">
        <f t="shared" si="6"/>
        <v>2337.6000000000004</v>
      </c>
      <c r="AV14" s="227">
        <f>+AU446</f>
        <v>2317.2000000000003</v>
      </c>
      <c r="AW14" s="227">
        <f t="shared" ref="AW14" si="7">+AV446</f>
        <v>2321.8000000000002</v>
      </c>
      <c r="AX14" s="227">
        <f>+AW446</f>
        <v>2364.1000000000004</v>
      </c>
      <c r="AY14" s="227">
        <f t="shared" ref="AY14:BY14" si="8">+AX446</f>
        <v>2388.2000000000003</v>
      </c>
      <c r="AZ14" s="227">
        <f t="shared" si="8"/>
        <v>2400.0000000000005</v>
      </c>
      <c r="BA14" s="227">
        <f t="shared" si="8"/>
        <v>2376.4000000000005</v>
      </c>
      <c r="BB14" s="227">
        <f t="shared" si="8"/>
        <v>2397.9000000000005</v>
      </c>
      <c r="BC14" s="227">
        <f t="shared" si="8"/>
        <v>2411.9000000000005</v>
      </c>
      <c r="BD14" s="227">
        <f t="shared" si="8"/>
        <v>2386.1000000000004</v>
      </c>
      <c r="BE14" s="227">
        <f t="shared" si="8"/>
        <v>2402.9000000000005</v>
      </c>
      <c r="BF14" s="227">
        <f t="shared" si="8"/>
        <v>2408.9000000000005</v>
      </c>
      <c r="BG14" s="227">
        <f t="shared" si="8"/>
        <v>2386.8000000000006</v>
      </c>
      <c r="BH14" s="227">
        <f t="shared" si="8"/>
        <v>2369.3000000000006</v>
      </c>
      <c r="BI14" s="227">
        <f t="shared" si="8"/>
        <v>2376.6000000000008</v>
      </c>
      <c r="BJ14" s="227">
        <f t="shared" si="8"/>
        <v>2406.0000000000009</v>
      </c>
      <c r="BK14" s="227">
        <f t="shared" si="8"/>
        <v>2345.6000000000008</v>
      </c>
      <c r="BL14" s="227">
        <f t="shared" si="8"/>
        <v>2332.6000000000008</v>
      </c>
      <c r="BM14" s="227">
        <f t="shared" si="8"/>
        <v>2338.2000000000007</v>
      </c>
      <c r="BN14" s="227">
        <f t="shared" si="8"/>
        <v>2344.0000000000009</v>
      </c>
      <c r="BO14" s="227">
        <f t="shared" si="8"/>
        <v>2329.7000000000007</v>
      </c>
      <c r="BP14" s="227">
        <f t="shared" si="8"/>
        <v>2348.0000000000009</v>
      </c>
      <c r="BQ14" s="227">
        <f t="shared" si="8"/>
        <v>2339.6000000000008</v>
      </c>
      <c r="BR14" s="227">
        <f t="shared" si="8"/>
        <v>2349.400000000001</v>
      </c>
      <c r="BS14" s="227">
        <f t="shared" si="8"/>
        <v>2368.7000000000012</v>
      </c>
      <c r="BT14" s="227">
        <f t="shared" si="8"/>
        <v>2376.900000000001</v>
      </c>
      <c r="BU14" s="227">
        <f t="shared" si="8"/>
        <v>2356.7000000000012</v>
      </c>
      <c r="BV14" s="227">
        <f t="shared" si="8"/>
        <v>2334.2000000000012</v>
      </c>
      <c r="BW14" s="227">
        <f t="shared" si="8"/>
        <v>2315.900000000001</v>
      </c>
      <c r="BX14" s="227">
        <f t="shared" si="8"/>
        <v>2317.400000000001</v>
      </c>
      <c r="BY14" s="227">
        <f t="shared" si="8"/>
        <v>2319.8000000000011</v>
      </c>
      <c r="BZ14" s="227">
        <f t="shared" ref="BZ14:CG14" si="9">+BY446</f>
        <v>2354.400000000001</v>
      </c>
      <c r="CA14" s="227">
        <f t="shared" si="9"/>
        <v>2392.0000000000009</v>
      </c>
      <c r="CB14" s="227">
        <f t="shared" si="9"/>
        <v>2394.5000000000009</v>
      </c>
      <c r="CC14" s="227">
        <f t="shared" si="9"/>
        <v>2429.400000000001</v>
      </c>
      <c r="CD14" s="227">
        <f t="shared" si="9"/>
        <v>2393.5000000000009</v>
      </c>
      <c r="CE14" s="227">
        <f t="shared" si="9"/>
        <v>2417.2000000000007</v>
      </c>
      <c r="CF14" s="227">
        <f t="shared" si="9"/>
        <v>2419.7000000000007</v>
      </c>
      <c r="CG14" s="227">
        <f t="shared" si="9"/>
        <v>2402.1000000000008</v>
      </c>
      <c r="CH14" s="227">
        <f>+CG446</f>
        <v>2407.6000000000008</v>
      </c>
      <c r="CI14" s="227">
        <f>+CH446</f>
        <v>2419.7000000000007</v>
      </c>
      <c r="CJ14" s="227">
        <f>+CI446</f>
        <v>2430.5000000000009</v>
      </c>
    </row>
    <row r="15" spans="1:88" ht="16.2" x14ac:dyDescent="0.3">
      <c r="A15" s="173"/>
      <c r="B15" s="232" t="s">
        <v>57</v>
      </c>
      <c r="C15" s="229" t="s">
        <v>57</v>
      </c>
      <c r="D15" s="229" t="s">
        <v>57</v>
      </c>
      <c r="E15" s="229" t="s">
        <v>57</v>
      </c>
      <c r="F15" s="229" t="s">
        <v>57</v>
      </c>
      <c r="G15" s="229" t="s">
        <v>57</v>
      </c>
      <c r="H15" s="229" t="s">
        <v>57</v>
      </c>
      <c r="I15" s="229" t="s">
        <v>57</v>
      </c>
      <c r="J15" s="229" t="s">
        <v>57</v>
      </c>
      <c r="K15" s="229" t="s">
        <v>57</v>
      </c>
      <c r="L15" s="229" t="s">
        <v>57</v>
      </c>
      <c r="M15" s="229" t="s">
        <v>57</v>
      </c>
      <c r="N15" s="229" t="s">
        <v>57</v>
      </c>
      <c r="O15" s="229" t="s">
        <v>57</v>
      </c>
      <c r="P15" s="229" t="s">
        <v>57</v>
      </c>
      <c r="Q15" s="229" t="s">
        <v>57</v>
      </c>
      <c r="R15" s="229" t="s">
        <v>57</v>
      </c>
      <c r="S15" s="229" t="s">
        <v>57</v>
      </c>
      <c r="T15" s="229" t="s">
        <v>57</v>
      </c>
      <c r="U15" s="229" t="s">
        <v>57</v>
      </c>
      <c r="V15" s="229" t="s">
        <v>57</v>
      </c>
      <c r="W15" s="229" t="s">
        <v>57</v>
      </c>
      <c r="X15" s="229" t="s">
        <v>57</v>
      </c>
      <c r="Y15" s="229" t="s">
        <v>57</v>
      </c>
      <c r="Z15" s="229" t="s">
        <v>57</v>
      </c>
      <c r="AA15" s="229" t="s">
        <v>57</v>
      </c>
      <c r="AB15" s="229" t="s">
        <v>57</v>
      </c>
      <c r="AC15" s="229" t="s">
        <v>57</v>
      </c>
      <c r="AD15" s="182" t="s">
        <v>57</v>
      </c>
      <c r="AE15" s="182" t="s">
        <v>57</v>
      </c>
      <c r="AF15" s="182" t="s">
        <v>57</v>
      </c>
      <c r="AG15" s="229" t="s">
        <v>57</v>
      </c>
      <c r="AH15" s="229" t="s">
        <v>57</v>
      </c>
      <c r="AI15" s="229" t="s">
        <v>57</v>
      </c>
      <c r="AJ15" s="229" t="s">
        <v>57</v>
      </c>
      <c r="AK15" s="229" t="s">
        <v>57</v>
      </c>
      <c r="AL15" s="229" t="s">
        <v>57</v>
      </c>
      <c r="AM15" s="229" t="s">
        <v>57</v>
      </c>
      <c r="AN15" s="229" t="s">
        <v>57</v>
      </c>
      <c r="AO15" s="229" t="s">
        <v>57</v>
      </c>
      <c r="AP15" s="229" t="s">
        <v>57</v>
      </c>
      <c r="AQ15" s="229" t="s">
        <v>57</v>
      </c>
      <c r="AR15" s="229" t="s">
        <v>57</v>
      </c>
      <c r="AS15" s="229" t="s">
        <v>57</v>
      </c>
      <c r="AT15" s="229" t="s">
        <v>57</v>
      </c>
      <c r="AU15" s="229" t="s">
        <v>57</v>
      </c>
      <c r="AV15" s="229" t="s">
        <v>57</v>
      </c>
      <c r="AW15" s="229" t="s">
        <v>57</v>
      </c>
      <c r="AX15" s="229" t="s">
        <v>57</v>
      </c>
      <c r="AY15" s="229" t="s">
        <v>57</v>
      </c>
      <c r="AZ15" s="229" t="s">
        <v>57</v>
      </c>
      <c r="BA15" s="229" t="s">
        <v>57</v>
      </c>
      <c r="BB15" s="229" t="s">
        <v>57</v>
      </c>
      <c r="BC15" s="229" t="s">
        <v>57</v>
      </c>
      <c r="BD15" s="229" t="s">
        <v>57</v>
      </c>
      <c r="BE15" s="229" t="s">
        <v>57</v>
      </c>
      <c r="BF15" s="229" t="s">
        <v>57</v>
      </c>
      <c r="BG15" s="229" t="s">
        <v>57</v>
      </c>
      <c r="BH15" s="229" t="s">
        <v>57</v>
      </c>
      <c r="BI15" s="229" t="s">
        <v>57</v>
      </c>
      <c r="BJ15" s="229" t="s">
        <v>57</v>
      </c>
      <c r="BK15" s="229" t="s">
        <v>57</v>
      </c>
      <c r="BL15" s="229" t="s">
        <v>57</v>
      </c>
      <c r="BM15" s="229" t="s">
        <v>57</v>
      </c>
      <c r="BN15" s="229" t="s">
        <v>57</v>
      </c>
      <c r="BO15" s="229" t="s">
        <v>57</v>
      </c>
      <c r="BP15" s="229" t="s">
        <v>57</v>
      </c>
      <c r="BQ15" s="229" t="s">
        <v>57</v>
      </c>
      <c r="BR15" s="229" t="s">
        <v>57</v>
      </c>
      <c r="BS15" s="229" t="s">
        <v>57</v>
      </c>
      <c r="BT15" s="229" t="s">
        <v>57</v>
      </c>
      <c r="BU15" s="229" t="s">
        <v>57</v>
      </c>
      <c r="BV15" s="229" t="s">
        <v>57</v>
      </c>
      <c r="BW15" s="229" t="s">
        <v>57</v>
      </c>
      <c r="BX15" s="229" t="s">
        <v>57</v>
      </c>
      <c r="BY15" s="229" t="s">
        <v>57</v>
      </c>
      <c r="BZ15" s="229" t="s">
        <v>57</v>
      </c>
      <c r="CA15" s="229" t="s">
        <v>57</v>
      </c>
      <c r="CB15" s="229" t="s">
        <v>57</v>
      </c>
      <c r="CC15" s="229" t="s">
        <v>57</v>
      </c>
      <c r="CD15" s="229" t="s">
        <v>57</v>
      </c>
      <c r="CE15" s="229" t="s">
        <v>57</v>
      </c>
      <c r="CF15" s="229" t="s">
        <v>57</v>
      </c>
      <c r="CG15" s="229" t="s">
        <v>57</v>
      </c>
      <c r="CH15" s="229" t="s">
        <v>57</v>
      </c>
      <c r="CI15" s="229" t="s">
        <v>57</v>
      </c>
      <c r="CJ15" s="229" t="s">
        <v>57</v>
      </c>
    </row>
    <row r="16" spans="1:88" ht="18" x14ac:dyDescent="0.35">
      <c r="A16" s="173"/>
      <c r="B16" s="231" t="s">
        <v>137</v>
      </c>
      <c r="C16" s="227">
        <f t="shared" ref="C16:BN16" si="10">+C12+C14</f>
        <v>332191.80000000005</v>
      </c>
      <c r="D16" s="227">
        <f t="shared" si="10"/>
        <v>335661.4</v>
      </c>
      <c r="E16" s="227">
        <f t="shared" si="10"/>
        <v>334476.90000000002</v>
      </c>
      <c r="F16" s="227">
        <f t="shared" si="10"/>
        <v>324898</v>
      </c>
      <c r="G16" s="227">
        <f t="shared" si="10"/>
        <v>334322.8</v>
      </c>
      <c r="H16" s="227">
        <f t="shared" si="10"/>
        <v>329931</v>
      </c>
      <c r="I16" s="227">
        <f t="shared" si="10"/>
        <v>337267.1</v>
      </c>
      <c r="J16" s="227">
        <f t="shared" si="10"/>
        <v>341957.1</v>
      </c>
      <c r="K16" s="227">
        <f t="shared" si="10"/>
        <v>310101.69999999995</v>
      </c>
      <c r="L16" s="227">
        <f t="shared" si="10"/>
        <v>311251.09999999998</v>
      </c>
      <c r="M16" s="227">
        <f t="shared" si="10"/>
        <v>312471.39999999997</v>
      </c>
      <c r="N16" s="227">
        <f t="shared" si="10"/>
        <v>313298.39999999997</v>
      </c>
      <c r="O16" s="227">
        <f t="shared" si="10"/>
        <v>323064.39999999997</v>
      </c>
      <c r="P16" s="227">
        <f t="shared" si="10"/>
        <v>324440.59999999998</v>
      </c>
      <c r="Q16" s="227">
        <f t="shared" si="10"/>
        <v>324369.89999999997</v>
      </c>
      <c r="R16" s="227">
        <f t="shared" si="10"/>
        <v>323381.19999999995</v>
      </c>
      <c r="S16" s="227">
        <f t="shared" si="10"/>
        <v>323254.79999999993</v>
      </c>
      <c r="T16" s="227">
        <f t="shared" si="10"/>
        <v>324808.29999999993</v>
      </c>
      <c r="U16" s="227">
        <f t="shared" si="10"/>
        <v>324552.39999999991</v>
      </c>
      <c r="V16" s="227">
        <f t="shared" si="10"/>
        <v>328087.89999999991</v>
      </c>
      <c r="W16" s="227">
        <f t="shared" si="10"/>
        <v>329479.49999999988</v>
      </c>
      <c r="X16" s="227">
        <f t="shared" si="10"/>
        <v>332247.5</v>
      </c>
      <c r="Y16" s="227">
        <f t="shared" si="10"/>
        <v>333194.7</v>
      </c>
      <c r="Z16" s="227">
        <f t="shared" si="10"/>
        <v>333253.8</v>
      </c>
      <c r="AA16" s="227">
        <f t="shared" si="10"/>
        <v>335582.2</v>
      </c>
      <c r="AB16" s="227">
        <f t="shared" si="10"/>
        <v>334929.2</v>
      </c>
      <c r="AC16" s="227">
        <f t="shared" si="10"/>
        <v>334883.8</v>
      </c>
      <c r="AD16" s="227">
        <f t="shared" si="10"/>
        <v>335556.1</v>
      </c>
      <c r="AE16" s="227">
        <f t="shared" si="10"/>
        <v>338332.1</v>
      </c>
      <c r="AF16" s="227">
        <f t="shared" si="10"/>
        <v>341091.8</v>
      </c>
      <c r="AG16" s="227">
        <f t="shared" si="10"/>
        <v>343523.89999999997</v>
      </c>
      <c r="AH16" s="227">
        <f t="shared" si="10"/>
        <v>345140.3</v>
      </c>
      <c r="AI16" s="227">
        <f t="shared" si="10"/>
        <v>345870.39999999997</v>
      </c>
      <c r="AJ16" s="227">
        <f t="shared" si="10"/>
        <v>342620.1</v>
      </c>
      <c r="AK16" s="227">
        <f t="shared" si="10"/>
        <v>349229.1</v>
      </c>
      <c r="AL16" s="227">
        <f t="shared" si="10"/>
        <v>354422.3</v>
      </c>
      <c r="AM16" s="227">
        <f t="shared" si="10"/>
        <v>363232.6</v>
      </c>
      <c r="AN16" s="227">
        <f t="shared" si="10"/>
        <v>365747.6</v>
      </c>
      <c r="AO16" s="227">
        <f t="shared" si="10"/>
        <v>366626.3</v>
      </c>
      <c r="AP16" s="227">
        <f t="shared" si="10"/>
        <v>376300.4</v>
      </c>
      <c r="AQ16" s="227">
        <f t="shared" si="10"/>
        <v>374198.9</v>
      </c>
      <c r="AR16" s="227">
        <f t="shared" si="10"/>
        <v>374577.80000000005</v>
      </c>
      <c r="AS16" s="227">
        <f t="shared" si="10"/>
        <v>378505.60000000003</v>
      </c>
      <c r="AT16" s="227">
        <f t="shared" si="10"/>
        <v>380772.7</v>
      </c>
      <c r="AU16" s="227">
        <f t="shared" si="10"/>
        <v>381121</v>
      </c>
      <c r="AV16" s="227">
        <f t="shared" si="10"/>
        <v>382281.2</v>
      </c>
      <c r="AW16" s="227">
        <f t="shared" si="10"/>
        <v>386272.4</v>
      </c>
      <c r="AX16" s="227">
        <f t="shared" si="10"/>
        <v>386659.5</v>
      </c>
      <c r="AY16" s="227">
        <f t="shared" si="10"/>
        <v>396555.2</v>
      </c>
      <c r="AZ16" s="227">
        <f t="shared" si="10"/>
        <v>395856.3</v>
      </c>
      <c r="BA16" s="227">
        <f t="shared" si="10"/>
        <v>394199.2</v>
      </c>
      <c r="BB16" s="227">
        <f t="shared" si="10"/>
        <v>398245.7</v>
      </c>
      <c r="BC16" s="227">
        <f t="shared" si="10"/>
        <v>396272.2</v>
      </c>
      <c r="BD16" s="227">
        <f t="shared" si="10"/>
        <v>398833.2</v>
      </c>
      <c r="BE16" s="227">
        <f t="shared" si="10"/>
        <v>403835.8</v>
      </c>
      <c r="BF16" s="227">
        <f t="shared" si="10"/>
        <v>406133.89999999997</v>
      </c>
      <c r="BG16" s="227">
        <f t="shared" si="10"/>
        <v>395758.3</v>
      </c>
      <c r="BH16" s="227">
        <f t="shared" si="10"/>
        <v>406948.1</v>
      </c>
      <c r="BI16" s="227">
        <f t="shared" si="10"/>
        <v>418019.1</v>
      </c>
      <c r="BJ16" s="227">
        <f t="shared" si="10"/>
        <v>425555.89999999997</v>
      </c>
      <c r="BK16" s="227">
        <f t="shared" si="10"/>
        <v>370673.39999999997</v>
      </c>
      <c r="BL16" s="227">
        <f t="shared" si="10"/>
        <v>381272.8</v>
      </c>
      <c r="BM16" s="227">
        <f t="shared" si="10"/>
        <v>386539.8</v>
      </c>
      <c r="BN16" s="227">
        <f t="shared" si="10"/>
        <v>403052.39999999997</v>
      </c>
      <c r="BO16" s="227">
        <f t="shared" ref="BO16:BZ16" si="11">+BO12+BO14</f>
        <v>414035.6</v>
      </c>
      <c r="BP16" s="227">
        <f t="shared" si="11"/>
        <v>435697.69999999995</v>
      </c>
      <c r="BQ16" s="227">
        <f t="shared" si="11"/>
        <v>442514.89999999997</v>
      </c>
      <c r="BR16" s="227">
        <f t="shared" si="11"/>
        <v>452070.49999999994</v>
      </c>
      <c r="BS16" s="227">
        <f t="shared" si="11"/>
        <v>458408.69999999995</v>
      </c>
      <c r="BT16" s="227">
        <f t="shared" si="11"/>
        <v>460068.79999999993</v>
      </c>
      <c r="BU16" s="227">
        <f t="shared" si="11"/>
        <v>463241.79999999993</v>
      </c>
      <c r="BV16" s="227">
        <f t="shared" si="11"/>
        <v>464935.69999999995</v>
      </c>
      <c r="BW16" s="227">
        <f t="shared" si="11"/>
        <v>466921.19999999995</v>
      </c>
      <c r="BX16" s="227">
        <f t="shared" si="11"/>
        <v>467794.6</v>
      </c>
      <c r="BY16" s="227">
        <f t="shared" si="11"/>
        <v>471163.69999999995</v>
      </c>
      <c r="BZ16" s="227">
        <f t="shared" si="11"/>
        <v>473560.79999999993</v>
      </c>
      <c r="CA16" s="227">
        <f t="shared" ref="CA16:CB16" si="12">+CA12+CA14</f>
        <v>472917.99999999994</v>
      </c>
      <c r="CB16" s="227">
        <f t="shared" si="12"/>
        <v>461017.19999999995</v>
      </c>
      <c r="CC16" s="227">
        <f t="shared" ref="CC16:CD16" si="13">+CC12+CC14</f>
        <v>465353.1</v>
      </c>
      <c r="CD16" s="227">
        <f t="shared" si="13"/>
        <v>447177.1</v>
      </c>
      <c r="CE16" s="227">
        <f t="shared" ref="CE16:CF16" si="14">+CE12+CE14</f>
        <v>454263.39999999997</v>
      </c>
      <c r="CF16" s="227">
        <f t="shared" si="14"/>
        <v>454036.99999999994</v>
      </c>
      <c r="CG16" s="227">
        <f t="shared" ref="CG16:CH16" si="15">+CG12+CG14</f>
        <v>443238.49999999994</v>
      </c>
      <c r="CH16" s="227">
        <f t="shared" si="15"/>
        <v>447031.69999999995</v>
      </c>
      <c r="CI16" s="227">
        <f t="shared" ref="CI16:CJ16" si="16">+CI12+CI14</f>
        <v>455076.69999999995</v>
      </c>
      <c r="CJ16" s="227">
        <f t="shared" si="16"/>
        <v>460934.19999999995</v>
      </c>
    </row>
    <row r="17" spans="1:89" x14ac:dyDescent="0.3">
      <c r="A17" s="173"/>
      <c r="B17" s="183" t="s">
        <v>57</v>
      </c>
      <c r="C17" s="184" t="s">
        <v>57</v>
      </c>
      <c r="D17" s="184" t="s">
        <v>57</v>
      </c>
      <c r="E17" s="184" t="s">
        <v>57</v>
      </c>
      <c r="F17" s="184" t="s">
        <v>57</v>
      </c>
      <c r="G17" s="184" t="s">
        <v>57</v>
      </c>
      <c r="H17" s="184" t="s">
        <v>57</v>
      </c>
      <c r="I17" s="184" t="s">
        <v>57</v>
      </c>
      <c r="J17" s="184" t="s">
        <v>57</v>
      </c>
      <c r="K17" s="184" t="s">
        <v>57</v>
      </c>
      <c r="L17" s="184" t="s">
        <v>57</v>
      </c>
      <c r="M17" s="184" t="s">
        <v>57</v>
      </c>
      <c r="N17" s="184" t="s">
        <v>57</v>
      </c>
      <c r="O17" s="184" t="s">
        <v>57</v>
      </c>
      <c r="P17" s="184" t="s">
        <v>57</v>
      </c>
      <c r="Q17" s="184" t="s">
        <v>57</v>
      </c>
      <c r="R17" s="184" t="s">
        <v>57</v>
      </c>
      <c r="S17" s="184" t="s">
        <v>57</v>
      </c>
      <c r="T17" s="184" t="s">
        <v>57</v>
      </c>
      <c r="U17" s="184" t="s">
        <v>57</v>
      </c>
      <c r="V17" s="184" t="s">
        <v>57</v>
      </c>
      <c r="W17" s="184" t="s">
        <v>57</v>
      </c>
      <c r="X17" s="184" t="s">
        <v>57</v>
      </c>
      <c r="Y17" s="184" t="s">
        <v>57</v>
      </c>
      <c r="Z17" s="184" t="s">
        <v>57</v>
      </c>
      <c r="AA17" s="184" t="s">
        <v>57</v>
      </c>
      <c r="AB17" s="184" t="s">
        <v>57</v>
      </c>
      <c r="AC17" s="184" t="s">
        <v>57</v>
      </c>
      <c r="AD17" s="185" t="s">
        <v>57</v>
      </c>
      <c r="AE17" s="185" t="s">
        <v>57</v>
      </c>
      <c r="AF17" s="185" t="s">
        <v>57</v>
      </c>
      <c r="AG17" s="185" t="s">
        <v>57</v>
      </c>
      <c r="AH17" s="185" t="s">
        <v>57</v>
      </c>
      <c r="AI17" s="185" t="s">
        <v>57</v>
      </c>
      <c r="AJ17" s="185" t="s">
        <v>57</v>
      </c>
      <c r="AK17" s="185" t="s">
        <v>57</v>
      </c>
      <c r="AL17" s="185" t="s">
        <v>57</v>
      </c>
      <c r="AM17" s="185" t="s">
        <v>57</v>
      </c>
      <c r="AN17" s="185" t="s">
        <v>57</v>
      </c>
      <c r="AO17" s="185" t="s">
        <v>57</v>
      </c>
      <c r="AP17" s="185" t="s">
        <v>57</v>
      </c>
      <c r="AQ17" s="185" t="s">
        <v>57</v>
      </c>
      <c r="AR17" s="185" t="s">
        <v>57</v>
      </c>
      <c r="AS17" s="185" t="s">
        <v>57</v>
      </c>
      <c r="AT17" s="185" t="s">
        <v>57</v>
      </c>
      <c r="AU17" s="185" t="s">
        <v>57</v>
      </c>
      <c r="AV17" s="185" t="s">
        <v>57</v>
      </c>
      <c r="AW17" s="185" t="s">
        <v>57</v>
      </c>
      <c r="AX17" s="185" t="s">
        <v>57</v>
      </c>
      <c r="AY17" s="185" t="s">
        <v>57</v>
      </c>
      <c r="AZ17" s="185" t="s">
        <v>57</v>
      </c>
      <c r="BA17" s="185" t="s">
        <v>57</v>
      </c>
      <c r="BB17" s="185" t="s">
        <v>57</v>
      </c>
      <c r="BC17" s="185" t="s">
        <v>57</v>
      </c>
      <c r="BD17" s="185" t="s">
        <v>57</v>
      </c>
      <c r="BE17" s="185" t="s">
        <v>57</v>
      </c>
      <c r="BF17" s="185" t="s">
        <v>57</v>
      </c>
      <c r="BG17" s="185" t="s">
        <v>57</v>
      </c>
      <c r="BH17" s="185" t="s">
        <v>57</v>
      </c>
      <c r="BI17" s="185" t="s">
        <v>57</v>
      </c>
      <c r="BJ17" s="185" t="s">
        <v>57</v>
      </c>
      <c r="BK17" s="185" t="s">
        <v>57</v>
      </c>
      <c r="BL17" s="185" t="s">
        <v>57</v>
      </c>
      <c r="BM17" s="185" t="s">
        <v>57</v>
      </c>
      <c r="BN17" s="185" t="s">
        <v>57</v>
      </c>
      <c r="BO17" s="185" t="s">
        <v>57</v>
      </c>
      <c r="BP17" s="185" t="s">
        <v>57</v>
      </c>
      <c r="BQ17" s="185" t="s">
        <v>57</v>
      </c>
      <c r="BR17" s="185" t="s">
        <v>57</v>
      </c>
      <c r="BS17" s="185" t="s">
        <v>57</v>
      </c>
      <c r="BT17" s="185" t="s">
        <v>57</v>
      </c>
      <c r="BU17" s="185" t="s">
        <v>57</v>
      </c>
      <c r="BV17" s="185" t="s">
        <v>57</v>
      </c>
      <c r="BW17" s="185" t="s">
        <v>57</v>
      </c>
      <c r="BX17" s="185" t="s">
        <v>57</v>
      </c>
      <c r="BY17" s="185" t="s">
        <v>57</v>
      </c>
      <c r="BZ17" s="185" t="s">
        <v>57</v>
      </c>
      <c r="CA17" s="185" t="s">
        <v>57</v>
      </c>
      <c r="CB17" s="185" t="s">
        <v>57</v>
      </c>
      <c r="CC17" s="185" t="s">
        <v>57</v>
      </c>
      <c r="CD17" s="185" t="s">
        <v>57</v>
      </c>
      <c r="CE17" s="185" t="s">
        <v>57</v>
      </c>
      <c r="CF17" s="185" t="s">
        <v>57</v>
      </c>
      <c r="CG17" s="185" t="s">
        <v>57</v>
      </c>
      <c r="CH17" s="185" t="s">
        <v>57</v>
      </c>
      <c r="CI17" s="185" t="s">
        <v>57</v>
      </c>
      <c r="CJ17" s="185" t="s">
        <v>57</v>
      </c>
    </row>
    <row r="18" spans="1:89" x14ac:dyDescent="0.3">
      <c r="A18" s="173"/>
      <c r="B18" s="186" t="s">
        <v>68</v>
      </c>
      <c r="C18" s="187" t="s">
        <v>57</v>
      </c>
      <c r="D18" s="187" t="s">
        <v>57</v>
      </c>
      <c r="E18" s="187" t="s">
        <v>57</v>
      </c>
      <c r="F18" s="187" t="s">
        <v>57</v>
      </c>
      <c r="G18" s="187" t="s">
        <v>57</v>
      </c>
      <c r="H18" s="187" t="s">
        <v>57</v>
      </c>
      <c r="I18" s="187" t="s">
        <v>57</v>
      </c>
      <c r="J18" s="187" t="s">
        <v>57</v>
      </c>
      <c r="K18" s="187" t="s">
        <v>57</v>
      </c>
      <c r="L18" s="187" t="s">
        <v>57</v>
      </c>
      <c r="M18" s="187" t="s">
        <v>57</v>
      </c>
      <c r="N18" s="187" t="s">
        <v>57</v>
      </c>
      <c r="O18" s="187" t="s">
        <v>57</v>
      </c>
      <c r="P18" s="187" t="s">
        <v>57</v>
      </c>
      <c r="Q18" s="187" t="s">
        <v>57</v>
      </c>
      <c r="R18" s="187" t="s">
        <v>57</v>
      </c>
      <c r="S18" s="187" t="s">
        <v>57</v>
      </c>
      <c r="T18" s="187" t="s">
        <v>57</v>
      </c>
      <c r="U18" s="187" t="s">
        <v>57</v>
      </c>
      <c r="V18" s="187" t="s">
        <v>57</v>
      </c>
      <c r="W18" s="187" t="s">
        <v>57</v>
      </c>
      <c r="X18" s="187" t="s">
        <v>57</v>
      </c>
      <c r="Y18" s="187" t="s">
        <v>57</v>
      </c>
      <c r="Z18" s="187" t="s">
        <v>57</v>
      </c>
      <c r="AA18" s="187" t="s">
        <v>57</v>
      </c>
      <c r="AB18" s="187" t="s">
        <v>57</v>
      </c>
      <c r="AC18" s="187" t="s">
        <v>57</v>
      </c>
      <c r="AD18" s="187" t="s">
        <v>57</v>
      </c>
      <c r="AE18" s="187" t="s">
        <v>57</v>
      </c>
      <c r="AF18" s="187" t="s">
        <v>57</v>
      </c>
      <c r="AG18" s="187" t="s">
        <v>57</v>
      </c>
      <c r="AH18" s="187" t="s">
        <v>57</v>
      </c>
      <c r="AI18" s="187" t="s">
        <v>57</v>
      </c>
      <c r="AJ18" s="187" t="s">
        <v>57</v>
      </c>
      <c r="AK18" s="187" t="s">
        <v>57</v>
      </c>
      <c r="AL18" s="187" t="s">
        <v>57</v>
      </c>
      <c r="AM18" s="187" t="s">
        <v>57</v>
      </c>
      <c r="AN18" s="187" t="s">
        <v>57</v>
      </c>
      <c r="AO18" s="187" t="s">
        <v>57</v>
      </c>
      <c r="AP18" s="187" t="s">
        <v>57</v>
      </c>
      <c r="AQ18" s="187" t="s">
        <v>57</v>
      </c>
      <c r="AR18" s="187" t="s">
        <v>57</v>
      </c>
      <c r="AS18" s="187" t="s">
        <v>57</v>
      </c>
      <c r="AT18" s="187" t="s">
        <v>57</v>
      </c>
      <c r="AU18" s="187" t="s">
        <v>57</v>
      </c>
      <c r="AV18" s="187" t="s">
        <v>57</v>
      </c>
      <c r="AW18" s="187" t="s">
        <v>57</v>
      </c>
      <c r="AX18" s="187" t="s">
        <v>57</v>
      </c>
      <c r="AY18" s="187" t="s">
        <v>57</v>
      </c>
      <c r="AZ18" s="187" t="s">
        <v>57</v>
      </c>
      <c r="BA18" s="187" t="s">
        <v>57</v>
      </c>
      <c r="BB18" s="187" t="s">
        <v>57</v>
      </c>
      <c r="BC18" s="187" t="s">
        <v>57</v>
      </c>
      <c r="BD18" s="187" t="s">
        <v>57</v>
      </c>
      <c r="BE18" s="187" t="s">
        <v>57</v>
      </c>
      <c r="BF18" s="187" t="s">
        <v>57</v>
      </c>
      <c r="BG18" s="187" t="s">
        <v>57</v>
      </c>
      <c r="BH18" s="187" t="s">
        <v>57</v>
      </c>
      <c r="BI18" s="187" t="s">
        <v>57</v>
      </c>
      <c r="BJ18" s="187" t="s">
        <v>57</v>
      </c>
      <c r="BK18" s="187" t="s">
        <v>57</v>
      </c>
      <c r="BL18" s="187" t="s">
        <v>57</v>
      </c>
      <c r="BM18" s="187" t="s">
        <v>57</v>
      </c>
      <c r="BN18" s="187" t="s">
        <v>57</v>
      </c>
      <c r="BO18" s="187" t="s">
        <v>57</v>
      </c>
      <c r="BP18" s="187" t="s">
        <v>57</v>
      </c>
      <c r="BQ18" s="187" t="s">
        <v>57</v>
      </c>
      <c r="BR18" s="187" t="s">
        <v>57</v>
      </c>
      <c r="BS18" s="187" t="s">
        <v>57</v>
      </c>
      <c r="BT18" s="187" t="s">
        <v>57</v>
      </c>
      <c r="BU18" s="187" t="s">
        <v>57</v>
      </c>
      <c r="BV18" s="187" t="s">
        <v>57</v>
      </c>
      <c r="BW18" s="187" t="s">
        <v>57</v>
      </c>
      <c r="BX18" s="187" t="s">
        <v>57</v>
      </c>
      <c r="BY18" s="187" t="s">
        <v>57</v>
      </c>
      <c r="BZ18" s="187" t="s">
        <v>57</v>
      </c>
      <c r="CA18" s="187" t="s">
        <v>57</v>
      </c>
      <c r="CB18" s="187" t="s">
        <v>57</v>
      </c>
      <c r="CC18" s="187" t="s">
        <v>57</v>
      </c>
      <c r="CD18" s="187" t="s">
        <v>57</v>
      </c>
      <c r="CE18" s="187" t="s">
        <v>57</v>
      </c>
      <c r="CF18" s="187" t="s">
        <v>57</v>
      </c>
      <c r="CG18" s="187" t="s">
        <v>57</v>
      </c>
      <c r="CH18" s="187" t="s">
        <v>57</v>
      </c>
      <c r="CI18" s="187" t="s">
        <v>57</v>
      </c>
      <c r="CJ18" s="187" t="s">
        <v>57</v>
      </c>
    </row>
    <row r="19" spans="1:89" x14ac:dyDescent="0.3">
      <c r="A19" s="173"/>
      <c r="B19" s="188" t="s">
        <v>57</v>
      </c>
      <c r="C19" s="189" t="s">
        <v>57</v>
      </c>
      <c r="D19" s="189" t="s">
        <v>57</v>
      </c>
      <c r="E19" s="189" t="s">
        <v>57</v>
      </c>
      <c r="F19" s="189" t="s">
        <v>57</v>
      </c>
      <c r="G19" s="189" t="s">
        <v>57</v>
      </c>
      <c r="H19" s="189" t="s">
        <v>57</v>
      </c>
      <c r="I19" s="189" t="s">
        <v>57</v>
      </c>
      <c r="J19" s="189" t="s">
        <v>57</v>
      </c>
      <c r="K19" s="189" t="s">
        <v>57</v>
      </c>
      <c r="L19" s="189" t="s">
        <v>57</v>
      </c>
      <c r="M19" s="189" t="s">
        <v>57</v>
      </c>
      <c r="N19" s="189" t="s">
        <v>57</v>
      </c>
      <c r="O19" s="189" t="s">
        <v>57</v>
      </c>
      <c r="P19" s="189" t="s">
        <v>57</v>
      </c>
      <c r="Q19" s="189" t="s">
        <v>57</v>
      </c>
      <c r="R19" s="189" t="s">
        <v>57</v>
      </c>
      <c r="S19" s="189" t="s">
        <v>57</v>
      </c>
      <c r="T19" s="189" t="s">
        <v>57</v>
      </c>
      <c r="U19" s="189" t="s">
        <v>57</v>
      </c>
      <c r="V19" s="189" t="s">
        <v>57</v>
      </c>
      <c r="W19" s="189" t="s">
        <v>57</v>
      </c>
      <c r="X19" s="189" t="s">
        <v>57</v>
      </c>
      <c r="Y19" s="189" t="s">
        <v>57</v>
      </c>
      <c r="Z19" s="189" t="s">
        <v>57</v>
      </c>
      <c r="AA19" s="189" t="s">
        <v>57</v>
      </c>
      <c r="AB19" s="189" t="s">
        <v>57</v>
      </c>
      <c r="AC19" s="189" t="s">
        <v>57</v>
      </c>
      <c r="AD19" s="189" t="s">
        <v>57</v>
      </c>
      <c r="AE19" s="189" t="s">
        <v>57</v>
      </c>
      <c r="AF19" s="189" t="s">
        <v>57</v>
      </c>
      <c r="AG19" s="189" t="s">
        <v>57</v>
      </c>
      <c r="AH19" s="189" t="s">
        <v>57</v>
      </c>
      <c r="AI19" s="189" t="s">
        <v>57</v>
      </c>
      <c r="AJ19" s="189" t="s">
        <v>57</v>
      </c>
      <c r="AK19" s="189" t="s">
        <v>57</v>
      </c>
      <c r="AL19" s="189" t="s">
        <v>57</v>
      </c>
      <c r="AM19" s="189" t="s">
        <v>57</v>
      </c>
      <c r="AN19" s="189" t="s">
        <v>57</v>
      </c>
      <c r="AO19" s="189" t="s">
        <v>57</v>
      </c>
      <c r="AP19" s="189" t="s">
        <v>57</v>
      </c>
      <c r="AQ19" s="189" t="s">
        <v>57</v>
      </c>
      <c r="AR19" s="189" t="s">
        <v>57</v>
      </c>
      <c r="AS19" s="189" t="s">
        <v>57</v>
      </c>
      <c r="AT19" s="189" t="s">
        <v>57</v>
      </c>
      <c r="AU19" s="189" t="s">
        <v>57</v>
      </c>
      <c r="AV19" s="189" t="s">
        <v>57</v>
      </c>
      <c r="AW19" s="189" t="s">
        <v>57</v>
      </c>
      <c r="AX19" s="189" t="s">
        <v>57</v>
      </c>
      <c r="AY19" s="189" t="s">
        <v>57</v>
      </c>
      <c r="AZ19" s="189" t="s">
        <v>57</v>
      </c>
      <c r="BA19" s="189" t="s">
        <v>57</v>
      </c>
      <c r="BB19" s="189" t="s">
        <v>57</v>
      </c>
      <c r="BC19" s="189" t="s">
        <v>57</v>
      </c>
      <c r="BD19" s="189" t="s">
        <v>57</v>
      </c>
      <c r="BE19" s="189" t="s">
        <v>57</v>
      </c>
      <c r="BF19" s="189" t="s">
        <v>57</v>
      </c>
      <c r="BG19" s="189" t="s">
        <v>57</v>
      </c>
      <c r="BH19" s="189" t="s">
        <v>57</v>
      </c>
      <c r="BI19" s="189" t="s">
        <v>57</v>
      </c>
      <c r="BJ19" s="189" t="s">
        <v>57</v>
      </c>
      <c r="BK19" s="189" t="s">
        <v>57</v>
      </c>
      <c r="BL19" s="189" t="s">
        <v>57</v>
      </c>
      <c r="BM19" s="189" t="s">
        <v>57</v>
      </c>
      <c r="BN19" s="189" t="s">
        <v>57</v>
      </c>
      <c r="BO19" s="189" t="s">
        <v>57</v>
      </c>
      <c r="BP19" s="189" t="s">
        <v>57</v>
      </c>
      <c r="BQ19" s="189" t="s">
        <v>57</v>
      </c>
      <c r="BR19" s="189" t="s">
        <v>57</v>
      </c>
      <c r="BS19" s="189" t="s">
        <v>57</v>
      </c>
      <c r="BT19" s="189" t="s">
        <v>57</v>
      </c>
      <c r="BU19" s="189" t="s">
        <v>57</v>
      </c>
      <c r="BV19" s="189" t="s">
        <v>57</v>
      </c>
      <c r="BW19" s="189" t="s">
        <v>57</v>
      </c>
      <c r="BX19" s="189" t="s">
        <v>57</v>
      </c>
      <c r="BY19" s="189" t="s">
        <v>57</v>
      </c>
      <c r="BZ19" s="189" t="s">
        <v>57</v>
      </c>
      <c r="CA19" s="189" t="s">
        <v>57</v>
      </c>
      <c r="CB19" s="189" t="s">
        <v>57</v>
      </c>
      <c r="CC19" s="189" t="s">
        <v>57</v>
      </c>
      <c r="CD19" s="189" t="s">
        <v>57</v>
      </c>
      <c r="CE19" s="189" t="s">
        <v>57</v>
      </c>
      <c r="CF19" s="189" t="s">
        <v>57</v>
      </c>
      <c r="CG19" s="189" t="s">
        <v>57</v>
      </c>
      <c r="CH19" s="189" t="s">
        <v>57</v>
      </c>
      <c r="CI19" s="189" t="s">
        <v>57</v>
      </c>
      <c r="CJ19" s="189" t="s">
        <v>57</v>
      </c>
    </row>
    <row r="20" spans="1:89" ht="16.2" x14ac:dyDescent="0.3">
      <c r="A20" s="173"/>
      <c r="B20" s="190" t="s">
        <v>278</v>
      </c>
      <c r="C20" s="191">
        <f t="shared" ref="C20:M20" si="17">+C21+C22+C70+C190+C200+C204+C201</f>
        <v>5848.7999999999993</v>
      </c>
      <c r="D20" s="191">
        <f t="shared" si="17"/>
        <v>11556.4</v>
      </c>
      <c r="E20" s="191">
        <f t="shared" si="17"/>
        <v>7135.2000000000007</v>
      </c>
      <c r="F20" s="191">
        <f t="shared" si="17"/>
        <v>19196.599999999999</v>
      </c>
      <c r="G20" s="191">
        <f t="shared" si="17"/>
        <v>7778.5</v>
      </c>
      <c r="H20" s="191">
        <f t="shared" si="17"/>
        <v>8519.1999999999989</v>
      </c>
      <c r="I20" s="191">
        <f t="shared" si="17"/>
        <v>13510.400000000001</v>
      </c>
      <c r="J20" s="191">
        <f t="shared" si="17"/>
        <v>1868.2999999999997</v>
      </c>
      <c r="K20" s="191">
        <f t="shared" si="17"/>
        <v>1357.9999999999998</v>
      </c>
      <c r="L20" s="191">
        <f t="shared" si="17"/>
        <v>3628</v>
      </c>
      <c r="M20" s="191">
        <f t="shared" si="17"/>
        <v>4915</v>
      </c>
      <c r="N20" s="191">
        <f t="shared" ref="N20:BY20" si="18">+N21+N22+N70+N190+N200+N204+N201+N202</f>
        <v>12084</v>
      </c>
      <c r="O20" s="191">
        <f t="shared" si="18"/>
        <v>3923.2</v>
      </c>
      <c r="P20" s="191">
        <f t="shared" si="18"/>
        <v>3701.6</v>
      </c>
      <c r="Q20" s="191">
        <f t="shared" si="18"/>
        <v>13145.3</v>
      </c>
      <c r="R20" s="191">
        <f t="shared" si="18"/>
        <v>9824.4999999999982</v>
      </c>
      <c r="S20" s="191">
        <f t="shared" si="18"/>
        <v>6565.3</v>
      </c>
      <c r="T20" s="191">
        <f t="shared" si="18"/>
        <v>5189.6000000000004</v>
      </c>
      <c r="U20" s="191">
        <f t="shared" si="18"/>
        <v>9929.1000000000022</v>
      </c>
      <c r="V20" s="191">
        <f t="shared" si="18"/>
        <v>4773.2</v>
      </c>
      <c r="W20" s="191">
        <f t="shared" si="18"/>
        <v>115799.40000000001</v>
      </c>
      <c r="X20" s="191">
        <f t="shared" si="18"/>
        <v>6801.3</v>
      </c>
      <c r="Y20" s="191">
        <f t="shared" si="18"/>
        <v>7406</v>
      </c>
      <c r="Z20" s="191">
        <f t="shared" si="18"/>
        <v>10560</v>
      </c>
      <c r="AA20" s="191">
        <f t="shared" si="18"/>
        <v>10923.4</v>
      </c>
      <c r="AB20" s="191">
        <f t="shared" si="18"/>
        <v>4186.1000000000013</v>
      </c>
      <c r="AC20" s="191">
        <f t="shared" si="18"/>
        <v>8173.9</v>
      </c>
      <c r="AD20" s="191">
        <f t="shared" si="18"/>
        <v>7652.7000000000025</v>
      </c>
      <c r="AE20" s="191">
        <f t="shared" si="18"/>
        <v>4515.1000000000004</v>
      </c>
      <c r="AF20" s="191">
        <f t="shared" si="18"/>
        <v>9605.0999999999985</v>
      </c>
      <c r="AG20" s="191">
        <f t="shared" si="18"/>
        <v>7763.8000000000029</v>
      </c>
      <c r="AH20" s="191">
        <f t="shared" si="18"/>
        <v>4550.0999999999995</v>
      </c>
      <c r="AI20" s="191">
        <f t="shared" si="18"/>
        <v>9003.5</v>
      </c>
      <c r="AJ20" s="191">
        <f t="shared" si="18"/>
        <v>11325.3</v>
      </c>
      <c r="AK20" s="191">
        <f t="shared" si="18"/>
        <v>7955.6999999999989</v>
      </c>
      <c r="AL20" s="191">
        <f t="shared" si="18"/>
        <v>11674.199999999999</v>
      </c>
      <c r="AM20" s="191">
        <f t="shared" si="18"/>
        <v>9789.4999999999982</v>
      </c>
      <c r="AN20" s="191">
        <f t="shared" si="18"/>
        <v>3970.9</v>
      </c>
      <c r="AO20" s="191">
        <f t="shared" si="18"/>
        <v>28240.400000000001</v>
      </c>
      <c r="AP20" s="191">
        <f t="shared" si="18"/>
        <v>14479.999999999998</v>
      </c>
      <c r="AQ20" s="191">
        <f t="shared" si="18"/>
        <v>10460.6</v>
      </c>
      <c r="AR20" s="191">
        <f t="shared" si="18"/>
        <v>15244.900000000001</v>
      </c>
      <c r="AS20" s="191">
        <f t="shared" si="18"/>
        <v>10553.199999999997</v>
      </c>
      <c r="AT20" s="191">
        <f t="shared" si="18"/>
        <v>18636.200000000004</v>
      </c>
      <c r="AU20" s="191">
        <f t="shared" si="18"/>
        <v>9932.4000000000015</v>
      </c>
      <c r="AV20" s="191">
        <f t="shared" si="18"/>
        <v>10702.400000000001</v>
      </c>
      <c r="AW20" s="191">
        <f t="shared" si="18"/>
        <v>10207.899999999998</v>
      </c>
      <c r="AX20" s="191">
        <f t="shared" si="18"/>
        <v>22721.4</v>
      </c>
      <c r="AY20" s="191">
        <f t="shared" si="18"/>
        <v>30139.4</v>
      </c>
      <c r="AZ20" s="191">
        <f t="shared" si="18"/>
        <v>4978.8</v>
      </c>
      <c r="BA20" s="191">
        <f t="shared" si="18"/>
        <v>35829.200000000004</v>
      </c>
      <c r="BB20" s="191">
        <f t="shared" si="18"/>
        <v>8272.4000000000015</v>
      </c>
      <c r="BC20" s="191">
        <f t="shared" si="18"/>
        <v>9203.5000000000018</v>
      </c>
      <c r="BD20" s="191">
        <f t="shared" si="18"/>
        <v>46152.7</v>
      </c>
      <c r="BE20" s="191">
        <f t="shared" si="18"/>
        <v>12026.399999999998</v>
      </c>
      <c r="BF20" s="191">
        <f t="shared" si="18"/>
        <v>18265.800000000003</v>
      </c>
      <c r="BG20" s="191">
        <f t="shared" si="18"/>
        <v>8612.4999999999982</v>
      </c>
      <c r="BH20" s="191">
        <f t="shared" si="18"/>
        <v>8333.7999999999993</v>
      </c>
      <c r="BI20" s="191">
        <f t="shared" si="18"/>
        <v>7443</v>
      </c>
      <c r="BJ20" s="191">
        <f t="shared" si="18"/>
        <v>12435.2</v>
      </c>
      <c r="BK20" s="191">
        <f t="shared" si="18"/>
        <v>18157.600000000002</v>
      </c>
      <c r="BL20" s="191">
        <f t="shared" si="18"/>
        <v>11649.6</v>
      </c>
      <c r="BM20" s="191">
        <f t="shared" si="18"/>
        <v>52011.700000000004</v>
      </c>
      <c r="BN20" s="191">
        <f t="shared" si="18"/>
        <v>6472.5</v>
      </c>
      <c r="BO20" s="191">
        <f t="shared" si="18"/>
        <v>18495.400000000001</v>
      </c>
      <c r="BP20" s="191">
        <f t="shared" si="18"/>
        <v>7987.2</v>
      </c>
      <c r="BQ20" s="191">
        <f t="shared" si="18"/>
        <v>43204.999999999993</v>
      </c>
      <c r="BR20" s="191">
        <f t="shared" si="18"/>
        <v>15549.199999999999</v>
      </c>
      <c r="BS20" s="191">
        <f t="shared" si="18"/>
        <v>12286.6</v>
      </c>
      <c r="BT20" s="191">
        <f t="shared" si="18"/>
        <v>6653.9</v>
      </c>
      <c r="BU20" s="191">
        <f t="shared" si="18"/>
        <v>12159.6</v>
      </c>
      <c r="BV20" s="191">
        <f t="shared" si="18"/>
        <v>9194.4</v>
      </c>
      <c r="BW20" s="191">
        <f t="shared" si="18"/>
        <v>27584.899999999998</v>
      </c>
      <c r="BX20" s="191">
        <f t="shared" si="18"/>
        <v>10409.800000000001</v>
      </c>
      <c r="BY20" s="191">
        <f t="shared" si="18"/>
        <v>10081.400000000001</v>
      </c>
      <c r="BZ20" s="191">
        <f t="shared" ref="BZ20:CA20" si="19">+BZ21+BZ22+BZ70+BZ190+BZ200+BZ204+BZ201+BZ202</f>
        <v>21816</v>
      </c>
      <c r="CA20" s="191">
        <f t="shared" si="19"/>
        <v>15823.8</v>
      </c>
      <c r="CB20" s="191">
        <f t="shared" ref="CB20:CC20" si="20">+CB21+CB22+CB70+CB190+CB200+CB204+CB201+CB202</f>
        <v>12622.9</v>
      </c>
      <c r="CC20" s="191">
        <f t="shared" si="20"/>
        <v>30726.799999999996</v>
      </c>
      <c r="CD20" s="191">
        <f t="shared" ref="CD20:CE20" si="21">+CD21+CD22+CD70+CD190+CD200+CD204+CD201+CD202</f>
        <v>22747.4</v>
      </c>
      <c r="CE20" s="191">
        <f t="shared" si="21"/>
        <v>18654.100000000002</v>
      </c>
      <c r="CF20" s="191">
        <f t="shared" ref="CF20:CG20" si="22">+CF21+CF22+CF70+CF190+CF200+CF204+CF201+CF202</f>
        <v>14545.199999999999</v>
      </c>
      <c r="CG20" s="191">
        <f t="shared" si="22"/>
        <v>17846.399999999998</v>
      </c>
      <c r="CH20" s="191">
        <f t="shared" ref="CH20:CI20" si="23">+CH21+CH22+CH70+CH190+CH200+CH204+CH201+CH202</f>
        <v>43149.599999999999</v>
      </c>
      <c r="CI20" s="191">
        <f t="shared" si="23"/>
        <v>19343.900000000001</v>
      </c>
      <c r="CJ20" s="191">
        <f t="shared" ref="CJ20" si="24">+CJ21+CJ22+CJ70+CJ190+CJ200+CJ204+CJ201+CJ202</f>
        <v>22973.9</v>
      </c>
    </row>
    <row r="21" spans="1:89" x14ac:dyDescent="0.3">
      <c r="A21" s="173"/>
      <c r="B21" s="192" t="s">
        <v>309</v>
      </c>
      <c r="C21" s="193">
        <v>669.2</v>
      </c>
      <c r="D21" s="193">
        <v>526.5</v>
      </c>
      <c r="E21" s="193">
        <v>1551.3</v>
      </c>
      <c r="F21" s="193">
        <v>707</v>
      </c>
      <c r="G21" s="193">
        <v>1207.7</v>
      </c>
      <c r="H21" s="193">
        <v>907.1</v>
      </c>
      <c r="I21" s="193">
        <v>329.8</v>
      </c>
      <c r="J21" s="193">
        <v>0</v>
      </c>
      <c r="K21" s="193">
        <v>192.6</v>
      </c>
      <c r="L21" s="193">
        <v>431</v>
      </c>
      <c r="M21" s="193">
        <v>3865</v>
      </c>
      <c r="N21" s="193">
        <v>5712</v>
      </c>
      <c r="O21" s="193">
        <v>422.4</v>
      </c>
      <c r="P21" s="193">
        <v>2254.1999999999998</v>
      </c>
      <c r="Q21" s="193">
        <v>2829.2</v>
      </c>
      <c r="R21" s="193">
        <v>1806.3</v>
      </c>
      <c r="S21" s="193">
        <v>708.5</v>
      </c>
      <c r="T21" s="193">
        <v>593.9</v>
      </c>
      <c r="U21" s="193">
        <v>1901.9</v>
      </c>
      <c r="V21" s="193">
        <v>553.1</v>
      </c>
      <c r="W21" s="193">
        <v>982.5</v>
      </c>
      <c r="X21" s="193">
        <v>0</v>
      </c>
      <c r="Y21" s="193">
        <v>1657.4</v>
      </c>
      <c r="Z21" s="193">
        <v>1540.7</v>
      </c>
      <c r="AA21" s="193">
        <v>0</v>
      </c>
      <c r="AB21" s="193">
        <v>561.29999999999995</v>
      </c>
      <c r="AC21" s="193">
        <v>2900.1</v>
      </c>
      <c r="AD21" s="193">
        <v>1135</v>
      </c>
      <c r="AE21" s="193">
        <v>242.1</v>
      </c>
      <c r="AF21" s="193">
        <v>2964.6</v>
      </c>
      <c r="AG21" s="194">
        <v>1420.7</v>
      </c>
      <c r="AH21" s="193">
        <v>899.8</v>
      </c>
      <c r="AI21" s="193">
        <v>1349.1</v>
      </c>
      <c r="AJ21" s="193">
        <v>4152.5</v>
      </c>
      <c r="AK21" s="193">
        <v>1303.5999999999999</v>
      </c>
      <c r="AL21" s="193">
        <v>6787.2</v>
      </c>
      <c r="AM21" s="193">
        <v>1187.3</v>
      </c>
      <c r="AN21" s="193">
        <v>380.9</v>
      </c>
      <c r="AO21" s="193">
        <v>1353.5</v>
      </c>
      <c r="AP21" s="193">
        <v>1661.6</v>
      </c>
      <c r="AQ21" s="193">
        <v>1744.4</v>
      </c>
      <c r="AR21" s="193">
        <v>3137.4</v>
      </c>
      <c r="AS21" s="193">
        <v>1557.3</v>
      </c>
      <c r="AT21" s="193">
        <v>0</v>
      </c>
      <c r="AU21" s="193">
        <v>145.1</v>
      </c>
      <c r="AV21" s="193">
        <v>1764.9</v>
      </c>
      <c r="AW21" s="193">
        <v>828.6</v>
      </c>
      <c r="AX21" s="193">
        <v>3796.6</v>
      </c>
      <c r="AY21" s="193">
        <v>237.1</v>
      </c>
      <c r="AZ21" s="193">
        <v>465.6</v>
      </c>
      <c r="BA21" s="193">
        <v>1696.2</v>
      </c>
      <c r="BB21" s="193">
        <v>1360.8</v>
      </c>
      <c r="BC21" s="193">
        <v>2296.5</v>
      </c>
      <c r="BD21" s="193">
        <v>5661.8</v>
      </c>
      <c r="BE21" s="193">
        <v>2364.9</v>
      </c>
      <c r="BF21" s="193">
        <v>145.30000000000001</v>
      </c>
      <c r="BG21" s="193">
        <v>0</v>
      </c>
      <c r="BH21" s="193">
        <v>0</v>
      </c>
      <c r="BI21" s="193">
        <v>243.3</v>
      </c>
      <c r="BJ21" s="193">
        <v>1095.8</v>
      </c>
      <c r="BK21" s="193">
        <v>185.5</v>
      </c>
      <c r="BL21" s="193">
        <v>0</v>
      </c>
      <c r="BM21" s="193">
        <v>273.60000000000002</v>
      </c>
      <c r="BN21" s="193">
        <v>331.7</v>
      </c>
      <c r="BO21" s="193">
        <v>872.7</v>
      </c>
      <c r="BP21" s="193">
        <v>729.4</v>
      </c>
      <c r="BQ21" s="193">
        <v>122.8</v>
      </c>
      <c r="BR21" s="193">
        <v>93.3</v>
      </c>
      <c r="BS21" s="193">
        <v>109.1</v>
      </c>
      <c r="BT21" s="193">
        <v>0</v>
      </c>
      <c r="BU21" s="193">
        <v>80.7</v>
      </c>
      <c r="BV21" s="193">
        <v>1070.4000000000001</v>
      </c>
      <c r="BW21" s="193">
        <v>626.6</v>
      </c>
      <c r="BX21" s="193">
        <v>38</v>
      </c>
      <c r="BY21" s="193">
        <v>216.5</v>
      </c>
      <c r="BZ21" s="193">
        <v>437.8</v>
      </c>
      <c r="CA21" s="193">
        <v>498.8</v>
      </c>
      <c r="CB21" s="193">
        <v>546.29999999999995</v>
      </c>
      <c r="CC21" s="193">
        <v>93.8</v>
      </c>
      <c r="CD21" s="193">
        <v>64.400000000000006</v>
      </c>
      <c r="CE21" s="193">
        <v>78.599999999999994</v>
      </c>
      <c r="CF21" s="193">
        <v>0</v>
      </c>
      <c r="CG21" s="193">
        <v>55.4</v>
      </c>
      <c r="CH21" s="193">
        <v>746.5</v>
      </c>
      <c r="CI21" s="193">
        <v>443.3</v>
      </c>
      <c r="CJ21" s="193">
        <v>27.6</v>
      </c>
    </row>
    <row r="22" spans="1:89" x14ac:dyDescent="0.3">
      <c r="A22" s="173"/>
      <c r="B22" s="195" t="s">
        <v>69</v>
      </c>
      <c r="C22" s="196">
        <v>4113.3999999999996</v>
      </c>
      <c r="D22" s="196">
        <v>4677.6000000000004</v>
      </c>
      <c r="E22" s="196">
        <v>3776.3</v>
      </c>
      <c r="F22" s="196">
        <v>4104.3</v>
      </c>
      <c r="G22" s="196">
        <v>5549.7</v>
      </c>
      <c r="H22" s="196">
        <v>5782.6</v>
      </c>
      <c r="I22" s="196">
        <v>7378.5</v>
      </c>
      <c r="J22" s="196">
        <v>1570.1</v>
      </c>
      <c r="K22" s="196">
        <v>937</v>
      </c>
      <c r="L22" s="196">
        <v>2413</v>
      </c>
      <c r="M22" s="196">
        <v>830</v>
      </c>
      <c r="N22" s="196">
        <v>2130</v>
      </c>
      <c r="O22" s="196">
        <f t="shared" ref="O22:AA22" si="25">+SUM(O23:O69)</f>
        <v>2113.6</v>
      </c>
      <c r="P22" s="196">
        <f t="shared" si="25"/>
        <v>231.1</v>
      </c>
      <c r="Q22" s="196">
        <f t="shared" si="25"/>
        <v>2721.8</v>
      </c>
      <c r="R22" s="196">
        <f t="shared" si="25"/>
        <v>3836.4</v>
      </c>
      <c r="S22" s="196">
        <f t="shared" si="25"/>
        <v>2194.1999999999998</v>
      </c>
      <c r="T22" s="196">
        <f t="shared" si="25"/>
        <v>3416</v>
      </c>
      <c r="U22" s="196">
        <f t="shared" si="25"/>
        <v>3099.4999999999995</v>
      </c>
      <c r="V22" s="196">
        <f t="shared" si="25"/>
        <v>3626.6</v>
      </c>
      <c r="W22" s="196">
        <f t="shared" si="25"/>
        <v>2879.7000000000003</v>
      </c>
      <c r="X22" s="196">
        <f t="shared" si="25"/>
        <v>3105.5</v>
      </c>
      <c r="Y22" s="196">
        <f t="shared" si="25"/>
        <v>1332.5</v>
      </c>
      <c r="Z22" s="196">
        <f t="shared" si="25"/>
        <v>4161.5</v>
      </c>
      <c r="AA22" s="196">
        <f t="shared" si="25"/>
        <v>2603.9</v>
      </c>
      <c r="AB22" s="196">
        <f t="shared" ref="AB22:AK22" si="26">+SUM(AB23:AB69)</f>
        <v>1951.8000000000002</v>
      </c>
      <c r="AC22" s="196">
        <f t="shared" si="26"/>
        <v>2614.6</v>
      </c>
      <c r="AD22" s="196">
        <f>+SUM(AD23:AD69)</f>
        <v>4222.300000000002</v>
      </c>
      <c r="AE22" s="196">
        <f t="shared" si="26"/>
        <v>2921.7999999999997</v>
      </c>
      <c r="AF22" s="196">
        <f t="shared" si="26"/>
        <v>4421.5</v>
      </c>
      <c r="AG22" s="196">
        <f t="shared" si="26"/>
        <v>4377.0000000000027</v>
      </c>
      <c r="AH22" s="196">
        <f t="shared" si="26"/>
        <v>2478.3000000000002</v>
      </c>
      <c r="AI22" s="196">
        <f t="shared" si="26"/>
        <v>3946.2</v>
      </c>
      <c r="AJ22" s="196">
        <f t="shared" si="26"/>
        <v>3877.2999999999997</v>
      </c>
      <c r="AK22" s="196">
        <f t="shared" si="26"/>
        <v>2837.7</v>
      </c>
      <c r="AL22" s="196">
        <f t="shared" ref="AL22:BZ22" si="27">+SUM(AL23:AL69)</f>
        <v>846.2</v>
      </c>
      <c r="AM22" s="196">
        <f t="shared" si="27"/>
        <v>7642.5</v>
      </c>
      <c r="AN22" s="196">
        <f t="shared" si="27"/>
        <v>2652.4</v>
      </c>
      <c r="AO22" s="196">
        <f t="shared" si="27"/>
        <v>12210.800000000001</v>
      </c>
      <c r="AP22" s="196">
        <f t="shared" si="27"/>
        <v>3493.4999999999991</v>
      </c>
      <c r="AQ22" s="196">
        <f t="shared" si="27"/>
        <v>3933.6000000000004</v>
      </c>
      <c r="AR22" s="196">
        <f t="shared" si="27"/>
        <v>5264.8</v>
      </c>
      <c r="AS22" s="196">
        <f t="shared" si="27"/>
        <v>8160.2999999999993</v>
      </c>
      <c r="AT22" s="196">
        <f t="shared" si="27"/>
        <v>4379.8999999999996</v>
      </c>
      <c r="AU22" s="196">
        <f t="shared" si="27"/>
        <v>5768.7000000000007</v>
      </c>
      <c r="AV22" s="196">
        <f t="shared" si="27"/>
        <v>2670</v>
      </c>
      <c r="AW22" s="196">
        <f t="shared" si="27"/>
        <v>1998.6</v>
      </c>
      <c r="AX22" s="196">
        <f t="shared" si="27"/>
        <v>8093.8</v>
      </c>
      <c r="AY22" s="196">
        <f t="shared" si="27"/>
        <v>12146.2</v>
      </c>
      <c r="AZ22" s="196">
        <f t="shared" si="27"/>
        <v>4033.7</v>
      </c>
      <c r="BA22" s="196">
        <f t="shared" si="27"/>
        <v>4144.7000000000007</v>
      </c>
      <c r="BB22" s="196">
        <f t="shared" si="27"/>
        <v>2208.1</v>
      </c>
      <c r="BC22" s="196">
        <f t="shared" si="27"/>
        <v>2484.1999999999998</v>
      </c>
      <c r="BD22" s="196">
        <f t="shared" si="27"/>
        <v>3750.7000000000003</v>
      </c>
      <c r="BE22" s="196">
        <f t="shared" si="27"/>
        <v>3712.4</v>
      </c>
      <c r="BF22" s="196">
        <f t="shared" si="27"/>
        <v>3596.0000000000005</v>
      </c>
      <c r="BG22" s="196">
        <f t="shared" si="27"/>
        <v>1565.1999999999998</v>
      </c>
      <c r="BH22" s="196">
        <f t="shared" si="27"/>
        <v>1068.4000000000001</v>
      </c>
      <c r="BI22" s="196">
        <f t="shared" si="27"/>
        <v>619.4</v>
      </c>
      <c r="BJ22" s="196">
        <f t="shared" si="27"/>
        <v>6460.5000000000018</v>
      </c>
      <c r="BK22" s="196">
        <f t="shared" si="27"/>
        <v>2273.1</v>
      </c>
      <c r="BL22" s="196">
        <f t="shared" si="27"/>
        <v>1426</v>
      </c>
      <c r="BM22" s="196">
        <f t="shared" si="27"/>
        <v>647.70000000000005</v>
      </c>
      <c r="BN22" s="196">
        <f t="shared" si="27"/>
        <v>3554.6</v>
      </c>
      <c r="BO22" s="196">
        <f t="shared" si="27"/>
        <v>15397.8</v>
      </c>
      <c r="BP22" s="196">
        <f t="shared" si="27"/>
        <v>6031.8</v>
      </c>
      <c r="BQ22" s="196">
        <f t="shared" si="27"/>
        <v>16493.900000000001</v>
      </c>
      <c r="BR22" s="196">
        <f t="shared" si="27"/>
        <v>7914.7</v>
      </c>
      <c r="BS22" s="196">
        <f t="shared" si="27"/>
        <v>10649.1</v>
      </c>
      <c r="BT22" s="196">
        <f t="shared" si="27"/>
        <v>3133.2</v>
      </c>
      <c r="BU22" s="196">
        <f t="shared" si="27"/>
        <v>1933.2</v>
      </c>
      <c r="BV22" s="196">
        <f t="shared" si="27"/>
        <v>3758.2000000000003</v>
      </c>
      <c r="BW22" s="196">
        <f t="shared" si="27"/>
        <v>6751.6</v>
      </c>
      <c r="BX22" s="196">
        <f t="shared" si="27"/>
        <v>8680.2000000000007</v>
      </c>
      <c r="BY22" s="196">
        <f t="shared" si="27"/>
        <v>8871.9000000000015</v>
      </c>
      <c r="BZ22" s="196">
        <f t="shared" si="27"/>
        <v>5397.6</v>
      </c>
      <c r="CA22" s="196">
        <f t="shared" ref="CA22:CB22" si="28">+SUM(CA23:CA69)</f>
        <v>8036.3</v>
      </c>
      <c r="CB22" s="196">
        <f t="shared" si="28"/>
        <v>9818.2000000000007</v>
      </c>
      <c r="CC22" s="196">
        <f t="shared" ref="CC22:CD22" si="29">+SUM(CC23:CC69)</f>
        <v>21997.7</v>
      </c>
      <c r="CD22" s="196">
        <f t="shared" si="29"/>
        <v>13302.6</v>
      </c>
      <c r="CE22" s="196">
        <f t="shared" ref="CE22" si="30">+SUM(CE23:CE69)</f>
        <v>16879.900000000001</v>
      </c>
      <c r="CF22" s="423">
        <f>+SUM(CF23:CF69)</f>
        <v>8992.0999999999985</v>
      </c>
      <c r="CG22" s="423">
        <f>+SUM(CG23:CG69)</f>
        <v>11551.300000000001</v>
      </c>
      <c r="CH22" s="423">
        <f>+SUM(CH23:CH69)</f>
        <v>25772.2</v>
      </c>
      <c r="CI22" s="423">
        <f>+SUM(CI23:CI69)</f>
        <v>16391.2</v>
      </c>
      <c r="CJ22" s="423">
        <f>+SUM(CJ23:CJ69)</f>
        <v>10769.2</v>
      </c>
    </row>
    <row r="23" spans="1:89" x14ac:dyDescent="0.3">
      <c r="A23" s="173"/>
      <c r="B23" s="197" t="s">
        <v>86</v>
      </c>
      <c r="C23" s="198">
        <v>1322.5</v>
      </c>
      <c r="D23" s="198">
        <v>1931.9</v>
      </c>
      <c r="E23" s="198">
        <v>963.6</v>
      </c>
      <c r="F23" s="198">
        <v>2626.2</v>
      </c>
      <c r="G23" s="198">
        <v>2375.3000000000002</v>
      </c>
      <c r="H23" s="198">
        <v>2373.5</v>
      </c>
      <c r="I23" s="198">
        <v>3914.6</v>
      </c>
      <c r="J23" s="198">
        <v>0</v>
      </c>
      <c r="K23" s="198">
        <v>0</v>
      </c>
      <c r="L23" s="198">
        <v>1848</v>
      </c>
      <c r="M23" s="198">
        <v>0</v>
      </c>
      <c r="N23" s="198">
        <v>0</v>
      </c>
      <c r="O23" s="198">
        <v>0</v>
      </c>
      <c r="P23" s="198">
        <v>0</v>
      </c>
      <c r="Q23" s="198">
        <v>0</v>
      </c>
      <c r="R23" s="198">
        <v>0</v>
      </c>
      <c r="S23" s="198">
        <v>0</v>
      </c>
      <c r="T23" s="198">
        <v>0</v>
      </c>
      <c r="U23" s="198">
        <v>0</v>
      </c>
      <c r="V23" s="198">
        <v>0</v>
      </c>
      <c r="W23" s="198">
        <v>0</v>
      </c>
      <c r="X23" s="198">
        <v>0</v>
      </c>
      <c r="Y23" s="198">
        <v>0</v>
      </c>
      <c r="Z23" s="198">
        <v>0</v>
      </c>
      <c r="AA23" s="198">
        <v>0</v>
      </c>
      <c r="AB23" s="198">
        <v>0</v>
      </c>
      <c r="AC23" s="198">
        <v>0</v>
      </c>
      <c r="AD23" s="198">
        <v>0</v>
      </c>
      <c r="AE23" s="198">
        <v>0</v>
      </c>
      <c r="AF23" s="198">
        <v>0</v>
      </c>
      <c r="AG23" s="198">
        <v>0</v>
      </c>
      <c r="AH23" s="198">
        <v>0</v>
      </c>
      <c r="AI23" s="198">
        <v>0</v>
      </c>
      <c r="AJ23" s="198">
        <v>0</v>
      </c>
      <c r="AK23" s="198">
        <v>0</v>
      </c>
      <c r="AL23" s="198">
        <v>0</v>
      </c>
      <c r="AM23" s="198">
        <v>0</v>
      </c>
      <c r="AN23" s="198">
        <v>0</v>
      </c>
      <c r="AO23" s="198">
        <v>0</v>
      </c>
      <c r="AP23" s="198">
        <v>0</v>
      </c>
      <c r="AQ23" s="198">
        <v>0</v>
      </c>
      <c r="AR23" s="198">
        <v>0</v>
      </c>
      <c r="AS23" s="198">
        <v>0</v>
      </c>
      <c r="AT23" s="198">
        <v>0</v>
      </c>
      <c r="AU23" s="198">
        <v>0</v>
      </c>
      <c r="AV23" s="198">
        <v>0</v>
      </c>
      <c r="AW23" s="198">
        <v>0</v>
      </c>
      <c r="AX23" s="198">
        <v>0</v>
      </c>
      <c r="AY23" s="198">
        <v>0</v>
      </c>
      <c r="AZ23" s="198">
        <v>0</v>
      </c>
      <c r="BA23" s="198">
        <v>0</v>
      </c>
      <c r="BB23" s="198">
        <v>0</v>
      </c>
      <c r="BC23" s="198">
        <v>0</v>
      </c>
      <c r="BD23" s="198">
        <v>0</v>
      </c>
      <c r="BE23" s="198">
        <v>0</v>
      </c>
      <c r="BF23" s="198">
        <v>0</v>
      </c>
      <c r="BG23" s="198">
        <v>0</v>
      </c>
      <c r="BH23" s="198">
        <v>0</v>
      </c>
      <c r="BI23" s="198">
        <v>0</v>
      </c>
      <c r="BJ23" s="198">
        <v>0</v>
      </c>
      <c r="BK23" s="198">
        <v>0</v>
      </c>
      <c r="BL23" s="198">
        <v>0</v>
      </c>
      <c r="BM23" s="198">
        <v>647.70000000000005</v>
      </c>
      <c r="BN23" s="198">
        <v>3554.6</v>
      </c>
      <c r="BO23" s="198">
        <v>15397.8</v>
      </c>
      <c r="BP23" s="198">
        <v>6031.8</v>
      </c>
      <c r="BQ23" s="198">
        <v>16493.900000000001</v>
      </c>
      <c r="BR23" s="198">
        <v>6717.8</v>
      </c>
      <c r="BS23" s="198">
        <v>10649.1</v>
      </c>
      <c r="BT23" s="198">
        <v>3133.2</v>
      </c>
      <c r="BU23" s="198">
        <v>1933.2</v>
      </c>
      <c r="BV23" s="198">
        <v>3736.3</v>
      </c>
      <c r="BW23" s="198">
        <v>6751.6</v>
      </c>
      <c r="BX23" s="198">
        <v>7386.1</v>
      </c>
      <c r="BY23" s="198">
        <v>8669.7000000000007</v>
      </c>
      <c r="BZ23" s="198">
        <v>5176</v>
      </c>
      <c r="CA23" s="198">
        <v>8036.3</v>
      </c>
      <c r="CB23" s="198">
        <v>9818.2000000000007</v>
      </c>
      <c r="CC23" s="198">
        <v>21100.3</v>
      </c>
      <c r="CD23" s="198">
        <v>13302.6</v>
      </c>
      <c r="CE23" s="198">
        <v>12683.7</v>
      </c>
      <c r="CF23" s="198">
        <v>2919.7</v>
      </c>
      <c r="CG23" s="198">
        <v>9111.6</v>
      </c>
      <c r="CH23" s="198">
        <v>21317</v>
      </c>
      <c r="CI23" s="198">
        <v>9598.1</v>
      </c>
      <c r="CJ23" s="198">
        <v>4085.7</v>
      </c>
      <c r="CK23" s="88"/>
    </row>
    <row r="24" spans="1:89" x14ac:dyDescent="0.3">
      <c r="A24" s="173"/>
      <c r="B24" s="197" t="s">
        <v>288</v>
      </c>
      <c r="C24" s="200">
        <v>0</v>
      </c>
      <c r="D24" s="200">
        <v>0</v>
      </c>
      <c r="E24" s="200">
        <v>0</v>
      </c>
      <c r="F24" s="200">
        <v>0</v>
      </c>
      <c r="G24" s="200">
        <v>0</v>
      </c>
      <c r="H24" s="200">
        <v>0</v>
      </c>
      <c r="I24" s="200">
        <v>0</v>
      </c>
      <c r="J24" s="200">
        <v>0</v>
      </c>
      <c r="K24" s="200">
        <v>0</v>
      </c>
      <c r="L24" s="200">
        <v>0</v>
      </c>
      <c r="M24" s="200">
        <v>0</v>
      </c>
      <c r="N24" s="200">
        <v>0</v>
      </c>
      <c r="O24" s="200">
        <v>0</v>
      </c>
      <c r="P24" s="200">
        <v>0</v>
      </c>
      <c r="Q24" s="200">
        <v>0</v>
      </c>
      <c r="R24" s="200">
        <v>0</v>
      </c>
      <c r="S24" s="200">
        <v>0</v>
      </c>
      <c r="T24" s="200">
        <v>0</v>
      </c>
      <c r="U24" s="200">
        <v>0</v>
      </c>
      <c r="V24" s="200">
        <v>0</v>
      </c>
      <c r="W24" s="200">
        <v>0</v>
      </c>
      <c r="X24" s="200">
        <v>0</v>
      </c>
      <c r="Y24" s="200">
        <v>784.5</v>
      </c>
      <c r="Z24" s="198">
        <v>1656.2</v>
      </c>
      <c r="AA24" s="198">
        <v>1176.7</v>
      </c>
      <c r="AB24" s="198">
        <v>1385.4</v>
      </c>
      <c r="AC24" s="198">
        <v>808</v>
      </c>
      <c r="AD24" s="198">
        <v>656.6</v>
      </c>
      <c r="AE24" s="198">
        <v>532.1</v>
      </c>
      <c r="AF24" s="198">
        <v>267.3</v>
      </c>
      <c r="AG24" s="198">
        <v>339.7</v>
      </c>
      <c r="AH24" s="198">
        <v>56</v>
      </c>
      <c r="AI24" s="198">
        <v>37.299999999999997</v>
      </c>
      <c r="AJ24" s="198">
        <v>0</v>
      </c>
      <c r="AK24" s="198">
        <v>0</v>
      </c>
      <c r="AL24" s="198">
        <v>0</v>
      </c>
      <c r="AM24" s="198">
        <v>0</v>
      </c>
      <c r="AN24" s="198">
        <v>0</v>
      </c>
      <c r="AO24" s="198">
        <v>105</v>
      </c>
      <c r="AP24" s="198">
        <v>138</v>
      </c>
      <c r="AQ24" s="198">
        <v>39.799999999999997</v>
      </c>
      <c r="AR24" s="198">
        <v>0</v>
      </c>
      <c r="AS24" s="198">
        <v>0</v>
      </c>
      <c r="AT24" s="198">
        <v>0</v>
      </c>
      <c r="AU24" s="198">
        <v>0</v>
      </c>
      <c r="AV24" s="198">
        <v>0</v>
      </c>
      <c r="AW24" s="198">
        <v>0</v>
      </c>
      <c r="AX24" s="198">
        <v>0</v>
      </c>
      <c r="AY24" s="198">
        <v>0</v>
      </c>
      <c r="AZ24" s="198">
        <v>0</v>
      </c>
      <c r="BA24" s="198">
        <v>0</v>
      </c>
      <c r="BB24" s="198">
        <v>0</v>
      </c>
      <c r="BC24" s="198">
        <v>0</v>
      </c>
      <c r="BD24" s="198">
        <v>0</v>
      </c>
      <c r="BE24" s="198">
        <v>0</v>
      </c>
      <c r="BF24" s="198">
        <v>0</v>
      </c>
      <c r="BG24" s="198">
        <v>0</v>
      </c>
      <c r="BH24" s="198">
        <v>0</v>
      </c>
      <c r="BI24" s="198">
        <v>0</v>
      </c>
      <c r="BJ24" s="198">
        <v>0</v>
      </c>
      <c r="BK24" s="198">
        <v>0</v>
      </c>
      <c r="BL24" s="198">
        <v>0</v>
      </c>
      <c r="BM24" s="198">
        <v>0</v>
      </c>
      <c r="BN24" s="198">
        <v>0</v>
      </c>
      <c r="BO24" s="198">
        <v>0</v>
      </c>
      <c r="BP24" s="198">
        <v>0</v>
      </c>
      <c r="BQ24" s="198">
        <v>0</v>
      </c>
      <c r="BR24" s="198">
        <v>0</v>
      </c>
      <c r="BS24" s="198">
        <v>0</v>
      </c>
      <c r="BT24" s="198">
        <v>0</v>
      </c>
      <c r="BU24" s="198">
        <v>0</v>
      </c>
      <c r="BV24" s="198">
        <v>0</v>
      </c>
      <c r="BW24" s="198">
        <v>0</v>
      </c>
      <c r="BX24" s="198">
        <v>0</v>
      </c>
      <c r="BY24" s="198">
        <v>0</v>
      </c>
      <c r="BZ24" s="198">
        <v>0</v>
      </c>
      <c r="CA24" s="198">
        <v>0</v>
      </c>
      <c r="CB24" s="198">
        <v>0</v>
      </c>
      <c r="CC24" s="198">
        <v>0</v>
      </c>
      <c r="CD24" s="198">
        <v>0</v>
      </c>
      <c r="CE24" s="198">
        <v>0</v>
      </c>
      <c r="CF24" s="198">
        <v>0</v>
      </c>
      <c r="CG24" s="198">
        <v>0</v>
      </c>
      <c r="CH24" s="198">
        <v>0</v>
      </c>
      <c r="CI24" s="198">
        <v>0</v>
      </c>
      <c r="CJ24" s="198">
        <v>0</v>
      </c>
      <c r="CK24" s="88"/>
    </row>
    <row r="25" spans="1:89" x14ac:dyDescent="0.3">
      <c r="A25" s="173"/>
      <c r="B25" s="197" t="s">
        <v>72</v>
      </c>
      <c r="C25" s="199">
        <v>0</v>
      </c>
      <c r="D25" s="198">
        <v>538.70000000000005</v>
      </c>
      <c r="E25" s="198">
        <v>1111</v>
      </c>
      <c r="F25" s="198">
        <v>21.2</v>
      </c>
      <c r="G25" s="198">
        <v>66.3</v>
      </c>
      <c r="H25" s="200">
        <v>0</v>
      </c>
      <c r="I25" s="200">
        <v>0</v>
      </c>
      <c r="J25" s="200">
        <v>0</v>
      </c>
      <c r="K25" s="200">
        <v>0</v>
      </c>
      <c r="L25" s="198">
        <v>0</v>
      </c>
      <c r="M25" s="198">
        <v>0</v>
      </c>
      <c r="N25" s="198">
        <v>618</v>
      </c>
      <c r="O25" s="198">
        <v>2113.6</v>
      </c>
      <c r="P25" s="198">
        <v>231.1</v>
      </c>
      <c r="Q25" s="198">
        <v>1935.6</v>
      </c>
      <c r="R25" s="198">
        <v>3004.7</v>
      </c>
      <c r="S25" s="198">
        <v>1577.2</v>
      </c>
      <c r="T25" s="198">
        <v>2815.3</v>
      </c>
      <c r="U25" s="198">
        <v>2982.9</v>
      </c>
      <c r="V25" s="198">
        <v>3613.1</v>
      </c>
      <c r="W25" s="198">
        <v>2711.4</v>
      </c>
      <c r="X25" s="198">
        <v>1941.4</v>
      </c>
      <c r="Y25" s="198">
        <v>548</v>
      </c>
      <c r="Z25" s="198">
        <v>2505.3000000000002</v>
      </c>
      <c r="AA25" s="198">
        <v>1302.2</v>
      </c>
      <c r="AB25" s="198">
        <v>566.4</v>
      </c>
      <c r="AC25" s="198">
        <v>1484.2</v>
      </c>
      <c r="AD25" s="198">
        <v>2421.8000000000002</v>
      </c>
      <c r="AE25" s="198">
        <v>2389.6999999999998</v>
      </c>
      <c r="AF25" s="198">
        <v>4154.2</v>
      </c>
      <c r="AG25" s="198">
        <v>3784.9</v>
      </c>
      <c r="AH25" s="198">
        <v>2391.3000000000002</v>
      </c>
      <c r="AI25" s="198">
        <v>3694.2</v>
      </c>
      <c r="AJ25" s="198">
        <v>2668</v>
      </c>
      <c r="AK25" s="198">
        <v>2837.7</v>
      </c>
      <c r="AL25" s="198">
        <v>846.2</v>
      </c>
      <c r="AM25" s="198">
        <v>7360.7</v>
      </c>
      <c r="AN25" s="198">
        <v>2652.4</v>
      </c>
      <c r="AO25" s="198">
        <v>10990.7</v>
      </c>
      <c r="AP25" s="198">
        <v>3063.1</v>
      </c>
      <c r="AQ25" s="198">
        <v>3893.8</v>
      </c>
      <c r="AR25" s="198">
        <v>5264.8</v>
      </c>
      <c r="AS25" s="198">
        <v>7480.1</v>
      </c>
      <c r="AT25" s="198">
        <v>4379.5</v>
      </c>
      <c r="AU25" s="198">
        <v>4194.1000000000004</v>
      </c>
      <c r="AV25" s="198">
        <v>2670</v>
      </c>
      <c r="AW25" s="198">
        <v>1998.6</v>
      </c>
      <c r="AX25" s="198">
        <v>7450.8</v>
      </c>
      <c r="AY25" s="198">
        <v>11767.7</v>
      </c>
      <c r="AZ25" s="198">
        <v>4033.7</v>
      </c>
      <c r="BA25" s="198">
        <v>2701.9</v>
      </c>
      <c r="BB25" s="198">
        <v>2121.1</v>
      </c>
      <c r="BC25" s="198">
        <v>2329.1999999999998</v>
      </c>
      <c r="BD25" s="198">
        <v>3266.6</v>
      </c>
      <c r="BE25" s="198">
        <v>3712.4</v>
      </c>
      <c r="BF25" s="198">
        <v>2422.3000000000002</v>
      </c>
      <c r="BG25" s="198">
        <v>1279</v>
      </c>
      <c r="BH25" s="198">
        <v>1068.4000000000001</v>
      </c>
      <c r="BI25" s="198">
        <v>619.4</v>
      </c>
      <c r="BJ25" s="198">
        <v>5978.9</v>
      </c>
      <c r="BK25" s="198">
        <v>2273.1</v>
      </c>
      <c r="BL25" s="198">
        <v>237.9</v>
      </c>
      <c r="BM25" s="198">
        <v>0</v>
      </c>
      <c r="BN25" s="198">
        <v>0</v>
      </c>
      <c r="BO25" s="198">
        <v>0</v>
      </c>
      <c r="BP25" s="198">
        <v>0</v>
      </c>
      <c r="BQ25" s="198">
        <v>0</v>
      </c>
      <c r="BR25" s="198">
        <v>0</v>
      </c>
      <c r="BS25" s="198">
        <v>0</v>
      </c>
      <c r="BT25" s="198">
        <v>0</v>
      </c>
      <c r="BU25" s="198">
        <v>0</v>
      </c>
      <c r="BV25" s="198">
        <v>0</v>
      </c>
      <c r="BW25" s="198">
        <v>0</v>
      </c>
      <c r="BX25" s="198">
        <v>0</v>
      </c>
      <c r="BY25" s="198">
        <v>0</v>
      </c>
      <c r="BZ25" s="198">
        <v>0</v>
      </c>
      <c r="CA25" s="198">
        <v>0</v>
      </c>
      <c r="CB25" s="198">
        <v>0</v>
      </c>
      <c r="CC25" s="198">
        <v>0</v>
      </c>
      <c r="CD25" s="198">
        <v>0</v>
      </c>
      <c r="CE25" s="198">
        <v>0</v>
      </c>
      <c r="CF25" s="198">
        <v>0</v>
      </c>
      <c r="CG25" s="198">
        <v>810.5</v>
      </c>
      <c r="CH25" s="198">
        <v>3093.7</v>
      </c>
      <c r="CI25" s="198">
        <v>1792.2</v>
      </c>
      <c r="CJ25" s="198">
        <v>3880.7</v>
      </c>
      <c r="CK25" s="88"/>
    </row>
    <row r="26" spans="1:89" x14ac:dyDescent="0.3">
      <c r="A26" s="173"/>
      <c r="B26" s="197" t="s">
        <v>54</v>
      </c>
      <c r="C26" s="198">
        <v>2000</v>
      </c>
      <c r="D26" s="198">
        <v>2173.1999999999998</v>
      </c>
      <c r="E26" s="198">
        <v>1596.3</v>
      </c>
      <c r="F26" s="198">
        <v>1450</v>
      </c>
      <c r="G26" s="198">
        <v>1887.7</v>
      </c>
      <c r="H26" s="198">
        <v>3172.4</v>
      </c>
      <c r="I26" s="200">
        <v>0</v>
      </c>
      <c r="J26" s="200">
        <v>409.2</v>
      </c>
      <c r="K26" s="200">
        <v>0</v>
      </c>
      <c r="L26" s="198">
        <v>0</v>
      </c>
      <c r="M26" s="198">
        <v>0</v>
      </c>
      <c r="N26" s="198">
        <v>0</v>
      </c>
      <c r="O26" s="198">
        <v>0</v>
      </c>
      <c r="P26" s="198">
        <v>0</v>
      </c>
      <c r="Q26" s="198">
        <v>0</v>
      </c>
      <c r="R26" s="198">
        <v>0</v>
      </c>
      <c r="S26" s="198">
        <v>0</v>
      </c>
      <c r="T26" s="198">
        <v>0</v>
      </c>
      <c r="U26" s="198">
        <v>0</v>
      </c>
      <c r="V26" s="198">
        <v>0</v>
      </c>
      <c r="W26" s="198">
        <v>0</v>
      </c>
      <c r="X26" s="198">
        <v>0</v>
      </c>
      <c r="Y26" s="198">
        <v>0</v>
      </c>
      <c r="Z26" s="198">
        <v>0</v>
      </c>
      <c r="AA26" s="198">
        <v>0</v>
      </c>
      <c r="AB26" s="198">
        <v>0</v>
      </c>
      <c r="AC26" s="198">
        <v>0</v>
      </c>
      <c r="AD26" s="198">
        <v>0</v>
      </c>
      <c r="AE26" s="198">
        <v>0</v>
      </c>
      <c r="AF26" s="198">
        <v>0</v>
      </c>
      <c r="AG26" s="198">
        <v>0</v>
      </c>
      <c r="AH26" s="198">
        <v>0</v>
      </c>
      <c r="AI26" s="198">
        <v>0</v>
      </c>
      <c r="AJ26" s="198">
        <v>0</v>
      </c>
      <c r="AK26" s="198">
        <v>0</v>
      </c>
      <c r="AL26" s="198">
        <v>0</v>
      </c>
      <c r="AM26" s="198">
        <v>0</v>
      </c>
      <c r="AN26" s="198">
        <v>0</v>
      </c>
      <c r="AO26" s="198">
        <v>0</v>
      </c>
      <c r="AP26" s="198">
        <v>0</v>
      </c>
      <c r="AQ26" s="198">
        <v>0</v>
      </c>
      <c r="AR26" s="198">
        <v>0</v>
      </c>
      <c r="AS26" s="198">
        <v>0</v>
      </c>
      <c r="AT26" s="198">
        <v>0</v>
      </c>
      <c r="AU26" s="198">
        <v>0</v>
      </c>
      <c r="AV26" s="198">
        <v>0</v>
      </c>
      <c r="AW26" s="198">
        <v>0</v>
      </c>
      <c r="AX26" s="198">
        <v>0</v>
      </c>
      <c r="AY26" s="198">
        <v>0</v>
      </c>
      <c r="AZ26" s="198">
        <v>0</v>
      </c>
      <c r="BA26" s="198">
        <v>0</v>
      </c>
      <c r="BB26" s="198">
        <v>0</v>
      </c>
      <c r="BC26" s="198">
        <v>0</v>
      </c>
      <c r="BD26" s="198">
        <v>0</v>
      </c>
      <c r="BE26" s="198">
        <v>0</v>
      </c>
      <c r="BF26" s="198">
        <v>0</v>
      </c>
      <c r="BG26" s="198">
        <v>0</v>
      </c>
      <c r="BH26" s="198">
        <v>0</v>
      </c>
      <c r="BI26" s="198">
        <v>0</v>
      </c>
      <c r="BJ26" s="198">
        <v>0</v>
      </c>
      <c r="BK26" s="198">
        <v>0</v>
      </c>
      <c r="BL26" s="198">
        <v>0</v>
      </c>
      <c r="BM26" s="198">
        <v>0</v>
      </c>
      <c r="BN26" s="198">
        <v>0</v>
      </c>
      <c r="BO26" s="198">
        <v>0</v>
      </c>
      <c r="BP26" s="198">
        <v>0</v>
      </c>
      <c r="BQ26" s="198">
        <v>0</v>
      </c>
      <c r="BR26" s="198">
        <v>0</v>
      </c>
      <c r="BS26" s="198">
        <v>0</v>
      </c>
      <c r="BT26" s="198">
        <v>0</v>
      </c>
      <c r="BU26" s="198">
        <v>0</v>
      </c>
      <c r="BV26" s="198">
        <v>0</v>
      </c>
      <c r="BW26" s="198">
        <v>0</v>
      </c>
      <c r="BX26" s="198">
        <v>0</v>
      </c>
      <c r="BY26" s="198">
        <v>0</v>
      </c>
      <c r="BZ26" s="198">
        <v>0</v>
      </c>
      <c r="CA26" s="198">
        <v>0</v>
      </c>
      <c r="CB26" s="198">
        <v>0</v>
      </c>
      <c r="CC26" s="198">
        <v>0</v>
      </c>
      <c r="CD26" s="198">
        <v>0</v>
      </c>
      <c r="CE26" s="198">
        <v>0</v>
      </c>
      <c r="CF26" s="198">
        <v>0</v>
      </c>
      <c r="CG26" s="198">
        <v>0</v>
      </c>
      <c r="CH26" s="198">
        <v>0</v>
      </c>
      <c r="CI26" s="198">
        <v>0</v>
      </c>
      <c r="CJ26" s="198">
        <v>0</v>
      </c>
      <c r="CK26" s="88"/>
    </row>
    <row r="27" spans="1:89" x14ac:dyDescent="0.3">
      <c r="A27" s="173"/>
      <c r="B27" s="197" t="s">
        <v>162</v>
      </c>
      <c r="C27" s="200">
        <v>0</v>
      </c>
      <c r="D27" s="200">
        <v>0</v>
      </c>
      <c r="E27" s="200">
        <v>0</v>
      </c>
      <c r="F27" s="200">
        <v>0</v>
      </c>
      <c r="G27" s="200">
        <v>1202.2</v>
      </c>
      <c r="H27" s="200">
        <v>236.6</v>
      </c>
      <c r="I27" s="200">
        <v>0</v>
      </c>
      <c r="J27" s="200">
        <v>0</v>
      </c>
      <c r="K27" s="200">
        <v>0</v>
      </c>
      <c r="L27" s="198">
        <v>0</v>
      </c>
      <c r="M27" s="198">
        <v>0</v>
      </c>
      <c r="N27" s="198">
        <v>0</v>
      </c>
      <c r="O27" s="198">
        <v>0</v>
      </c>
      <c r="P27" s="198">
        <v>0</v>
      </c>
      <c r="Q27" s="198">
        <v>0</v>
      </c>
      <c r="R27" s="198">
        <v>0</v>
      </c>
      <c r="S27" s="198">
        <v>0</v>
      </c>
      <c r="T27" s="198">
        <v>0</v>
      </c>
      <c r="U27" s="198">
        <v>0</v>
      </c>
      <c r="V27" s="198">
        <v>0</v>
      </c>
      <c r="W27" s="198">
        <v>0</v>
      </c>
      <c r="X27" s="198">
        <v>0</v>
      </c>
      <c r="Y27" s="198">
        <v>0</v>
      </c>
      <c r="Z27" s="198">
        <v>0</v>
      </c>
      <c r="AA27" s="198">
        <v>0</v>
      </c>
      <c r="AB27" s="198">
        <v>0</v>
      </c>
      <c r="AC27" s="198">
        <v>0</v>
      </c>
      <c r="AD27" s="198">
        <v>0</v>
      </c>
      <c r="AE27" s="198">
        <v>0</v>
      </c>
      <c r="AF27" s="198">
        <v>0</v>
      </c>
      <c r="AG27" s="198">
        <v>0</v>
      </c>
      <c r="AH27" s="198">
        <v>0</v>
      </c>
      <c r="AI27" s="198">
        <v>0</v>
      </c>
      <c r="AJ27" s="198">
        <v>0</v>
      </c>
      <c r="AK27" s="198">
        <v>0</v>
      </c>
      <c r="AL27" s="198">
        <v>0</v>
      </c>
      <c r="AM27" s="198">
        <v>0</v>
      </c>
      <c r="AN27" s="198">
        <v>0</v>
      </c>
      <c r="AO27" s="198">
        <v>0</v>
      </c>
      <c r="AP27" s="198">
        <v>0</v>
      </c>
      <c r="AQ27" s="198">
        <v>0</v>
      </c>
      <c r="AR27" s="198">
        <v>0</v>
      </c>
      <c r="AS27" s="198">
        <v>0</v>
      </c>
      <c r="AT27" s="198">
        <v>0</v>
      </c>
      <c r="AU27" s="198">
        <v>0</v>
      </c>
      <c r="AV27" s="198">
        <v>0</v>
      </c>
      <c r="AW27" s="198">
        <v>0</v>
      </c>
      <c r="AX27" s="198">
        <v>0</v>
      </c>
      <c r="AY27" s="198">
        <v>0</v>
      </c>
      <c r="AZ27" s="198">
        <v>0</v>
      </c>
      <c r="BA27" s="198">
        <v>0</v>
      </c>
      <c r="BB27" s="198">
        <v>0</v>
      </c>
      <c r="BC27" s="198">
        <v>0</v>
      </c>
      <c r="BD27" s="198">
        <v>0</v>
      </c>
      <c r="BE27" s="198">
        <v>0</v>
      </c>
      <c r="BF27" s="198">
        <v>0</v>
      </c>
      <c r="BG27" s="198">
        <v>0</v>
      </c>
      <c r="BH27" s="198">
        <v>0</v>
      </c>
      <c r="BI27" s="198">
        <v>0</v>
      </c>
      <c r="BJ27" s="198">
        <v>0</v>
      </c>
      <c r="BK27" s="198">
        <v>0</v>
      </c>
      <c r="BL27" s="198">
        <v>0</v>
      </c>
      <c r="BM27" s="198">
        <v>0</v>
      </c>
      <c r="BN27" s="198">
        <v>0</v>
      </c>
      <c r="BO27" s="198">
        <v>0</v>
      </c>
      <c r="BP27" s="198">
        <v>0</v>
      </c>
      <c r="BQ27" s="198">
        <v>0</v>
      </c>
      <c r="BR27" s="198">
        <v>0</v>
      </c>
      <c r="BS27" s="198">
        <v>0</v>
      </c>
      <c r="BT27" s="198">
        <v>0</v>
      </c>
      <c r="BU27" s="198">
        <v>0</v>
      </c>
      <c r="BV27" s="198">
        <v>0</v>
      </c>
      <c r="BW27" s="198">
        <v>0</v>
      </c>
      <c r="BX27" s="198">
        <v>79.3</v>
      </c>
      <c r="BY27" s="198">
        <v>202.2</v>
      </c>
      <c r="BZ27" s="198">
        <v>221.6</v>
      </c>
      <c r="CA27" s="198">
        <v>0</v>
      </c>
      <c r="CB27" s="198">
        <v>0</v>
      </c>
      <c r="CC27" s="198">
        <v>897.4</v>
      </c>
      <c r="CD27" s="198">
        <v>0</v>
      </c>
      <c r="CE27" s="198">
        <v>4196.2</v>
      </c>
      <c r="CF27" s="198">
        <v>6072.4</v>
      </c>
      <c r="CG27" s="198">
        <v>1629.2</v>
      </c>
      <c r="CH27" s="198">
        <v>1361.5</v>
      </c>
      <c r="CI27" s="198">
        <v>5000.8999999999996</v>
      </c>
      <c r="CJ27" s="198">
        <v>1574.6</v>
      </c>
      <c r="CK27" s="88"/>
    </row>
    <row r="28" spans="1:89" x14ac:dyDescent="0.3">
      <c r="A28" s="173"/>
      <c r="B28" s="197" t="s">
        <v>151</v>
      </c>
      <c r="C28" s="198">
        <v>500</v>
      </c>
      <c r="D28" s="200">
        <v>0</v>
      </c>
      <c r="E28" s="200">
        <v>0</v>
      </c>
      <c r="F28" s="200">
        <v>0</v>
      </c>
      <c r="G28" s="200">
        <v>0</v>
      </c>
      <c r="H28" s="200">
        <v>0</v>
      </c>
      <c r="I28" s="200">
        <v>3440.4</v>
      </c>
      <c r="J28" s="200">
        <v>1023.4</v>
      </c>
      <c r="K28" s="200">
        <v>0</v>
      </c>
      <c r="L28" s="198">
        <v>0</v>
      </c>
      <c r="M28" s="198">
        <v>0</v>
      </c>
      <c r="N28" s="198">
        <v>0</v>
      </c>
      <c r="O28" s="198">
        <v>0</v>
      </c>
      <c r="P28" s="198">
        <v>0</v>
      </c>
      <c r="Q28" s="198">
        <v>0</v>
      </c>
      <c r="R28" s="198">
        <v>0</v>
      </c>
      <c r="S28" s="198">
        <v>0</v>
      </c>
      <c r="T28" s="198">
        <v>0</v>
      </c>
      <c r="U28" s="198">
        <v>0</v>
      </c>
      <c r="V28" s="198">
        <v>0</v>
      </c>
      <c r="W28" s="198">
        <v>0</v>
      </c>
      <c r="X28" s="198">
        <v>0</v>
      </c>
      <c r="Y28" s="198">
        <v>0</v>
      </c>
      <c r="Z28" s="198">
        <v>0</v>
      </c>
      <c r="AA28" s="198">
        <v>0</v>
      </c>
      <c r="AB28" s="198">
        <v>0</v>
      </c>
      <c r="AC28" s="198">
        <v>0</v>
      </c>
      <c r="AD28" s="198">
        <v>0</v>
      </c>
      <c r="AE28" s="198">
        <v>0</v>
      </c>
      <c r="AF28" s="198">
        <v>0</v>
      </c>
      <c r="AG28" s="198">
        <v>0</v>
      </c>
      <c r="AH28" s="198">
        <v>0</v>
      </c>
      <c r="AI28" s="198">
        <v>0</v>
      </c>
      <c r="AJ28" s="198">
        <v>0</v>
      </c>
      <c r="AK28" s="198">
        <v>0</v>
      </c>
      <c r="AL28" s="198">
        <v>0</v>
      </c>
      <c r="AM28" s="198">
        <v>0</v>
      </c>
      <c r="AN28" s="198">
        <v>0</v>
      </c>
      <c r="AO28" s="198">
        <v>0</v>
      </c>
      <c r="AP28" s="198">
        <v>0</v>
      </c>
      <c r="AQ28" s="198">
        <v>0</v>
      </c>
      <c r="AR28" s="198">
        <v>0</v>
      </c>
      <c r="AS28" s="198">
        <v>0</v>
      </c>
      <c r="AT28" s="198">
        <v>0</v>
      </c>
      <c r="AU28" s="198">
        <v>0</v>
      </c>
      <c r="AV28" s="198">
        <v>0</v>
      </c>
      <c r="AW28" s="198">
        <v>0</v>
      </c>
      <c r="AX28" s="198">
        <v>0</v>
      </c>
      <c r="AY28" s="198">
        <v>0</v>
      </c>
      <c r="AZ28" s="198">
        <v>0</v>
      </c>
      <c r="BA28" s="198">
        <v>0</v>
      </c>
      <c r="BB28" s="198">
        <v>0</v>
      </c>
      <c r="BC28" s="198">
        <v>0</v>
      </c>
      <c r="BD28" s="198">
        <v>0</v>
      </c>
      <c r="BE28" s="198">
        <v>0</v>
      </c>
      <c r="BF28" s="198">
        <v>0</v>
      </c>
      <c r="BG28" s="198">
        <v>0</v>
      </c>
      <c r="BH28" s="198">
        <v>0</v>
      </c>
      <c r="BI28" s="198">
        <v>0</v>
      </c>
      <c r="BJ28" s="198">
        <v>0</v>
      </c>
      <c r="BK28" s="198">
        <v>0</v>
      </c>
      <c r="BL28" s="198">
        <v>0</v>
      </c>
      <c r="BM28" s="198">
        <v>0</v>
      </c>
      <c r="BN28" s="198">
        <v>0</v>
      </c>
      <c r="BO28" s="198">
        <v>0</v>
      </c>
      <c r="BP28" s="198">
        <v>0</v>
      </c>
      <c r="BQ28" s="198">
        <v>0</v>
      </c>
      <c r="BR28" s="198">
        <v>0</v>
      </c>
      <c r="BS28" s="198">
        <v>0</v>
      </c>
      <c r="BT28" s="198">
        <v>0</v>
      </c>
      <c r="BU28" s="198">
        <v>0</v>
      </c>
      <c r="BV28" s="198">
        <v>0</v>
      </c>
      <c r="BW28" s="198">
        <v>0</v>
      </c>
      <c r="BX28" s="198">
        <v>0</v>
      </c>
      <c r="BY28" s="198">
        <v>0</v>
      </c>
      <c r="BZ28" s="198">
        <v>0</v>
      </c>
      <c r="CA28" s="198">
        <v>0</v>
      </c>
      <c r="CB28" s="198">
        <v>0</v>
      </c>
      <c r="CC28" s="198">
        <v>0</v>
      </c>
      <c r="CD28" s="198">
        <v>0</v>
      </c>
      <c r="CE28" s="198">
        <v>0</v>
      </c>
      <c r="CF28" s="198">
        <v>0</v>
      </c>
      <c r="CG28" s="198">
        <v>0</v>
      </c>
      <c r="CH28" s="198">
        <v>0</v>
      </c>
      <c r="CI28" s="198">
        <v>0</v>
      </c>
      <c r="CJ28" s="198">
        <v>0</v>
      </c>
      <c r="CK28" s="88"/>
    </row>
    <row r="29" spans="1:89" x14ac:dyDescent="0.3">
      <c r="A29" s="173"/>
      <c r="B29" s="201" t="s">
        <v>342</v>
      </c>
      <c r="C29" s="198">
        <v>0</v>
      </c>
      <c r="D29" s="200">
        <v>0</v>
      </c>
      <c r="E29" s="200">
        <v>0</v>
      </c>
      <c r="F29" s="200">
        <v>0</v>
      </c>
      <c r="G29" s="200">
        <v>0</v>
      </c>
      <c r="H29" s="200">
        <v>0</v>
      </c>
      <c r="I29" s="200">
        <v>0</v>
      </c>
      <c r="J29" s="200">
        <v>0</v>
      </c>
      <c r="K29" s="200">
        <v>0</v>
      </c>
      <c r="L29" s="198">
        <v>0</v>
      </c>
      <c r="M29" s="198">
        <v>0</v>
      </c>
      <c r="N29" s="198">
        <v>0</v>
      </c>
      <c r="O29" s="198">
        <v>0</v>
      </c>
      <c r="P29" s="198">
        <v>0</v>
      </c>
      <c r="Q29" s="198">
        <v>0</v>
      </c>
      <c r="R29" s="198">
        <v>0</v>
      </c>
      <c r="S29" s="198">
        <v>0</v>
      </c>
      <c r="T29" s="198">
        <v>0</v>
      </c>
      <c r="U29" s="198">
        <v>0</v>
      </c>
      <c r="V29" s="198">
        <v>0</v>
      </c>
      <c r="W29" s="198">
        <v>0</v>
      </c>
      <c r="X29" s="198">
        <v>0</v>
      </c>
      <c r="Y29" s="198">
        <v>0</v>
      </c>
      <c r="Z29" s="198">
        <v>0</v>
      </c>
      <c r="AA29" s="198">
        <v>0</v>
      </c>
      <c r="AB29" s="198">
        <v>0</v>
      </c>
      <c r="AC29" s="198">
        <v>0</v>
      </c>
      <c r="AD29" s="198">
        <v>0</v>
      </c>
      <c r="AE29" s="198">
        <v>0</v>
      </c>
      <c r="AF29" s="198">
        <v>0</v>
      </c>
      <c r="AG29" s="198">
        <v>0</v>
      </c>
      <c r="AH29" s="198">
        <v>0</v>
      </c>
      <c r="AI29" s="198">
        <v>0</v>
      </c>
      <c r="AJ29" s="198">
        <v>0</v>
      </c>
      <c r="AK29" s="198">
        <v>0</v>
      </c>
      <c r="AL29" s="198">
        <v>0</v>
      </c>
      <c r="AM29" s="198">
        <v>0</v>
      </c>
      <c r="AN29" s="198">
        <v>0</v>
      </c>
      <c r="AO29" s="198">
        <v>0</v>
      </c>
      <c r="AP29" s="198">
        <v>0</v>
      </c>
      <c r="AQ29" s="198">
        <v>0</v>
      </c>
      <c r="AR29" s="198">
        <v>0</v>
      </c>
      <c r="AS29" s="198">
        <v>0</v>
      </c>
      <c r="AT29" s="198">
        <v>0</v>
      </c>
      <c r="AU29" s="198">
        <v>0</v>
      </c>
      <c r="AV29" s="198">
        <v>0</v>
      </c>
      <c r="AW29" s="198">
        <v>0</v>
      </c>
      <c r="AX29" s="198">
        <v>0</v>
      </c>
      <c r="AY29" s="198">
        <v>378.5</v>
      </c>
      <c r="AZ29" s="198">
        <v>0</v>
      </c>
      <c r="BA29" s="198">
        <v>0</v>
      </c>
      <c r="BB29" s="198">
        <v>87</v>
      </c>
      <c r="BC29" s="198">
        <v>155</v>
      </c>
      <c r="BD29" s="198">
        <v>0</v>
      </c>
      <c r="BE29" s="198">
        <v>0</v>
      </c>
      <c r="BF29" s="198">
        <v>0</v>
      </c>
      <c r="BG29" s="198">
        <v>0</v>
      </c>
      <c r="BH29" s="198">
        <v>0</v>
      </c>
      <c r="BI29" s="198">
        <v>0</v>
      </c>
      <c r="BJ29" s="198">
        <v>0</v>
      </c>
      <c r="BK29" s="198">
        <v>0</v>
      </c>
      <c r="BL29" s="198">
        <v>0</v>
      </c>
      <c r="BM29" s="198">
        <v>0</v>
      </c>
      <c r="BN29" s="198">
        <v>0</v>
      </c>
      <c r="BO29" s="198">
        <v>0</v>
      </c>
      <c r="BP29" s="198">
        <v>0</v>
      </c>
      <c r="BQ29" s="198">
        <v>0</v>
      </c>
      <c r="BR29" s="198">
        <v>0</v>
      </c>
      <c r="BS29" s="198">
        <v>0</v>
      </c>
      <c r="BT29" s="198">
        <v>0</v>
      </c>
      <c r="BU29" s="198">
        <v>0</v>
      </c>
      <c r="BV29" s="198">
        <v>0</v>
      </c>
      <c r="BW29" s="198">
        <v>0</v>
      </c>
      <c r="BX29" s="198">
        <v>0</v>
      </c>
      <c r="BY29" s="198">
        <v>0</v>
      </c>
      <c r="BZ29" s="198">
        <v>0</v>
      </c>
      <c r="CA29" s="198">
        <v>0</v>
      </c>
      <c r="CB29" s="198">
        <v>0</v>
      </c>
      <c r="CC29" s="198">
        <v>0</v>
      </c>
      <c r="CD29" s="198">
        <v>0</v>
      </c>
      <c r="CE29" s="198">
        <v>0</v>
      </c>
      <c r="CF29" s="198">
        <v>0</v>
      </c>
      <c r="CG29" s="198">
        <v>0</v>
      </c>
      <c r="CH29" s="198">
        <v>0</v>
      </c>
      <c r="CI29" s="198">
        <v>0</v>
      </c>
      <c r="CJ29" s="198">
        <v>0</v>
      </c>
      <c r="CK29" s="88"/>
    </row>
    <row r="30" spans="1:89" x14ac:dyDescent="0.3">
      <c r="A30" s="173"/>
      <c r="B30" s="197" t="s">
        <v>171</v>
      </c>
      <c r="C30" s="198">
        <v>0</v>
      </c>
      <c r="D30" s="198">
        <v>0</v>
      </c>
      <c r="E30" s="198">
        <v>0</v>
      </c>
      <c r="F30" s="198">
        <v>0</v>
      </c>
      <c r="G30" s="198">
        <v>0</v>
      </c>
      <c r="H30" s="198">
        <v>0</v>
      </c>
      <c r="I30" s="198">
        <v>0</v>
      </c>
      <c r="J30" s="198">
        <v>0</v>
      </c>
      <c r="K30" s="198">
        <v>0</v>
      </c>
      <c r="L30" s="198">
        <v>0</v>
      </c>
      <c r="M30" s="198">
        <v>39</v>
      </c>
      <c r="N30" s="198">
        <v>26</v>
      </c>
      <c r="O30" s="198">
        <v>0</v>
      </c>
      <c r="P30" s="198">
        <v>0</v>
      </c>
      <c r="Q30" s="198">
        <v>0</v>
      </c>
      <c r="R30" s="198">
        <v>0</v>
      </c>
      <c r="S30" s="198">
        <v>62.5</v>
      </c>
      <c r="T30" s="198">
        <v>0</v>
      </c>
      <c r="U30" s="198">
        <v>0</v>
      </c>
      <c r="V30" s="198">
        <v>3.5</v>
      </c>
      <c r="W30" s="198">
        <v>0</v>
      </c>
      <c r="X30" s="198">
        <v>58.7</v>
      </c>
      <c r="Y30" s="198">
        <v>0</v>
      </c>
      <c r="Z30" s="198">
        <v>0</v>
      </c>
      <c r="AA30" s="198">
        <v>6.2</v>
      </c>
      <c r="AB30" s="198">
        <v>0</v>
      </c>
      <c r="AC30" s="198">
        <v>111.3</v>
      </c>
      <c r="AD30" s="198">
        <v>56.4</v>
      </c>
      <c r="AE30" s="198">
        <v>0</v>
      </c>
      <c r="AF30" s="198">
        <v>0</v>
      </c>
      <c r="AG30" s="198">
        <v>123.1</v>
      </c>
      <c r="AH30" s="198">
        <v>0</v>
      </c>
      <c r="AI30" s="198">
        <v>0</v>
      </c>
      <c r="AJ30" s="198">
        <v>66.099999999999994</v>
      </c>
      <c r="AK30" s="198">
        <v>0</v>
      </c>
      <c r="AL30" s="198">
        <v>0</v>
      </c>
      <c r="AM30" s="198">
        <v>129.19999999999999</v>
      </c>
      <c r="AN30" s="198">
        <v>0</v>
      </c>
      <c r="AO30" s="198">
        <v>0</v>
      </c>
      <c r="AP30" s="198">
        <v>74.099999999999994</v>
      </c>
      <c r="AQ30" s="198">
        <v>0</v>
      </c>
      <c r="AR30" s="198">
        <v>0</v>
      </c>
      <c r="AS30" s="198">
        <v>507.4</v>
      </c>
      <c r="AT30" s="198">
        <v>0</v>
      </c>
      <c r="AU30" s="198">
        <v>119</v>
      </c>
      <c r="AV30" s="198">
        <v>0</v>
      </c>
      <c r="AW30" s="198">
        <v>0</v>
      </c>
      <c r="AX30" s="198">
        <v>453.7</v>
      </c>
      <c r="AY30" s="198">
        <v>0</v>
      </c>
      <c r="AZ30" s="198">
        <v>0</v>
      </c>
      <c r="BA30" s="198">
        <v>167.5</v>
      </c>
      <c r="BB30" s="198">
        <v>0</v>
      </c>
      <c r="BC30" s="198">
        <v>0</v>
      </c>
      <c r="BD30" s="198">
        <v>395.9</v>
      </c>
      <c r="BE30" s="198">
        <v>0</v>
      </c>
      <c r="BF30" s="198">
        <v>0</v>
      </c>
      <c r="BG30" s="198">
        <v>188.7</v>
      </c>
      <c r="BH30" s="198">
        <v>0</v>
      </c>
      <c r="BI30" s="198">
        <v>0</v>
      </c>
      <c r="BJ30" s="198">
        <v>382.6</v>
      </c>
      <c r="BK30" s="198">
        <v>0</v>
      </c>
      <c r="BL30" s="198">
        <v>0</v>
      </c>
      <c r="BM30" s="198">
        <v>0</v>
      </c>
      <c r="BN30" s="198">
        <v>0</v>
      </c>
      <c r="BO30" s="198">
        <v>0</v>
      </c>
      <c r="BP30" s="198">
        <v>0</v>
      </c>
      <c r="BQ30" s="198">
        <v>0</v>
      </c>
      <c r="BR30" s="198">
        <v>0</v>
      </c>
      <c r="BS30" s="198">
        <v>0</v>
      </c>
      <c r="BT30" s="198">
        <v>0</v>
      </c>
      <c r="BU30" s="198">
        <v>0</v>
      </c>
      <c r="BV30" s="198">
        <v>0</v>
      </c>
      <c r="BW30" s="198">
        <v>0</v>
      </c>
      <c r="BX30" s="198">
        <v>0</v>
      </c>
      <c r="BY30" s="198">
        <v>0</v>
      </c>
      <c r="BZ30" s="198">
        <v>0</v>
      </c>
      <c r="CA30" s="198">
        <v>0</v>
      </c>
      <c r="CB30" s="198">
        <v>0</v>
      </c>
      <c r="CC30" s="198">
        <v>0</v>
      </c>
      <c r="CD30" s="198">
        <v>0</v>
      </c>
      <c r="CE30" s="198">
        <v>0</v>
      </c>
      <c r="CF30" s="198">
        <v>0</v>
      </c>
      <c r="CG30" s="198">
        <v>0</v>
      </c>
      <c r="CH30" s="198">
        <v>0</v>
      </c>
      <c r="CI30" s="198">
        <v>0</v>
      </c>
      <c r="CJ30" s="198">
        <v>0</v>
      </c>
      <c r="CK30" s="88"/>
    </row>
    <row r="31" spans="1:89" x14ac:dyDescent="0.3">
      <c r="A31" s="173"/>
      <c r="B31" s="201" t="s">
        <v>222</v>
      </c>
      <c r="C31" s="198">
        <v>0</v>
      </c>
      <c r="D31" s="198">
        <v>0</v>
      </c>
      <c r="E31" s="198">
        <v>0</v>
      </c>
      <c r="F31" s="198">
        <v>0</v>
      </c>
      <c r="G31" s="198">
        <v>0</v>
      </c>
      <c r="H31" s="198">
        <v>0</v>
      </c>
      <c r="I31" s="198">
        <v>0</v>
      </c>
      <c r="J31" s="198">
        <v>0</v>
      </c>
      <c r="K31" s="198">
        <v>0</v>
      </c>
      <c r="L31" s="198">
        <v>0</v>
      </c>
      <c r="M31" s="198">
        <v>0</v>
      </c>
      <c r="N31" s="198">
        <v>0</v>
      </c>
      <c r="O31" s="198">
        <v>0</v>
      </c>
      <c r="P31" s="198">
        <v>0</v>
      </c>
      <c r="Q31" s="198">
        <v>0</v>
      </c>
      <c r="R31" s="198">
        <v>0</v>
      </c>
      <c r="S31" s="198">
        <v>0</v>
      </c>
      <c r="T31" s="198">
        <v>0</v>
      </c>
      <c r="U31" s="198">
        <v>0</v>
      </c>
      <c r="V31" s="198">
        <v>1.1000000000000001</v>
      </c>
      <c r="W31" s="198">
        <v>0</v>
      </c>
      <c r="X31" s="198">
        <v>18.100000000000001</v>
      </c>
      <c r="Y31" s="198">
        <v>0</v>
      </c>
      <c r="Z31" s="198">
        <v>0</v>
      </c>
      <c r="AA31" s="198">
        <v>1.9</v>
      </c>
      <c r="AB31" s="198">
        <v>0</v>
      </c>
      <c r="AC31" s="198">
        <v>0</v>
      </c>
      <c r="AD31" s="198">
        <v>16.3</v>
      </c>
      <c r="AE31" s="198">
        <v>0</v>
      </c>
      <c r="AF31" s="198">
        <v>0</v>
      </c>
      <c r="AG31" s="198">
        <v>3.1</v>
      </c>
      <c r="AH31" s="198">
        <v>0</v>
      </c>
      <c r="AI31" s="198">
        <v>0</v>
      </c>
      <c r="AJ31" s="198">
        <v>16.7</v>
      </c>
      <c r="AK31" s="198">
        <v>0</v>
      </c>
      <c r="AL31" s="198">
        <v>0</v>
      </c>
      <c r="AM31" s="198">
        <v>4.4000000000000004</v>
      </c>
      <c r="AN31" s="198">
        <v>0</v>
      </c>
      <c r="AO31" s="198">
        <v>0</v>
      </c>
      <c r="AP31" s="198">
        <v>16.399999999999999</v>
      </c>
      <c r="AQ31" s="198">
        <v>0</v>
      </c>
      <c r="AR31" s="198">
        <v>0</v>
      </c>
      <c r="AS31" s="198">
        <v>5.5</v>
      </c>
      <c r="AT31" s="198">
        <v>0</v>
      </c>
      <c r="AU31" s="198">
        <v>15.5</v>
      </c>
      <c r="AV31" s="198">
        <v>0</v>
      </c>
      <c r="AW31" s="198">
        <v>0</v>
      </c>
      <c r="AX31" s="198">
        <v>6.8</v>
      </c>
      <c r="AY31" s="198">
        <v>0</v>
      </c>
      <c r="AZ31" s="198">
        <v>0</v>
      </c>
      <c r="BA31" s="198">
        <v>0</v>
      </c>
      <c r="BB31" s="198">
        <v>0</v>
      </c>
      <c r="BC31" s="198">
        <v>0</v>
      </c>
      <c r="BD31" s="198">
        <v>0</v>
      </c>
      <c r="BE31" s="198">
        <v>0</v>
      </c>
      <c r="BF31" s="198">
        <v>0</v>
      </c>
      <c r="BG31" s="198">
        <v>0</v>
      </c>
      <c r="BH31" s="198">
        <v>0</v>
      </c>
      <c r="BI31" s="198">
        <v>0</v>
      </c>
      <c r="BJ31" s="198">
        <v>0</v>
      </c>
      <c r="BK31" s="198">
        <v>0</v>
      </c>
      <c r="BL31" s="198">
        <v>0</v>
      </c>
      <c r="BM31" s="198">
        <v>0</v>
      </c>
      <c r="BN31" s="198">
        <v>0</v>
      </c>
      <c r="BO31" s="198">
        <v>0</v>
      </c>
      <c r="BP31" s="198">
        <v>0</v>
      </c>
      <c r="BQ31" s="198">
        <v>0</v>
      </c>
      <c r="BR31" s="198">
        <v>0</v>
      </c>
      <c r="BS31" s="198">
        <v>0</v>
      </c>
      <c r="BT31" s="198">
        <v>0</v>
      </c>
      <c r="BU31" s="198">
        <v>0</v>
      </c>
      <c r="BV31" s="198">
        <v>0</v>
      </c>
      <c r="BW31" s="198">
        <v>0</v>
      </c>
      <c r="BX31" s="198">
        <v>0</v>
      </c>
      <c r="BY31" s="198">
        <v>0</v>
      </c>
      <c r="BZ31" s="198">
        <v>0</v>
      </c>
      <c r="CA31" s="198">
        <v>0</v>
      </c>
      <c r="CB31" s="198">
        <v>0</v>
      </c>
      <c r="CC31" s="198">
        <v>0</v>
      </c>
      <c r="CD31" s="198">
        <v>0</v>
      </c>
      <c r="CE31" s="198">
        <v>0</v>
      </c>
      <c r="CF31" s="198">
        <v>0</v>
      </c>
      <c r="CG31" s="198">
        <v>0</v>
      </c>
      <c r="CH31" s="198">
        <v>0</v>
      </c>
      <c r="CI31" s="198">
        <v>0</v>
      </c>
      <c r="CJ31" s="198">
        <v>0</v>
      </c>
      <c r="CK31" s="88"/>
    </row>
    <row r="32" spans="1:89" x14ac:dyDescent="0.3">
      <c r="A32" s="173"/>
      <c r="B32" s="197" t="s">
        <v>70</v>
      </c>
      <c r="C32" s="198">
        <v>264.5</v>
      </c>
      <c r="D32" s="200">
        <v>0</v>
      </c>
      <c r="E32" s="200">
        <v>0</v>
      </c>
      <c r="F32" s="200">
        <v>0</v>
      </c>
      <c r="G32" s="200">
        <v>0</v>
      </c>
      <c r="H32" s="200">
        <v>0</v>
      </c>
      <c r="I32" s="200">
        <v>0</v>
      </c>
      <c r="J32" s="200">
        <v>0</v>
      </c>
      <c r="K32" s="200">
        <v>0</v>
      </c>
      <c r="L32" s="198">
        <v>0</v>
      </c>
      <c r="M32" s="198">
        <v>0</v>
      </c>
      <c r="N32" s="198">
        <v>0</v>
      </c>
      <c r="O32" s="198">
        <v>0</v>
      </c>
      <c r="P32" s="198">
        <v>0</v>
      </c>
      <c r="Q32" s="198">
        <v>0</v>
      </c>
      <c r="R32" s="198">
        <v>0</v>
      </c>
      <c r="S32" s="198">
        <v>0</v>
      </c>
      <c r="T32" s="198">
        <v>0</v>
      </c>
      <c r="U32" s="198">
        <v>0</v>
      </c>
      <c r="V32" s="198">
        <v>0</v>
      </c>
      <c r="W32" s="198">
        <v>0</v>
      </c>
      <c r="X32" s="198">
        <v>0</v>
      </c>
      <c r="Y32" s="198">
        <v>0</v>
      </c>
      <c r="Z32" s="198">
        <v>0</v>
      </c>
      <c r="AA32" s="198">
        <v>0</v>
      </c>
      <c r="AB32" s="198">
        <v>0</v>
      </c>
      <c r="AC32" s="198">
        <v>0</v>
      </c>
      <c r="AD32" s="198">
        <v>0</v>
      </c>
      <c r="AE32" s="198">
        <v>0</v>
      </c>
      <c r="AF32" s="198">
        <v>0</v>
      </c>
      <c r="AG32" s="198">
        <v>0</v>
      </c>
      <c r="AH32" s="198">
        <v>0</v>
      </c>
      <c r="AI32" s="198">
        <v>0</v>
      </c>
      <c r="AJ32" s="198">
        <v>0</v>
      </c>
      <c r="AK32" s="198">
        <v>0</v>
      </c>
      <c r="AL32" s="198">
        <v>0</v>
      </c>
      <c r="AM32" s="198">
        <v>0</v>
      </c>
      <c r="AN32" s="198">
        <v>0</v>
      </c>
      <c r="AO32" s="198">
        <v>0</v>
      </c>
      <c r="AP32" s="198">
        <v>0</v>
      </c>
      <c r="AQ32" s="198">
        <v>0</v>
      </c>
      <c r="AR32" s="198">
        <v>0</v>
      </c>
      <c r="AS32" s="198">
        <v>0</v>
      </c>
      <c r="AT32" s="198">
        <v>0</v>
      </c>
      <c r="AU32" s="198">
        <v>0</v>
      </c>
      <c r="AV32" s="198">
        <v>0</v>
      </c>
      <c r="AW32" s="198">
        <v>0</v>
      </c>
      <c r="AX32" s="198">
        <v>0</v>
      </c>
      <c r="AY32" s="198">
        <v>0</v>
      </c>
      <c r="AZ32" s="198">
        <v>0</v>
      </c>
      <c r="BA32" s="198">
        <v>0</v>
      </c>
      <c r="BB32" s="198">
        <v>0</v>
      </c>
      <c r="BC32" s="198">
        <v>0</v>
      </c>
      <c r="BD32" s="198">
        <v>0</v>
      </c>
      <c r="BE32" s="198">
        <v>0</v>
      </c>
      <c r="BF32" s="198">
        <v>0</v>
      </c>
      <c r="BG32" s="198">
        <v>0</v>
      </c>
      <c r="BH32" s="198">
        <v>0</v>
      </c>
      <c r="BI32" s="198">
        <v>0</v>
      </c>
      <c r="BJ32" s="198">
        <v>0</v>
      </c>
      <c r="BK32" s="198">
        <v>0</v>
      </c>
      <c r="BL32" s="198">
        <v>0</v>
      </c>
      <c r="BM32" s="198">
        <v>0</v>
      </c>
      <c r="BN32" s="198">
        <v>0</v>
      </c>
      <c r="BO32" s="198">
        <v>0</v>
      </c>
      <c r="BP32" s="198">
        <v>0</v>
      </c>
      <c r="BQ32" s="198">
        <v>0</v>
      </c>
      <c r="BR32" s="198">
        <v>0</v>
      </c>
      <c r="BS32" s="198">
        <v>0</v>
      </c>
      <c r="BT32" s="198">
        <v>0</v>
      </c>
      <c r="BU32" s="198">
        <v>0</v>
      </c>
      <c r="BV32" s="198">
        <v>0</v>
      </c>
      <c r="BW32" s="198">
        <v>0</v>
      </c>
      <c r="BX32" s="198">
        <v>0</v>
      </c>
      <c r="BY32" s="198">
        <v>0</v>
      </c>
      <c r="BZ32" s="198">
        <v>0</v>
      </c>
      <c r="CA32" s="198">
        <v>0</v>
      </c>
      <c r="CB32" s="198">
        <v>0</v>
      </c>
      <c r="CC32" s="198">
        <v>0</v>
      </c>
      <c r="CD32" s="198">
        <v>0</v>
      </c>
      <c r="CE32" s="198">
        <v>0</v>
      </c>
      <c r="CF32" s="198">
        <v>0</v>
      </c>
      <c r="CG32" s="198">
        <v>0</v>
      </c>
      <c r="CH32" s="198">
        <v>0</v>
      </c>
      <c r="CI32" s="198">
        <v>0</v>
      </c>
      <c r="CJ32" s="198">
        <v>0</v>
      </c>
      <c r="CK32" s="88"/>
    </row>
    <row r="33" spans="1:89" x14ac:dyDescent="0.3">
      <c r="A33" s="173"/>
      <c r="B33" s="197" t="s">
        <v>172</v>
      </c>
      <c r="C33" s="198">
        <v>0</v>
      </c>
      <c r="D33" s="198">
        <v>0</v>
      </c>
      <c r="E33" s="198">
        <v>0</v>
      </c>
      <c r="F33" s="198">
        <v>0</v>
      </c>
      <c r="G33" s="198">
        <v>0</v>
      </c>
      <c r="H33" s="198">
        <v>0</v>
      </c>
      <c r="I33" s="198">
        <v>0</v>
      </c>
      <c r="J33" s="198">
        <v>0</v>
      </c>
      <c r="K33" s="198">
        <v>0</v>
      </c>
      <c r="L33" s="198">
        <v>0</v>
      </c>
      <c r="M33" s="198">
        <v>2</v>
      </c>
      <c r="N33" s="198">
        <v>0</v>
      </c>
      <c r="O33" s="198">
        <v>0</v>
      </c>
      <c r="P33" s="198">
        <v>0</v>
      </c>
      <c r="Q33" s="198">
        <v>0</v>
      </c>
      <c r="R33" s="198">
        <v>0</v>
      </c>
      <c r="S33" s="198">
        <v>1.4</v>
      </c>
      <c r="T33" s="198">
        <v>0</v>
      </c>
      <c r="U33" s="198">
        <v>0</v>
      </c>
      <c r="V33" s="198">
        <v>0.1</v>
      </c>
      <c r="W33" s="198">
        <v>0</v>
      </c>
      <c r="X33" s="198">
        <v>1.3</v>
      </c>
      <c r="Y33" s="198">
        <v>0</v>
      </c>
      <c r="Z33" s="198">
        <v>0</v>
      </c>
      <c r="AA33" s="198">
        <v>0.1</v>
      </c>
      <c r="AB33" s="198">
        <v>0</v>
      </c>
      <c r="AC33" s="198">
        <v>0</v>
      </c>
      <c r="AD33" s="198">
        <v>1.2</v>
      </c>
      <c r="AE33" s="198">
        <v>0</v>
      </c>
      <c r="AF33" s="198">
        <v>0</v>
      </c>
      <c r="AG33" s="198">
        <v>0.2</v>
      </c>
      <c r="AH33" s="198">
        <v>0</v>
      </c>
      <c r="AI33" s="198">
        <v>0</v>
      </c>
      <c r="AJ33" s="198">
        <v>1.2</v>
      </c>
      <c r="AK33" s="198">
        <v>0</v>
      </c>
      <c r="AL33" s="198">
        <v>0</v>
      </c>
      <c r="AM33" s="198">
        <v>0.3</v>
      </c>
      <c r="AN33" s="198">
        <v>0</v>
      </c>
      <c r="AO33" s="198">
        <v>0</v>
      </c>
      <c r="AP33" s="198">
        <v>1.2</v>
      </c>
      <c r="AQ33" s="198">
        <v>0</v>
      </c>
      <c r="AR33" s="198">
        <v>0</v>
      </c>
      <c r="AS33" s="198">
        <v>0.4</v>
      </c>
      <c r="AT33" s="198">
        <v>0</v>
      </c>
      <c r="AU33" s="198">
        <v>1.1000000000000001</v>
      </c>
      <c r="AV33" s="198">
        <v>0</v>
      </c>
      <c r="AW33" s="198">
        <v>0</v>
      </c>
      <c r="AX33" s="198">
        <v>0.5</v>
      </c>
      <c r="AY33" s="198">
        <v>0</v>
      </c>
      <c r="AZ33" s="198">
        <v>0</v>
      </c>
      <c r="BA33" s="198">
        <v>1</v>
      </c>
      <c r="BB33" s="198">
        <v>0</v>
      </c>
      <c r="BC33" s="198">
        <v>0</v>
      </c>
      <c r="BD33" s="198">
        <v>0.6</v>
      </c>
      <c r="BE33" s="198">
        <v>0</v>
      </c>
      <c r="BF33" s="198">
        <v>0</v>
      </c>
      <c r="BG33" s="198">
        <v>0.8</v>
      </c>
      <c r="BH33" s="198">
        <v>0</v>
      </c>
      <c r="BI33" s="198">
        <v>0</v>
      </c>
      <c r="BJ33" s="198">
        <v>0.7</v>
      </c>
      <c r="BK33" s="198">
        <v>0</v>
      </c>
      <c r="BL33" s="198">
        <v>0</v>
      </c>
      <c r="BM33" s="198">
        <v>0</v>
      </c>
      <c r="BN33" s="198">
        <v>0</v>
      </c>
      <c r="BO33" s="198">
        <v>0</v>
      </c>
      <c r="BP33" s="198">
        <v>0</v>
      </c>
      <c r="BQ33" s="198">
        <v>0</v>
      </c>
      <c r="BR33" s="198">
        <v>0</v>
      </c>
      <c r="BS33" s="198">
        <v>0</v>
      </c>
      <c r="BT33" s="198">
        <v>0</v>
      </c>
      <c r="BU33" s="198">
        <v>0</v>
      </c>
      <c r="BV33" s="198">
        <v>0</v>
      </c>
      <c r="BW33" s="198">
        <v>0</v>
      </c>
      <c r="BX33" s="198">
        <v>0</v>
      </c>
      <c r="BY33" s="198">
        <v>0</v>
      </c>
      <c r="BZ33" s="198">
        <v>0</v>
      </c>
      <c r="CA33" s="198">
        <v>0</v>
      </c>
      <c r="CB33" s="198">
        <v>0</v>
      </c>
      <c r="CC33" s="198">
        <v>0</v>
      </c>
      <c r="CD33" s="198">
        <v>0</v>
      </c>
      <c r="CE33" s="198">
        <v>0</v>
      </c>
      <c r="CF33" s="198">
        <v>0</v>
      </c>
      <c r="CG33" s="198">
        <v>0</v>
      </c>
      <c r="CH33" s="198">
        <v>0</v>
      </c>
      <c r="CI33" s="198">
        <v>0</v>
      </c>
      <c r="CJ33" s="198">
        <v>0</v>
      </c>
      <c r="CK33" s="88"/>
    </row>
    <row r="34" spans="1:89" x14ac:dyDescent="0.3">
      <c r="A34" s="173"/>
      <c r="B34" s="197" t="s">
        <v>87</v>
      </c>
      <c r="C34" s="198">
        <v>0</v>
      </c>
      <c r="D34" s="198">
        <v>0</v>
      </c>
      <c r="E34" s="198">
        <v>0</v>
      </c>
      <c r="F34" s="198">
        <v>0</v>
      </c>
      <c r="G34" s="198">
        <v>0</v>
      </c>
      <c r="H34" s="198">
        <v>0</v>
      </c>
      <c r="I34" s="198">
        <v>0</v>
      </c>
      <c r="J34" s="198">
        <v>0</v>
      </c>
      <c r="K34" s="198">
        <v>0</v>
      </c>
      <c r="L34" s="198">
        <v>0</v>
      </c>
      <c r="M34" s="198">
        <v>0</v>
      </c>
      <c r="N34" s="198">
        <v>0</v>
      </c>
      <c r="O34" s="198">
        <v>0</v>
      </c>
      <c r="P34" s="198">
        <v>0</v>
      </c>
      <c r="Q34" s="198">
        <v>0</v>
      </c>
      <c r="R34" s="198">
        <v>0</v>
      </c>
      <c r="S34" s="198">
        <v>0</v>
      </c>
      <c r="T34" s="198">
        <v>0</v>
      </c>
      <c r="U34" s="198">
        <v>0</v>
      </c>
      <c r="V34" s="198">
        <v>0</v>
      </c>
      <c r="W34" s="198">
        <v>168.3</v>
      </c>
      <c r="X34" s="198">
        <v>0</v>
      </c>
      <c r="Y34" s="198">
        <v>0</v>
      </c>
      <c r="Z34" s="198">
        <v>0</v>
      </c>
      <c r="AA34" s="198">
        <v>0</v>
      </c>
      <c r="AB34" s="198">
        <v>0</v>
      </c>
      <c r="AC34" s="198">
        <v>0</v>
      </c>
      <c r="AD34" s="198">
        <v>0</v>
      </c>
      <c r="AE34" s="198">
        <v>0</v>
      </c>
      <c r="AF34" s="198">
        <v>0</v>
      </c>
      <c r="AG34" s="198">
        <v>0</v>
      </c>
      <c r="AH34" s="198">
        <v>0</v>
      </c>
      <c r="AI34" s="198">
        <v>0</v>
      </c>
      <c r="AJ34" s="198">
        <v>0</v>
      </c>
      <c r="AK34" s="198">
        <v>0</v>
      </c>
      <c r="AL34" s="198">
        <v>0</v>
      </c>
      <c r="AM34" s="198">
        <v>0</v>
      </c>
      <c r="AN34" s="198">
        <v>0</v>
      </c>
      <c r="AO34" s="198">
        <v>0</v>
      </c>
      <c r="AP34" s="198">
        <v>0</v>
      </c>
      <c r="AQ34" s="198">
        <v>0</v>
      </c>
      <c r="AR34" s="198">
        <v>0</v>
      </c>
      <c r="AS34" s="198">
        <v>0</v>
      </c>
      <c r="AT34" s="198">
        <v>0</v>
      </c>
      <c r="AU34" s="198">
        <v>92.8</v>
      </c>
      <c r="AV34" s="198">
        <v>0</v>
      </c>
      <c r="AW34" s="198">
        <v>0</v>
      </c>
      <c r="AX34" s="198">
        <v>0</v>
      </c>
      <c r="AY34" s="198">
        <v>0</v>
      </c>
      <c r="AZ34" s="198">
        <v>0</v>
      </c>
      <c r="BA34" s="198">
        <v>0</v>
      </c>
      <c r="BB34" s="198">
        <v>0</v>
      </c>
      <c r="BC34" s="198">
        <v>0</v>
      </c>
      <c r="BD34" s="198">
        <v>0</v>
      </c>
      <c r="BE34" s="198">
        <v>0</v>
      </c>
      <c r="BF34" s="198">
        <v>0</v>
      </c>
      <c r="BG34" s="198">
        <v>0</v>
      </c>
      <c r="BH34" s="198">
        <v>0</v>
      </c>
      <c r="BI34" s="198">
        <v>0</v>
      </c>
      <c r="BJ34" s="198">
        <v>0</v>
      </c>
      <c r="BK34" s="198">
        <v>0</v>
      </c>
      <c r="BL34" s="198">
        <v>0</v>
      </c>
      <c r="BM34" s="198">
        <v>0</v>
      </c>
      <c r="BN34" s="198">
        <v>0</v>
      </c>
      <c r="BO34" s="198">
        <v>0</v>
      </c>
      <c r="BP34" s="198">
        <v>0</v>
      </c>
      <c r="BQ34" s="198">
        <v>0</v>
      </c>
      <c r="BR34" s="198">
        <v>0</v>
      </c>
      <c r="BS34" s="198">
        <v>0</v>
      </c>
      <c r="BT34" s="198">
        <v>0</v>
      </c>
      <c r="BU34" s="198">
        <v>0</v>
      </c>
      <c r="BV34" s="198">
        <v>0</v>
      </c>
      <c r="BW34" s="198">
        <v>0</v>
      </c>
      <c r="BX34" s="198">
        <v>0</v>
      </c>
      <c r="BY34" s="198">
        <v>0</v>
      </c>
      <c r="BZ34" s="198">
        <v>0</v>
      </c>
      <c r="CA34" s="198">
        <v>0</v>
      </c>
      <c r="CB34" s="198">
        <v>0</v>
      </c>
      <c r="CC34" s="198">
        <v>0</v>
      </c>
      <c r="CD34" s="198">
        <v>0</v>
      </c>
      <c r="CE34" s="198">
        <v>0</v>
      </c>
      <c r="CF34" s="198">
        <v>0</v>
      </c>
      <c r="CG34" s="198">
        <v>0</v>
      </c>
      <c r="CH34" s="198">
        <v>0</v>
      </c>
      <c r="CI34" s="198">
        <v>0</v>
      </c>
      <c r="CJ34" s="198">
        <v>0</v>
      </c>
      <c r="CK34" s="88"/>
    </row>
    <row r="35" spans="1:89" x14ac:dyDescent="0.3">
      <c r="A35" s="173"/>
      <c r="B35" s="197" t="s">
        <v>173</v>
      </c>
      <c r="C35" s="198">
        <v>0</v>
      </c>
      <c r="D35" s="198">
        <v>0</v>
      </c>
      <c r="E35" s="198">
        <v>0</v>
      </c>
      <c r="F35" s="198">
        <v>0</v>
      </c>
      <c r="G35" s="198">
        <v>0</v>
      </c>
      <c r="H35" s="198">
        <v>0</v>
      </c>
      <c r="I35" s="198">
        <v>0</v>
      </c>
      <c r="J35" s="198">
        <v>0</v>
      </c>
      <c r="K35" s="198">
        <v>0</v>
      </c>
      <c r="L35" s="198">
        <v>0</v>
      </c>
      <c r="M35" s="198">
        <v>8</v>
      </c>
      <c r="N35" s="198">
        <v>0</v>
      </c>
      <c r="O35" s="198">
        <v>0</v>
      </c>
      <c r="P35" s="198">
        <v>0</v>
      </c>
      <c r="Q35" s="198">
        <v>0</v>
      </c>
      <c r="R35" s="198">
        <v>7.6</v>
      </c>
      <c r="S35" s="198">
        <v>0</v>
      </c>
      <c r="T35" s="198">
        <v>0</v>
      </c>
      <c r="U35" s="198">
        <v>1.1000000000000001</v>
      </c>
      <c r="V35" s="198">
        <v>0</v>
      </c>
      <c r="W35" s="198">
        <v>0</v>
      </c>
      <c r="X35" s="198">
        <v>6.4</v>
      </c>
      <c r="Y35" s="198">
        <v>0</v>
      </c>
      <c r="Z35" s="198">
        <v>0</v>
      </c>
      <c r="AA35" s="198">
        <v>0</v>
      </c>
      <c r="AB35" s="198">
        <v>0</v>
      </c>
      <c r="AC35" s="198">
        <v>0</v>
      </c>
      <c r="AD35" s="198">
        <v>0</v>
      </c>
      <c r="AE35" s="198">
        <v>0</v>
      </c>
      <c r="AF35" s="198">
        <v>0</v>
      </c>
      <c r="AG35" s="198">
        <v>0</v>
      </c>
      <c r="AH35" s="198">
        <v>0</v>
      </c>
      <c r="AI35" s="198">
        <v>0</v>
      </c>
      <c r="AJ35" s="198">
        <v>0</v>
      </c>
      <c r="AK35" s="198">
        <v>0</v>
      </c>
      <c r="AL35" s="198">
        <v>0</v>
      </c>
      <c r="AM35" s="198">
        <v>0</v>
      </c>
      <c r="AN35" s="198">
        <v>0</v>
      </c>
      <c r="AO35" s="198">
        <v>0</v>
      </c>
      <c r="AP35" s="198">
        <v>0</v>
      </c>
      <c r="AQ35" s="198">
        <v>0</v>
      </c>
      <c r="AR35" s="198">
        <v>0</v>
      </c>
      <c r="AS35" s="198">
        <v>0</v>
      </c>
      <c r="AT35" s="198">
        <v>0</v>
      </c>
      <c r="AU35" s="198">
        <v>0</v>
      </c>
      <c r="AV35" s="198">
        <v>0</v>
      </c>
      <c r="AW35" s="198">
        <v>0</v>
      </c>
      <c r="AX35" s="198">
        <v>0</v>
      </c>
      <c r="AY35" s="198">
        <v>0</v>
      </c>
      <c r="AZ35" s="198">
        <v>0</v>
      </c>
      <c r="BA35" s="198">
        <v>0</v>
      </c>
      <c r="BB35" s="198">
        <v>0</v>
      </c>
      <c r="BC35" s="198">
        <v>0</v>
      </c>
      <c r="BD35" s="198">
        <v>0</v>
      </c>
      <c r="BE35" s="198">
        <v>0</v>
      </c>
      <c r="BF35" s="198">
        <v>0</v>
      </c>
      <c r="BG35" s="198">
        <v>0</v>
      </c>
      <c r="BH35" s="198">
        <v>0</v>
      </c>
      <c r="BI35" s="198">
        <v>0</v>
      </c>
      <c r="BJ35" s="198">
        <v>0</v>
      </c>
      <c r="BK35" s="198">
        <v>0</v>
      </c>
      <c r="BL35" s="198">
        <v>0</v>
      </c>
      <c r="BM35" s="198">
        <v>0</v>
      </c>
      <c r="BN35" s="198">
        <v>0</v>
      </c>
      <c r="BO35" s="198">
        <v>0</v>
      </c>
      <c r="BP35" s="198">
        <v>0</v>
      </c>
      <c r="BQ35" s="198">
        <v>0</v>
      </c>
      <c r="BR35" s="198">
        <v>0</v>
      </c>
      <c r="BS35" s="198">
        <v>0</v>
      </c>
      <c r="BT35" s="198">
        <v>0</v>
      </c>
      <c r="BU35" s="198">
        <v>0</v>
      </c>
      <c r="BV35" s="198">
        <v>0</v>
      </c>
      <c r="BW35" s="198">
        <v>0</v>
      </c>
      <c r="BX35" s="198">
        <v>0</v>
      </c>
      <c r="BY35" s="198">
        <v>0</v>
      </c>
      <c r="BZ35" s="198">
        <v>0</v>
      </c>
      <c r="CA35" s="198">
        <v>0</v>
      </c>
      <c r="CB35" s="198">
        <v>0</v>
      </c>
      <c r="CC35" s="198">
        <v>0</v>
      </c>
      <c r="CD35" s="198">
        <v>0</v>
      </c>
      <c r="CE35" s="198">
        <v>0</v>
      </c>
      <c r="CF35" s="198">
        <v>0</v>
      </c>
      <c r="CG35" s="198">
        <v>0</v>
      </c>
      <c r="CH35" s="198">
        <v>0</v>
      </c>
      <c r="CI35" s="198">
        <v>0</v>
      </c>
      <c r="CJ35" s="198">
        <v>0</v>
      </c>
      <c r="CK35" s="88"/>
    </row>
    <row r="36" spans="1:89" x14ac:dyDescent="0.3">
      <c r="A36" s="173"/>
      <c r="B36" s="197" t="s">
        <v>332</v>
      </c>
      <c r="C36" s="198">
        <v>0</v>
      </c>
      <c r="D36" s="198">
        <v>0</v>
      </c>
      <c r="E36" s="198">
        <v>0</v>
      </c>
      <c r="F36" s="198">
        <v>0</v>
      </c>
      <c r="G36" s="198">
        <v>0</v>
      </c>
      <c r="H36" s="198">
        <v>0</v>
      </c>
      <c r="I36" s="198">
        <v>0</v>
      </c>
      <c r="J36" s="198">
        <v>0</v>
      </c>
      <c r="K36" s="198">
        <v>0</v>
      </c>
      <c r="L36" s="198">
        <v>0</v>
      </c>
      <c r="M36" s="198">
        <v>0</v>
      </c>
      <c r="N36" s="198">
        <v>0</v>
      </c>
      <c r="O36" s="198">
        <v>0</v>
      </c>
      <c r="P36" s="198">
        <v>0</v>
      </c>
      <c r="Q36" s="198">
        <v>0</v>
      </c>
      <c r="R36" s="198">
        <v>0</v>
      </c>
      <c r="S36" s="198">
        <v>0</v>
      </c>
      <c r="T36" s="198">
        <v>0</v>
      </c>
      <c r="U36" s="198">
        <v>0</v>
      </c>
      <c r="V36" s="198">
        <v>0</v>
      </c>
      <c r="W36" s="198">
        <v>0</v>
      </c>
      <c r="X36" s="198">
        <v>0</v>
      </c>
      <c r="Y36" s="198">
        <v>0</v>
      </c>
      <c r="Z36" s="198">
        <v>0</v>
      </c>
      <c r="AA36" s="198">
        <v>0</v>
      </c>
      <c r="AB36" s="198">
        <v>0</v>
      </c>
      <c r="AC36" s="198">
        <v>0</v>
      </c>
      <c r="AD36" s="198">
        <v>0</v>
      </c>
      <c r="AE36" s="198">
        <v>0</v>
      </c>
      <c r="AF36" s="198">
        <v>0</v>
      </c>
      <c r="AG36" s="198">
        <v>0</v>
      </c>
      <c r="AH36" s="198">
        <v>0</v>
      </c>
      <c r="AI36" s="198">
        <v>0</v>
      </c>
      <c r="AJ36" s="198">
        <v>0</v>
      </c>
      <c r="AK36" s="198">
        <v>0</v>
      </c>
      <c r="AL36" s="198">
        <v>0</v>
      </c>
      <c r="AM36" s="198">
        <v>0</v>
      </c>
      <c r="AN36" s="198">
        <v>0</v>
      </c>
      <c r="AO36" s="198">
        <v>0</v>
      </c>
      <c r="AP36" s="198">
        <v>0</v>
      </c>
      <c r="AQ36" s="198">
        <v>0</v>
      </c>
      <c r="AR36" s="198">
        <v>0</v>
      </c>
      <c r="AS36" s="198">
        <v>0</v>
      </c>
      <c r="AT36" s="198">
        <v>0</v>
      </c>
      <c r="AU36" s="198">
        <v>2.4</v>
      </c>
      <c r="AV36" s="198">
        <v>0</v>
      </c>
      <c r="AW36" s="198">
        <v>0</v>
      </c>
      <c r="AX36" s="198">
        <v>2.2999999999999998</v>
      </c>
      <c r="AY36" s="198">
        <v>0</v>
      </c>
      <c r="AZ36" s="198">
        <v>0</v>
      </c>
      <c r="BA36" s="198">
        <v>0.3</v>
      </c>
      <c r="BB36" s="198">
        <v>0</v>
      </c>
      <c r="BC36" s="198">
        <v>0</v>
      </c>
      <c r="BD36" s="198">
        <v>1.9</v>
      </c>
      <c r="BE36" s="198">
        <v>0</v>
      </c>
      <c r="BF36" s="198">
        <v>0</v>
      </c>
      <c r="BG36" s="198">
        <v>0.6</v>
      </c>
      <c r="BH36" s="198">
        <v>0</v>
      </c>
      <c r="BI36" s="198">
        <v>0</v>
      </c>
      <c r="BJ36" s="198">
        <v>1.8</v>
      </c>
      <c r="BK36" s="198">
        <v>0</v>
      </c>
      <c r="BL36" s="198">
        <v>0</v>
      </c>
      <c r="BM36" s="198">
        <v>0</v>
      </c>
      <c r="BN36" s="198">
        <v>0</v>
      </c>
      <c r="BO36" s="198">
        <v>0</v>
      </c>
      <c r="BP36" s="198">
        <v>0</v>
      </c>
      <c r="BQ36" s="198">
        <v>0</v>
      </c>
      <c r="BR36" s="198">
        <v>0</v>
      </c>
      <c r="BS36" s="198">
        <v>0</v>
      </c>
      <c r="BT36" s="198">
        <v>0</v>
      </c>
      <c r="BU36" s="198">
        <v>0</v>
      </c>
      <c r="BV36" s="198">
        <v>0</v>
      </c>
      <c r="BW36" s="198">
        <v>0</v>
      </c>
      <c r="BX36" s="198">
        <v>0</v>
      </c>
      <c r="BY36" s="198">
        <v>0</v>
      </c>
      <c r="BZ36" s="198">
        <v>0</v>
      </c>
      <c r="CA36" s="198">
        <v>0</v>
      </c>
      <c r="CB36" s="198">
        <v>0</v>
      </c>
      <c r="CC36" s="198">
        <v>0</v>
      </c>
      <c r="CD36" s="198">
        <v>0</v>
      </c>
      <c r="CE36" s="198">
        <v>0</v>
      </c>
      <c r="CF36" s="198">
        <v>0</v>
      </c>
      <c r="CG36" s="198">
        <v>0</v>
      </c>
      <c r="CH36" s="198">
        <v>0</v>
      </c>
      <c r="CI36" s="198">
        <v>0</v>
      </c>
      <c r="CJ36" s="198">
        <v>0</v>
      </c>
      <c r="CK36" s="88"/>
    </row>
    <row r="37" spans="1:89" x14ac:dyDescent="0.3">
      <c r="A37" s="173"/>
      <c r="B37" s="197" t="s">
        <v>174</v>
      </c>
      <c r="C37" s="198">
        <v>0</v>
      </c>
      <c r="D37" s="198">
        <v>0</v>
      </c>
      <c r="E37" s="198">
        <v>0</v>
      </c>
      <c r="F37" s="198">
        <v>0</v>
      </c>
      <c r="G37" s="198">
        <v>0</v>
      </c>
      <c r="H37" s="198">
        <v>0</v>
      </c>
      <c r="I37" s="198">
        <v>0</v>
      </c>
      <c r="J37" s="198">
        <v>0</v>
      </c>
      <c r="K37" s="198">
        <v>0</v>
      </c>
      <c r="L37" s="198">
        <v>51</v>
      </c>
      <c r="M37" s="198">
        <v>77</v>
      </c>
      <c r="N37" s="198">
        <v>0</v>
      </c>
      <c r="O37" s="198">
        <v>0</v>
      </c>
      <c r="P37" s="198">
        <v>0</v>
      </c>
      <c r="Q37" s="198">
        <v>0</v>
      </c>
      <c r="R37" s="198">
        <v>49.4</v>
      </c>
      <c r="S37" s="198">
        <v>0</v>
      </c>
      <c r="T37" s="198">
        <v>0</v>
      </c>
      <c r="U37" s="198">
        <v>7.6</v>
      </c>
      <c r="V37" s="198">
        <v>0</v>
      </c>
      <c r="W37" s="198">
        <v>0</v>
      </c>
      <c r="X37" s="198">
        <v>45.1</v>
      </c>
      <c r="Y37" s="198">
        <v>0</v>
      </c>
      <c r="Z37" s="198">
        <v>0</v>
      </c>
      <c r="AA37" s="198">
        <v>9.9</v>
      </c>
      <c r="AB37" s="198">
        <v>0</v>
      </c>
      <c r="AC37" s="198">
        <v>0</v>
      </c>
      <c r="AD37" s="198">
        <v>41</v>
      </c>
      <c r="AE37" s="198">
        <v>0</v>
      </c>
      <c r="AF37" s="198">
        <v>0</v>
      </c>
      <c r="AG37" s="198">
        <v>12.6</v>
      </c>
      <c r="AH37" s="198">
        <v>0</v>
      </c>
      <c r="AI37" s="198">
        <v>0</v>
      </c>
      <c r="AJ37" s="198">
        <v>42.1</v>
      </c>
      <c r="AK37" s="198">
        <v>0</v>
      </c>
      <c r="AL37" s="198">
        <v>0</v>
      </c>
      <c r="AM37" s="198">
        <v>15.9</v>
      </c>
      <c r="AN37" s="198">
        <v>0</v>
      </c>
      <c r="AO37" s="198">
        <v>0</v>
      </c>
      <c r="AP37" s="198">
        <v>42</v>
      </c>
      <c r="AQ37" s="198">
        <v>0</v>
      </c>
      <c r="AR37" s="198">
        <v>0</v>
      </c>
      <c r="AS37" s="198">
        <v>18.399999999999999</v>
      </c>
      <c r="AT37" s="198">
        <v>0</v>
      </c>
      <c r="AU37" s="198">
        <v>40.200000000000003</v>
      </c>
      <c r="AV37" s="198">
        <v>0</v>
      </c>
      <c r="AW37" s="198">
        <v>0</v>
      </c>
      <c r="AX37" s="198">
        <v>21</v>
      </c>
      <c r="AY37" s="198">
        <v>0</v>
      </c>
      <c r="AZ37" s="198">
        <v>0</v>
      </c>
      <c r="BA37" s="198">
        <v>36.5</v>
      </c>
      <c r="BB37" s="198">
        <v>0</v>
      </c>
      <c r="BC37" s="198">
        <v>0</v>
      </c>
      <c r="BD37" s="198">
        <v>22.4</v>
      </c>
      <c r="BE37" s="198">
        <v>0</v>
      </c>
      <c r="BF37" s="198">
        <v>0</v>
      </c>
      <c r="BG37" s="198">
        <v>29.8</v>
      </c>
      <c r="BH37" s="198">
        <v>0</v>
      </c>
      <c r="BI37" s="198">
        <v>0</v>
      </c>
      <c r="BJ37" s="198">
        <v>26.7</v>
      </c>
      <c r="BK37" s="198">
        <v>0</v>
      </c>
      <c r="BL37" s="198">
        <v>0</v>
      </c>
      <c r="BM37" s="198">
        <v>0</v>
      </c>
      <c r="BN37" s="198">
        <v>0</v>
      </c>
      <c r="BO37" s="198">
        <v>0</v>
      </c>
      <c r="BP37" s="198">
        <v>0</v>
      </c>
      <c r="BQ37" s="198">
        <v>0</v>
      </c>
      <c r="BR37" s="198">
        <v>0</v>
      </c>
      <c r="BS37" s="198">
        <v>0</v>
      </c>
      <c r="BT37" s="198">
        <v>0</v>
      </c>
      <c r="BU37" s="198">
        <v>0</v>
      </c>
      <c r="BV37" s="198">
        <v>0</v>
      </c>
      <c r="BW37" s="198">
        <v>0</v>
      </c>
      <c r="BX37" s="198">
        <v>0</v>
      </c>
      <c r="BY37" s="198">
        <v>0</v>
      </c>
      <c r="BZ37" s="198">
        <v>0</v>
      </c>
      <c r="CA37" s="198">
        <v>0</v>
      </c>
      <c r="CB37" s="198">
        <v>0</v>
      </c>
      <c r="CC37" s="198">
        <v>0</v>
      </c>
      <c r="CD37" s="198">
        <v>0</v>
      </c>
      <c r="CE37" s="198">
        <v>0</v>
      </c>
      <c r="CF37" s="198">
        <v>0</v>
      </c>
      <c r="CG37" s="198">
        <v>0</v>
      </c>
      <c r="CH37" s="198">
        <v>0</v>
      </c>
      <c r="CI37" s="198">
        <v>0</v>
      </c>
      <c r="CJ37" s="198">
        <v>0</v>
      </c>
      <c r="CK37" s="88"/>
    </row>
    <row r="38" spans="1:89" x14ac:dyDescent="0.3">
      <c r="A38" s="173"/>
      <c r="B38" s="197" t="s">
        <v>281</v>
      </c>
      <c r="C38" s="198">
        <v>0</v>
      </c>
      <c r="D38" s="198">
        <v>0</v>
      </c>
      <c r="E38" s="198">
        <v>0</v>
      </c>
      <c r="F38" s="198">
        <v>0</v>
      </c>
      <c r="G38" s="198">
        <v>0</v>
      </c>
      <c r="H38" s="198">
        <v>0</v>
      </c>
      <c r="I38" s="198">
        <v>0</v>
      </c>
      <c r="J38" s="198">
        <v>0</v>
      </c>
      <c r="K38" s="198">
        <v>0</v>
      </c>
      <c r="L38" s="198">
        <v>0</v>
      </c>
      <c r="M38" s="198">
        <v>0</v>
      </c>
      <c r="N38" s="198">
        <v>0</v>
      </c>
      <c r="O38" s="198">
        <v>0</v>
      </c>
      <c r="P38" s="198">
        <v>0</v>
      </c>
      <c r="Q38" s="198">
        <v>0</v>
      </c>
      <c r="R38" s="198">
        <v>0</v>
      </c>
      <c r="S38" s="198">
        <v>0</v>
      </c>
      <c r="T38" s="198">
        <v>0</v>
      </c>
      <c r="U38" s="198">
        <v>0</v>
      </c>
      <c r="V38" s="198">
        <v>0.7</v>
      </c>
      <c r="W38" s="198">
        <v>0</v>
      </c>
      <c r="X38" s="198">
        <v>0.1</v>
      </c>
      <c r="Y38" s="198">
        <v>0</v>
      </c>
      <c r="Z38" s="198">
        <v>0</v>
      </c>
      <c r="AA38" s="198">
        <v>0.6</v>
      </c>
      <c r="AB38" s="198">
        <v>0</v>
      </c>
      <c r="AC38" s="198">
        <v>0</v>
      </c>
      <c r="AD38" s="198">
        <v>0.1</v>
      </c>
      <c r="AE38" s="198">
        <v>0</v>
      </c>
      <c r="AF38" s="198">
        <v>0</v>
      </c>
      <c r="AG38" s="198">
        <v>0.6</v>
      </c>
      <c r="AH38" s="198">
        <v>0</v>
      </c>
      <c r="AI38" s="198">
        <v>0</v>
      </c>
      <c r="AJ38" s="198">
        <v>0.2</v>
      </c>
      <c r="AK38" s="198">
        <v>0</v>
      </c>
      <c r="AL38" s="198">
        <v>0</v>
      </c>
      <c r="AM38" s="198">
        <v>1.6</v>
      </c>
      <c r="AN38" s="198">
        <v>0</v>
      </c>
      <c r="AO38" s="198">
        <v>0</v>
      </c>
      <c r="AP38" s="198">
        <v>0.5</v>
      </c>
      <c r="AQ38" s="198">
        <v>0</v>
      </c>
      <c r="AR38" s="198">
        <v>0</v>
      </c>
      <c r="AS38" s="198">
        <v>1.6</v>
      </c>
      <c r="AT38" s="198">
        <v>0</v>
      </c>
      <c r="AU38" s="198">
        <v>0.6</v>
      </c>
      <c r="AV38" s="198">
        <v>0</v>
      </c>
      <c r="AW38" s="198">
        <v>0</v>
      </c>
      <c r="AX38" s="198">
        <v>1.8</v>
      </c>
      <c r="AY38" s="198">
        <v>0</v>
      </c>
      <c r="AZ38" s="198">
        <v>0</v>
      </c>
      <c r="BA38" s="198">
        <v>0.8</v>
      </c>
      <c r="BB38" s="198">
        <v>0</v>
      </c>
      <c r="BC38" s="198">
        <v>0</v>
      </c>
      <c r="BD38" s="198">
        <v>2</v>
      </c>
      <c r="BE38" s="198">
        <v>0</v>
      </c>
      <c r="BF38" s="198">
        <v>0</v>
      </c>
      <c r="BG38" s="198">
        <v>1</v>
      </c>
      <c r="BH38" s="198">
        <v>0</v>
      </c>
      <c r="BI38" s="198">
        <v>0</v>
      </c>
      <c r="BJ38" s="198">
        <v>2.1</v>
      </c>
      <c r="BK38" s="198">
        <v>0</v>
      </c>
      <c r="BL38" s="198">
        <v>0</v>
      </c>
      <c r="BM38" s="198">
        <v>0</v>
      </c>
      <c r="BN38" s="198">
        <v>0</v>
      </c>
      <c r="BO38" s="198">
        <v>0</v>
      </c>
      <c r="BP38" s="198">
        <v>0</v>
      </c>
      <c r="BQ38" s="198">
        <v>0</v>
      </c>
      <c r="BR38" s="198">
        <v>0</v>
      </c>
      <c r="BS38" s="198">
        <v>0</v>
      </c>
      <c r="BT38" s="198">
        <v>0</v>
      </c>
      <c r="BU38" s="198">
        <v>0</v>
      </c>
      <c r="BV38" s="198">
        <v>0</v>
      </c>
      <c r="BW38" s="198">
        <v>0</v>
      </c>
      <c r="BX38" s="198">
        <v>0</v>
      </c>
      <c r="BY38" s="198">
        <v>0</v>
      </c>
      <c r="BZ38" s="198">
        <v>0</v>
      </c>
      <c r="CA38" s="198">
        <v>0</v>
      </c>
      <c r="CB38" s="198">
        <v>0</v>
      </c>
      <c r="CC38" s="198">
        <v>0</v>
      </c>
      <c r="CD38" s="198">
        <v>0</v>
      </c>
      <c r="CE38" s="198">
        <v>0</v>
      </c>
      <c r="CF38" s="198">
        <v>0</v>
      </c>
      <c r="CG38" s="198">
        <v>0</v>
      </c>
      <c r="CH38" s="198">
        <v>0</v>
      </c>
      <c r="CI38" s="198">
        <v>0</v>
      </c>
      <c r="CJ38" s="198">
        <v>0</v>
      </c>
      <c r="CK38" s="88"/>
    </row>
    <row r="39" spans="1:89" x14ac:dyDescent="0.3">
      <c r="A39" s="173"/>
      <c r="B39" s="197" t="s">
        <v>282</v>
      </c>
      <c r="C39" s="198">
        <v>0</v>
      </c>
      <c r="D39" s="198">
        <v>0</v>
      </c>
      <c r="E39" s="198">
        <v>0</v>
      </c>
      <c r="F39" s="198">
        <v>0</v>
      </c>
      <c r="G39" s="198">
        <v>0</v>
      </c>
      <c r="H39" s="198">
        <v>0</v>
      </c>
      <c r="I39" s="198">
        <v>0</v>
      </c>
      <c r="J39" s="198">
        <v>0</v>
      </c>
      <c r="K39" s="198">
        <v>0</v>
      </c>
      <c r="L39" s="198">
        <v>0</v>
      </c>
      <c r="M39" s="198">
        <v>0</v>
      </c>
      <c r="N39" s="198">
        <v>0</v>
      </c>
      <c r="O39" s="198">
        <v>0</v>
      </c>
      <c r="P39" s="198">
        <v>0</v>
      </c>
      <c r="Q39" s="198">
        <v>0</v>
      </c>
      <c r="R39" s="198">
        <v>0</v>
      </c>
      <c r="S39" s="198">
        <v>0</v>
      </c>
      <c r="T39" s="198">
        <v>0</v>
      </c>
      <c r="U39" s="198">
        <v>0</v>
      </c>
      <c r="V39" s="198">
        <v>0.1</v>
      </c>
      <c r="W39" s="198">
        <v>0</v>
      </c>
      <c r="X39" s="198">
        <v>0</v>
      </c>
      <c r="Y39" s="198">
        <v>0</v>
      </c>
      <c r="Z39" s="198">
        <v>0</v>
      </c>
      <c r="AA39" s="198">
        <v>0.1</v>
      </c>
      <c r="AB39" s="198">
        <v>0</v>
      </c>
      <c r="AC39" s="198">
        <v>0</v>
      </c>
      <c r="AD39" s="198">
        <v>0</v>
      </c>
      <c r="AE39" s="198">
        <v>0</v>
      </c>
      <c r="AF39" s="198">
        <v>0</v>
      </c>
      <c r="AG39" s="198">
        <v>0.1</v>
      </c>
      <c r="AH39" s="198">
        <v>0</v>
      </c>
      <c r="AI39" s="198">
        <v>0</v>
      </c>
      <c r="AJ39" s="198">
        <v>0</v>
      </c>
      <c r="AK39" s="198">
        <v>0</v>
      </c>
      <c r="AL39" s="198">
        <v>0</v>
      </c>
      <c r="AM39" s="198">
        <v>0.2</v>
      </c>
      <c r="AN39" s="198">
        <v>0</v>
      </c>
      <c r="AO39" s="198">
        <v>0</v>
      </c>
      <c r="AP39" s="198">
        <v>0.1</v>
      </c>
      <c r="AQ39" s="198">
        <v>0</v>
      </c>
      <c r="AR39" s="198">
        <v>0</v>
      </c>
      <c r="AS39" s="198">
        <v>0.2</v>
      </c>
      <c r="AT39" s="198">
        <v>0</v>
      </c>
      <c r="AU39" s="198">
        <v>0.1</v>
      </c>
      <c r="AV39" s="198">
        <v>0</v>
      </c>
      <c r="AW39" s="198">
        <v>0</v>
      </c>
      <c r="AX39" s="198">
        <v>0.2</v>
      </c>
      <c r="AY39" s="198">
        <v>0</v>
      </c>
      <c r="AZ39" s="198">
        <v>0</v>
      </c>
      <c r="BA39" s="198">
        <v>0.1</v>
      </c>
      <c r="BB39" s="198">
        <v>0</v>
      </c>
      <c r="BC39" s="198">
        <v>0</v>
      </c>
      <c r="BD39" s="198">
        <v>0.3</v>
      </c>
      <c r="BE39" s="198">
        <v>0</v>
      </c>
      <c r="BF39" s="198">
        <v>0</v>
      </c>
      <c r="BG39" s="198">
        <v>0.2</v>
      </c>
      <c r="BH39" s="198">
        <v>0</v>
      </c>
      <c r="BI39" s="198">
        <v>0</v>
      </c>
      <c r="BJ39" s="198">
        <v>0.3</v>
      </c>
      <c r="BK39" s="198">
        <v>0</v>
      </c>
      <c r="BL39" s="198">
        <v>0</v>
      </c>
      <c r="BM39" s="198">
        <v>0</v>
      </c>
      <c r="BN39" s="198">
        <v>0</v>
      </c>
      <c r="BO39" s="198">
        <v>0</v>
      </c>
      <c r="BP39" s="198">
        <v>0</v>
      </c>
      <c r="BQ39" s="198">
        <v>0</v>
      </c>
      <c r="BR39" s="198">
        <v>0</v>
      </c>
      <c r="BS39" s="198">
        <v>0</v>
      </c>
      <c r="BT39" s="198">
        <v>0</v>
      </c>
      <c r="BU39" s="198">
        <v>0</v>
      </c>
      <c r="BV39" s="198">
        <v>0</v>
      </c>
      <c r="BW39" s="198">
        <v>0</v>
      </c>
      <c r="BX39" s="198">
        <v>0</v>
      </c>
      <c r="BY39" s="198">
        <v>0</v>
      </c>
      <c r="BZ39" s="198">
        <v>0</v>
      </c>
      <c r="CA39" s="198">
        <v>0</v>
      </c>
      <c r="CB39" s="198">
        <v>0</v>
      </c>
      <c r="CC39" s="198">
        <v>0</v>
      </c>
      <c r="CD39" s="198">
        <v>0</v>
      </c>
      <c r="CE39" s="198">
        <v>0</v>
      </c>
      <c r="CF39" s="198">
        <v>0</v>
      </c>
      <c r="CG39" s="198">
        <v>0</v>
      </c>
      <c r="CH39" s="198">
        <v>0</v>
      </c>
      <c r="CI39" s="198">
        <v>0</v>
      </c>
      <c r="CJ39" s="198">
        <v>0</v>
      </c>
      <c r="CK39" s="88"/>
    </row>
    <row r="40" spans="1:89" x14ac:dyDescent="0.3">
      <c r="A40" s="173"/>
      <c r="B40" s="197" t="s">
        <v>223</v>
      </c>
      <c r="C40" s="198">
        <v>0</v>
      </c>
      <c r="D40" s="198">
        <v>0</v>
      </c>
      <c r="E40" s="198">
        <v>0</v>
      </c>
      <c r="F40" s="198">
        <v>0</v>
      </c>
      <c r="G40" s="198">
        <v>0</v>
      </c>
      <c r="H40" s="198">
        <v>0</v>
      </c>
      <c r="I40" s="198">
        <v>0</v>
      </c>
      <c r="J40" s="198">
        <v>0</v>
      </c>
      <c r="K40" s="198">
        <v>0</v>
      </c>
      <c r="L40" s="198">
        <v>0</v>
      </c>
      <c r="M40" s="198">
        <v>0</v>
      </c>
      <c r="N40" s="198">
        <v>0</v>
      </c>
      <c r="O40" s="198">
        <v>0</v>
      </c>
      <c r="P40" s="198">
        <v>0</v>
      </c>
      <c r="Q40" s="198">
        <v>0</v>
      </c>
      <c r="R40" s="198">
        <v>0</v>
      </c>
      <c r="S40" s="198">
        <v>0</v>
      </c>
      <c r="T40" s="198">
        <v>0</v>
      </c>
      <c r="U40" s="198">
        <v>0</v>
      </c>
      <c r="V40" s="198">
        <v>0.2</v>
      </c>
      <c r="W40" s="198">
        <v>0</v>
      </c>
      <c r="X40" s="198">
        <v>0.3</v>
      </c>
      <c r="Y40" s="198">
        <v>0</v>
      </c>
      <c r="Z40" s="198">
        <v>0</v>
      </c>
      <c r="AA40" s="198">
        <v>0.2</v>
      </c>
      <c r="AB40" s="198">
        <v>0</v>
      </c>
      <c r="AC40" s="198">
        <v>0</v>
      </c>
      <c r="AD40" s="198">
        <v>0.3</v>
      </c>
      <c r="AE40" s="198">
        <v>0</v>
      </c>
      <c r="AF40" s="198">
        <v>0</v>
      </c>
      <c r="AG40" s="198">
        <v>0.2</v>
      </c>
      <c r="AH40" s="198">
        <v>0</v>
      </c>
      <c r="AI40" s="198">
        <v>0</v>
      </c>
      <c r="AJ40" s="198">
        <v>0.3</v>
      </c>
      <c r="AK40" s="198">
        <v>0</v>
      </c>
      <c r="AL40" s="198">
        <v>0</v>
      </c>
      <c r="AM40" s="198">
        <v>1</v>
      </c>
      <c r="AN40" s="198">
        <v>0</v>
      </c>
      <c r="AO40" s="198">
        <v>0</v>
      </c>
      <c r="AP40" s="198">
        <v>0.5</v>
      </c>
      <c r="AQ40" s="198">
        <v>0</v>
      </c>
      <c r="AR40" s="198">
        <v>0</v>
      </c>
      <c r="AS40" s="198">
        <v>1</v>
      </c>
      <c r="AT40" s="198">
        <v>0</v>
      </c>
      <c r="AU40" s="198">
        <v>0.6</v>
      </c>
      <c r="AV40" s="198">
        <v>0</v>
      </c>
      <c r="AW40" s="198">
        <v>0</v>
      </c>
      <c r="AX40" s="198">
        <v>0.9</v>
      </c>
      <c r="AY40" s="198">
        <v>0</v>
      </c>
      <c r="AZ40" s="198">
        <v>0</v>
      </c>
      <c r="BA40" s="198">
        <v>0.6</v>
      </c>
      <c r="BB40" s="198">
        <v>0</v>
      </c>
      <c r="BC40" s="198">
        <v>0</v>
      </c>
      <c r="BD40" s="198">
        <v>0.8</v>
      </c>
      <c r="BE40" s="198">
        <v>0</v>
      </c>
      <c r="BF40" s="198">
        <v>0</v>
      </c>
      <c r="BG40" s="198">
        <v>0.6</v>
      </c>
      <c r="BH40" s="198">
        <v>0</v>
      </c>
      <c r="BI40" s="198">
        <v>0</v>
      </c>
      <c r="BJ40" s="198">
        <v>1.1000000000000001</v>
      </c>
      <c r="BK40" s="198">
        <v>0</v>
      </c>
      <c r="BL40" s="198">
        <v>0</v>
      </c>
      <c r="BM40" s="198">
        <v>0</v>
      </c>
      <c r="BN40" s="198">
        <v>0</v>
      </c>
      <c r="BO40" s="198">
        <v>0</v>
      </c>
      <c r="BP40" s="198">
        <v>0</v>
      </c>
      <c r="BQ40" s="198">
        <v>0</v>
      </c>
      <c r="BR40" s="198">
        <v>0</v>
      </c>
      <c r="BS40" s="198">
        <v>0</v>
      </c>
      <c r="BT40" s="198">
        <v>0</v>
      </c>
      <c r="BU40" s="198">
        <v>0</v>
      </c>
      <c r="BV40" s="198">
        <v>0</v>
      </c>
      <c r="BW40" s="198">
        <v>0</v>
      </c>
      <c r="BX40" s="198">
        <v>0</v>
      </c>
      <c r="BY40" s="198">
        <v>0</v>
      </c>
      <c r="BZ40" s="198">
        <v>0</v>
      </c>
      <c r="CA40" s="198">
        <v>0</v>
      </c>
      <c r="CB40" s="198">
        <v>0</v>
      </c>
      <c r="CC40" s="198">
        <v>0</v>
      </c>
      <c r="CD40" s="198">
        <v>0</v>
      </c>
      <c r="CE40" s="198">
        <v>0</v>
      </c>
      <c r="CF40" s="198">
        <v>0</v>
      </c>
      <c r="CG40" s="198">
        <v>0</v>
      </c>
      <c r="CH40" s="198">
        <v>0</v>
      </c>
      <c r="CI40" s="198">
        <v>0</v>
      </c>
      <c r="CJ40" s="198">
        <v>0</v>
      </c>
      <c r="CK40" s="88"/>
    </row>
    <row r="41" spans="1:89" x14ac:dyDescent="0.3">
      <c r="A41" s="173"/>
      <c r="B41" s="201" t="s">
        <v>224</v>
      </c>
      <c r="C41" s="198">
        <v>0</v>
      </c>
      <c r="D41" s="198">
        <v>0</v>
      </c>
      <c r="E41" s="198">
        <v>0</v>
      </c>
      <c r="F41" s="198">
        <v>0</v>
      </c>
      <c r="G41" s="198">
        <v>0</v>
      </c>
      <c r="H41" s="198">
        <v>0</v>
      </c>
      <c r="I41" s="198">
        <v>0</v>
      </c>
      <c r="J41" s="198">
        <v>0</v>
      </c>
      <c r="K41" s="198">
        <v>0</v>
      </c>
      <c r="L41" s="198">
        <v>0</v>
      </c>
      <c r="M41" s="198">
        <v>0</v>
      </c>
      <c r="N41" s="198">
        <v>0</v>
      </c>
      <c r="O41" s="198">
        <v>0</v>
      </c>
      <c r="P41" s="198">
        <v>0</v>
      </c>
      <c r="Q41" s="198">
        <v>0</v>
      </c>
      <c r="R41" s="198">
        <v>0</v>
      </c>
      <c r="S41" s="198">
        <v>0</v>
      </c>
      <c r="T41" s="198">
        <v>0</v>
      </c>
      <c r="U41" s="198">
        <v>0</v>
      </c>
      <c r="V41" s="198">
        <v>0.4</v>
      </c>
      <c r="W41" s="198">
        <v>0</v>
      </c>
      <c r="X41" s="198">
        <v>0</v>
      </c>
      <c r="Y41" s="198">
        <v>0</v>
      </c>
      <c r="Z41" s="198">
        <v>0</v>
      </c>
      <c r="AA41" s="198">
        <v>0.4</v>
      </c>
      <c r="AB41" s="198">
        <v>0</v>
      </c>
      <c r="AC41" s="198">
        <v>0</v>
      </c>
      <c r="AD41" s="198">
        <v>0</v>
      </c>
      <c r="AE41" s="198">
        <v>0</v>
      </c>
      <c r="AF41" s="198">
        <v>0</v>
      </c>
      <c r="AG41" s="198">
        <v>0.3</v>
      </c>
      <c r="AH41" s="198">
        <v>0</v>
      </c>
      <c r="AI41" s="198">
        <v>0</v>
      </c>
      <c r="AJ41" s="198">
        <v>0.1</v>
      </c>
      <c r="AK41" s="198">
        <v>0</v>
      </c>
      <c r="AL41" s="198">
        <v>0</v>
      </c>
      <c r="AM41" s="198">
        <v>0.5</v>
      </c>
      <c r="AN41" s="198">
        <v>0</v>
      </c>
      <c r="AO41" s="198">
        <v>0</v>
      </c>
      <c r="AP41" s="198">
        <v>0.2</v>
      </c>
      <c r="AQ41" s="198">
        <v>0</v>
      </c>
      <c r="AR41" s="198">
        <v>0</v>
      </c>
      <c r="AS41" s="198">
        <v>0.5</v>
      </c>
      <c r="AT41" s="198">
        <v>0</v>
      </c>
      <c r="AU41" s="198">
        <v>0.3</v>
      </c>
      <c r="AV41" s="198">
        <v>0</v>
      </c>
      <c r="AW41" s="198">
        <v>0</v>
      </c>
      <c r="AX41" s="198">
        <v>0</v>
      </c>
      <c r="AY41" s="198">
        <v>0</v>
      </c>
      <c r="AZ41" s="198">
        <v>0</v>
      </c>
      <c r="BA41" s="198">
        <v>0.2</v>
      </c>
      <c r="BB41" s="198">
        <v>0</v>
      </c>
      <c r="BC41" s="198">
        <v>0</v>
      </c>
      <c r="BD41" s="198">
        <v>0</v>
      </c>
      <c r="BE41" s="198">
        <v>0</v>
      </c>
      <c r="BF41" s="198">
        <v>0</v>
      </c>
      <c r="BG41" s="198">
        <v>0.2</v>
      </c>
      <c r="BH41" s="198">
        <v>0</v>
      </c>
      <c r="BI41" s="198">
        <v>0</v>
      </c>
      <c r="BJ41" s="198">
        <v>0.1</v>
      </c>
      <c r="BK41" s="198">
        <v>0</v>
      </c>
      <c r="BL41" s="198">
        <v>0</v>
      </c>
      <c r="BM41" s="198">
        <v>0</v>
      </c>
      <c r="BN41" s="198">
        <v>0</v>
      </c>
      <c r="BO41" s="198">
        <v>0</v>
      </c>
      <c r="BP41" s="198">
        <v>0</v>
      </c>
      <c r="BQ41" s="198">
        <v>0</v>
      </c>
      <c r="BR41" s="198">
        <v>0</v>
      </c>
      <c r="BS41" s="198">
        <v>0</v>
      </c>
      <c r="BT41" s="198">
        <v>0</v>
      </c>
      <c r="BU41" s="198">
        <v>0</v>
      </c>
      <c r="BV41" s="198">
        <v>0</v>
      </c>
      <c r="BW41" s="198">
        <v>0</v>
      </c>
      <c r="BX41" s="198">
        <v>0</v>
      </c>
      <c r="BY41" s="198">
        <v>0</v>
      </c>
      <c r="BZ41" s="198">
        <v>0</v>
      </c>
      <c r="CA41" s="198">
        <v>0</v>
      </c>
      <c r="CB41" s="198">
        <v>0</v>
      </c>
      <c r="CC41" s="198">
        <v>0</v>
      </c>
      <c r="CD41" s="198">
        <v>0</v>
      </c>
      <c r="CE41" s="198">
        <v>0</v>
      </c>
      <c r="CF41" s="198">
        <v>0</v>
      </c>
      <c r="CG41" s="198">
        <v>0</v>
      </c>
      <c r="CH41" s="198">
        <v>0</v>
      </c>
      <c r="CI41" s="198">
        <v>0</v>
      </c>
      <c r="CJ41" s="198">
        <v>0</v>
      </c>
      <c r="CK41" s="88"/>
    </row>
    <row r="42" spans="1:89" x14ac:dyDescent="0.3">
      <c r="A42" s="173"/>
      <c r="B42" s="197" t="s">
        <v>158</v>
      </c>
      <c r="C42" s="198">
        <v>0</v>
      </c>
      <c r="D42" s="200">
        <v>0</v>
      </c>
      <c r="E42" s="200">
        <v>0</v>
      </c>
      <c r="F42" s="200">
        <v>0</v>
      </c>
      <c r="G42" s="200">
        <v>0</v>
      </c>
      <c r="H42" s="200">
        <v>0</v>
      </c>
      <c r="I42" s="200">
        <v>0</v>
      </c>
      <c r="J42" s="200">
        <v>107.1</v>
      </c>
      <c r="K42" s="200">
        <v>0</v>
      </c>
      <c r="L42" s="198">
        <v>0</v>
      </c>
      <c r="M42" s="198">
        <v>0</v>
      </c>
      <c r="N42" s="198">
        <v>0</v>
      </c>
      <c r="O42" s="198">
        <v>0</v>
      </c>
      <c r="P42" s="198">
        <v>0</v>
      </c>
      <c r="Q42" s="198">
        <v>0</v>
      </c>
      <c r="R42" s="198">
        <v>76</v>
      </c>
      <c r="S42" s="198">
        <v>0</v>
      </c>
      <c r="T42" s="198">
        <v>0</v>
      </c>
      <c r="U42" s="198">
        <v>3.9</v>
      </c>
      <c r="V42" s="198">
        <v>0</v>
      </c>
      <c r="W42" s="198">
        <v>0</v>
      </c>
      <c r="X42" s="198">
        <v>68.8</v>
      </c>
      <c r="Y42" s="198">
        <v>0</v>
      </c>
      <c r="Z42" s="198">
        <v>0</v>
      </c>
      <c r="AA42" s="198">
        <v>0</v>
      </c>
      <c r="AB42" s="198">
        <v>0</v>
      </c>
      <c r="AC42" s="198">
        <v>0</v>
      </c>
      <c r="AD42" s="198">
        <v>61.4</v>
      </c>
      <c r="AE42" s="198">
        <v>0</v>
      </c>
      <c r="AF42" s="198">
        <v>0</v>
      </c>
      <c r="AG42" s="198">
        <v>4.8</v>
      </c>
      <c r="AH42" s="198">
        <v>0</v>
      </c>
      <c r="AI42" s="198">
        <v>0</v>
      </c>
      <c r="AJ42" s="198">
        <v>62.1</v>
      </c>
      <c r="AK42" s="198">
        <v>0</v>
      </c>
      <c r="AL42" s="198">
        <v>0</v>
      </c>
      <c r="AM42" s="198">
        <v>9.6</v>
      </c>
      <c r="AN42" s="198">
        <v>0</v>
      </c>
      <c r="AO42" s="198">
        <v>0</v>
      </c>
      <c r="AP42" s="198">
        <v>0</v>
      </c>
      <c r="AQ42" s="198">
        <v>0</v>
      </c>
      <c r="AR42" s="198">
        <v>0</v>
      </c>
      <c r="AS42" s="198">
        <v>8.6999999999999993</v>
      </c>
      <c r="AT42" s="198">
        <v>0</v>
      </c>
      <c r="AU42" s="198">
        <v>1</v>
      </c>
      <c r="AV42" s="198">
        <v>0</v>
      </c>
      <c r="AW42" s="198">
        <v>0</v>
      </c>
      <c r="AX42" s="198">
        <v>7.7</v>
      </c>
      <c r="AY42" s="198">
        <v>0</v>
      </c>
      <c r="AZ42" s="198">
        <v>0</v>
      </c>
      <c r="BA42" s="198">
        <v>2</v>
      </c>
      <c r="BB42" s="198">
        <v>0</v>
      </c>
      <c r="BC42" s="198">
        <v>0</v>
      </c>
      <c r="BD42" s="198">
        <v>0</v>
      </c>
      <c r="BE42" s="198">
        <v>0</v>
      </c>
      <c r="BF42" s="198">
        <v>0</v>
      </c>
      <c r="BG42" s="198">
        <v>0</v>
      </c>
      <c r="BH42" s="198">
        <v>0</v>
      </c>
      <c r="BI42" s="198">
        <v>0</v>
      </c>
      <c r="BJ42" s="198">
        <v>0</v>
      </c>
      <c r="BK42" s="198">
        <v>0</v>
      </c>
      <c r="BL42" s="198">
        <v>0</v>
      </c>
      <c r="BM42" s="198">
        <v>0</v>
      </c>
      <c r="BN42" s="198">
        <v>0</v>
      </c>
      <c r="BO42" s="198">
        <v>0</v>
      </c>
      <c r="BP42" s="198">
        <v>0</v>
      </c>
      <c r="BQ42" s="198">
        <v>0</v>
      </c>
      <c r="BR42" s="198">
        <v>0</v>
      </c>
      <c r="BS42" s="198">
        <v>0</v>
      </c>
      <c r="BT42" s="198">
        <v>0</v>
      </c>
      <c r="BU42" s="198">
        <v>0</v>
      </c>
      <c r="BV42" s="198">
        <v>0</v>
      </c>
      <c r="BW42" s="198">
        <v>0</v>
      </c>
      <c r="BX42" s="198">
        <v>0</v>
      </c>
      <c r="BY42" s="198">
        <v>0</v>
      </c>
      <c r="BZ42" s="198">
        <v>0</v>
      </c>
      <c r="CA42" s="198">
        <v>0</v>
      </c>
      <c r="CB42" s="198">
        <v>0</v>
      </c>
      <c r="CC42" s="198">
        <v>0</v>
      </c>
      <c r="CD42" s="198">
        <v>0</v>
      </c>
      <c r="CE42" s="198">
        <v>0</v>
      </c>
      <c r="CF42" s="198">
        <v>0</v>
      </c>
      <c r="CG42" s="198">
        <v>0</v>
      </c>
      <c r="CH42" s="198">
        <v>0</v>
      </c>
      <c r="CI42" s="198">
        <v>0</v>
      </c>
      <c r="CJ42" s="198">
        <v>0</v>
      </c>
      <c r="CK42" s="88"/>
    </row>
    <row r="43" spans="1:89" x14ac:dyDescent="0.3">
      <c r="A43" s="173"/>
      <c r="B43" s="197" t="s">
        <v>175</v>
      </c>
      <c r="C43" s="198">
        <v>0</v>
      </c>
      <c r="D43" s="198">
        <v>0</v>
      </c>
      <c r="E43" s="198">
        <v>0</v>
      </c>
      <c r="F43" s="198">
        <v>0</v>
      </c>
      <c r="G43" s="198">
        <v>0</v>
      </c>
      <c r="H43" s="198">
        <v>0</v>
      </c>
      <c r="I43" s="198">
        <v>0</v>
      </c>
      <c r="J43" s="198">
        <v>0</v>
      </c>
      <c r="K43" s="198">
        <v>0</v>
      </c>
      <c r="L43" s="198">
        <v>0</v>
      </c>
      <c r="M43" s="198">
        <v>11</v>
      </c>
      <c r="N43" s="198">
        <v>0</v>
      </c>
      <c r="O43" s="198">
        <v>0</v>
      </c>
      <c r="P43" s="198">
        <v>0</v>
      </c>
      <c r="Q43" s="198">
        <v>0</v>
      </c>
      <c r="R43" s="198">
        <v>0</v>
      </c>
      <c r="S43" s="198">
        <v>10.199999999999999</v>
      </c>
      <c r="T43" s="198">
        <v>0</v>
      </c>
      <c r="U43" s="198">
        <v>0</v>
      </c>
      <c r="V43" s="198">
        <v>0</v>
      </c>
      <c r="W43" s="198">
        <v>0</v>
      </c>
      <c r="X43" s="198">
        <v>0</v>
      </c>
      <c r="Y43" s="198">
        <v>0</v>
      </c>
      <c r="Z43" s="198">
        <v>0</v>
      </c>
      <c r="AA43" s="198">
        <v>0</v>
      </c>
      <c r="AB43" s="198">
        <v>0</v>
      </c>
      <c r="AC43" s="198">
        <v>0</v>
      </c>
      <c r="AD43" s="198">
        <v>0</v>
      </c>
      <c r="AE43" s="198">
        <v>0</v>
      </c>
      <c r="AF43" s="198">
        <v>0</v>
      </c>
      <c r="AG43" s="198">
        <v>0</v>
      </c>
      <c r="AH43" s="198">
        <v>0</v>
      </c>
      <c r="AI43" s="198">
        <v>0</v>
      </c>
      <c r="AJ43" s="198">
        <v>0</v>
      </c>
      <c r="AK43" s="198">
        <v>0</v>
      </c>
      <c r="AL43" s="198">
        <v>0</v>
      </c>
      <c r="AM43" s="198">
        <v>0</v>
      </c>
      <c r="AN43" s="198">
        <v>0</v>
      </c>
      <c r="AO43" s="198">
        <v>0</v>
      </c>
      <c r="AP43" s="198">
        <v>0</v>
      </c>
      <c r="AQ43" s="198">
        <v>0</v>
      </c>
      <c r="AR43" s="198">
        <v>0</v>
      </c>
      <c r="AS43" s="198">
        <v>0</v>
      </c>
      <c r="AT43" s="198">
        <v>0</v>
      </c>
      <c r="AU43" s="198">
        <v>0</v>
      </c>
      <c r="AV43" s="198">
        <v>0</v>
      </c>
      <c r="AW43" s="198">
        <v>0</v>
      </c>
      <c r="AX43" s="198">
        <v>0</v>
      </c>
      <c r="AY43" s="198">
        <v>0</v>
      </c>
      <c r="AZ43" s="198">
        <v>0</v>
      </c>
      <c r="BA43" s="198">
        <v>0</v>
      </c>
      <c r="BB43" s="198">
        <v>0</v>
      </c>
      <c r="BC43" s="198">
        <v>0</v>
      </c>
      <c r="BD43" s="198">
        <v>0</v>
      </c>
      <c r="BE43" s="198">
        <v>0</v>
      </c>
      <c r="BF43" s="198">
        <v>0</v>
      </c>
      <c r="BG43" s="198">
        <v>0</v>
      </c>
      <c r="BH43" s="198">
        <v>0</v>
      </c>
      <c r="BI43" s="198">
        <v>0</v>
      </c>
      <c r="BJ43" s="198">
        <v>0</v>
      </c>
      <c r="BK43" s="198">
        <v>0</v>
      </c>
      <c r="BL43" s="198">
        <v>0</v>
      </c>
      <c r="BM43" s="198">
        <v>0</v>
      </c>
      <c r="BN43" s="198">
        <v>0</v>
      </c>
      <c r="BO43" s="198">
        <v>0</v>
      </c>
      <c r="BP43" s="198">
        <v>0</v>
      </c>
      <c r="BQ43" s="198">
        <v>0</v>
      </c>
      <c r="BR43" s="198">
        <v>0</v>
      </c>
      <c r="BS43" s="198">
        <v>0</v>
      </c>
      <c r="BT43" s="198">
        <v>0</v>
      </c>
      <c r="BU43" s="198">
        <v>0</v>
      </c>
      <c r="BV43" s="198">
        <v>0</v>
      </c>
      <c r="BW43" s="198">
        <v>0</v>
      </c>
      <c r="BX43" s="198">
        <v>0</v>
      </c>
      <c r="BY43" s="198">
        <v>0</v>
      </c>
      <c r="BZ43" s="198">
        <v>0</v>
      </c>
      <c r="CA43" s="198">
        <v>0</v>
      </c>
      <c r="CB43" s="198">
        <v>0</v>
      </c>
      <c r="CC43" s="198">
        <v>0</v>
      </c>
      <c r="CD43" s="198">
        <v>0</v>
      </c>
      <c r="CE43" s="198">
        <v>0</v>
      </c>
      <c r="CF43" s="198">
        <v>0</v>
      </c>
      <c r="CG43" s="198">
        <v>0</v>
      </c>
      <c r="CH43" s="198">
        <v>0</v>
      </c>
      <c r="CI43" s="198">
        <v>0</v>
      </c>
      <c r="CJ43" s="198">
        <v>0</v>
      </c>
      <c r="CK43" s="88"/>
    </row>
    <row r="44" spans="1:89" x14ac:dyDescent="0.3">
      <c r="A44" s="173"/>
      <c r="B44" s="197" t="s">
        <v>217</v>
      </c>
      <c r="C44" s="200">
        <v>0</v>
      </c>
      <c r="D44" s="200">
        <v>0</v>
      </c>
      <c r="E44" s="200">
        <v>0</v>
      </c>
      <c r="F44" s="200">
        <v>0</v>
      </c>
      <c r="G44" s="200">
        <v>18.3</v>
      </c>
      <c r="H44" s="200">
        <v>0</v>
      </c>
      <c r="I44" s="200">
        <v>0</v>
      </c>
      <c r="J44" s="200">
        <v>0</v>
      </c>
      <c r="K44" s="200">
        <v>0</v>
      </c>
      <c r="L44" s="198">
        <v>0</v>
      </c>
      <c r="M44" s="198">
        <v>17</v>
      </c>
      <c r="N44" s="198">
        <v>0</v>
      </c>
      <c r="O44" s="198">
        <v>0</v>
      </c>
      <c r="P44" s="198">
        <v>0</v>
      </c>
      <c r="Q44" s="198">
        <v>0</v>
      </c>
      <c r="R44" s="198">
        <v>0</v>
      </c>
      <c r="S44" s="198">
        <v>16.3</v>
      </c>
      <c r="T44" s="198">
        <v>0</v>
      </c>
      <c r="U44" s="198">
        <v>1.7</v>
      </c>
      <c r="V44" s="198">
        <v>1.2</v>
      </c>
      <c r="W44" s="198">
        <v>0</v>
      </c>
      <c r="X44" s="198">
        <v>15.5</v>
      </c>
      <c r="Y44" s="198">
        <v>0</v>
      </c>
      <c r="Z44" s="198">
        <v>0</v>
      </c>
      <c r="AA44" s="198">
        <v>3.4</v>
      </c>
      <c r="AB44" s="198">
        <v>0</v>
      </c>
      <c r="AC44" s="198">
        <v>0</v>
      </c>
      <c r="AD44" s="198">
        <v>14.1</v>
      </c>
      <c r="AE44" s="198">
        <v>0</v>
      </c>
      <c r="AF44" s="198">
        <v>0</v>
      </c>
      <c r="AG44" s="198">
        <v>4.3</v>
      </c>
      <c r="AH44" s="198">
        <v>0</v>
      </c>
      <c r="AI44" s="198">
        <v>0</v>
      </c>
      <c r="AJ44" s="198">
        <v>14.5</v>
      </c>
      <c r="AK44" s="198">
        <v>0</v>
      </c>
      <c r="AL44" s="198">
        <v>0</v>
      </c>
      <c r="AM44" s="198">
        <v>5.5</v>
      </c>
      <c r="AN44" s="198">
        <v>0</v>
      </c>
      <c r="AO44" s="198">
        <v>0</v>
      </c>
      <c r="AP44" s="198">
        <v>14.5</v>
      </c>
      <c r="AQ44" s="198">
        <v>0</v>
      </c>
      <c r="AR44" s="198">
        <v>0</v>
      </c>
      <c r="AS44" s="198">
        <v>6.3</v>
      </c>
      <c r="AT44" s="198">
        <v>0</v>
      </c>
      <c r="AU44" s="198">
        <v>13.8</v>
      </c>
      <c r="AV44" s="198">
        <v>0</v>
      </c>
      <c r="AW44" s="198">
        <v>0</v>
      </c>
      <c r="AX44" s="198">
        <v>7.1</v>
      </c>
      <c r="AY44" s="198">
        <v>0</v>
      </c>
      <c r="AZ44" s="198">
        <v>0</v>
      </c>
      <c r="BA44" s="198">
        <v>12.3</v>
      </c>
      <c r="BB44" s="198">
        <v>0</v>
      </c>
      <c r="BC44" s="198">
        <v>0</v>
      </c>
      <c r="BD44" s="198">
        <v>7.5</v>
      </c>
      <c r="BE44" s="198">
        <v>0</v>
      </c>
      <c r="BF44" s="198">
        <v>0</v>
      </c>
      <c r="BG44" s="198">
        <v>0</v>
      </c>
      <c r="BH44" s="198">
        <v>0</v>
      </c>
      <c r="BI44" s="198">
        <v>0</v>
      </c>
      <c r="BJ44" s="198">
        <v>6.3</v>
      </c>
      <c r="BK44" s="198">
        <v>0</v>
      </c>
      <c r="BL44" s="198">
        <v>0</v>
      </c>
      <c r="BM44" s="198">
        <v>0</v>
      </c>
      <c r="BN44" s="198">
        <v>0</v>
      </c>
      <c r="BO44" s="198">
        <v>0</v>
      </c>
      <c r="BP44" s="198">
        <v>0</v>
      </c>
      <c r="BQ44" s="198">
        <v>0</v>
      </c>
      <c r="BR44" s="198">
        <v>0</v>
      </c>
      <c r="BS44" s="198">
        <v>0</v>
      </c>
      <c r="BT44" s="198">
        <v>0</v>
      </c>
      <c r="BU44" s="198">
        <v>0</v>
      </c>
      <c r="BV44" s="198">
        <v>0</v>
      </c>
      <c r="BW44" s="198">
        <v>0</v>
      </c>
      <c r="BX44" s="198">
        <v>0</v>
      </c>
      <c r="BY44" s="198">
        <v>0</v>
      </c>
      <c r="BZ44" s="198">
        <v>0</v>
      </c>
      <c r="CA44" s="198">
        <v>0</v>
      </c>
      <c r="CB44" s="198">
        <v>0</v>
      </c>
      <c r="CC44" s="198">
        <v>0</v>
      </c>
      <c r="CD44" s="198">
        <v>0</v>
      </c>
      <c r="CE44" s="198">
        <v>0</v>
      </c>
      <c r="CF44" s="198">
        <v>0</v>
      </c>
      <c r="CG44" s="198">
        <v>0</v>
      </c>
      <c r="CH44" s="198">
        <v>0</v>
      </c>
      <c r="CI44" s="198">
        <v>0</v>
      </c>
      <c r="CJ44" s="198">
        <v>0</v>
      </c>
      <c r="CK44" s="88"/>
    </row>
    <row r="45" spans="1:89" x14ac:dyDescent="0.3">
      <c r="A45" s="173"/>
      <c r="B45" s="197" t="s">
        <v>71</v>
      </c>
      <c r="C45" s="198">
        <v>26.4</v>
      </c>
      <c r="D45" s="198">
        <v>33.799999999999997</v>
      </c>
      <c r="E45" s="198">
        <v>105.4</v>
      </c>
      <c r="F45" s="198">
        <v>6.9</v>
      </c>
      <c r="G45" s="198">
        <v>0</v>
      </c>
      <c r="H45" s="198">
        <v>0</v>
      </c>
      <c r="I45" s="198">
        <v>23.6</v>
      </c>
      <c r="J45" s="198">
        <v>28.5</v>
      </c>
      <c r="K45" s="198">
        <v>69.599999999999994</v>
      </c>
      <c r="L45" s="198">
        <v>34</v>
      </c>
      <c r="M45" s="198">
        <v>0</v>
      </c>
      <c r="N45" s="198">
        <v>0</v>
      </c>
      <c r="O45" s="198">
        <v>0</v>
      </c>
      <c r="P45" s="198">
        <v>0</v>
      </c>
      <c r="Q45" s="198">
        <v>0</v>
      </c>
      <c r="R45" s="198">
        <v>37.299999999999997</v>
      </c>
      <c r="S45" s="198">
        <v>0</v>
      </c>
      <c r="T45" s="198">
        <v>0</v>
      </c>
      <c r="U45" s="198">
        <v>0</v>
      </c>
      <c r="V45" s="198">
        <v>0</v>
      </c>
      <c r="W45" s="198">
        <v>0</v>
      </c>
      <c r="X45" s="198">
        <v>0</v>
      </c>
      <c r="Y45" s="198">
        <v>0</v>
      </c>
      <c r="Z45" s="198">
        <v>0</v>
      </c>
      <c r="AA45" s="198">
        <v>0</v>
      </c>
      <c r="AB45" s="198">
        <v>0</v>
      </c>
      <c r="AC45" s="198">
        <v>0</v>
      </c>
      <c r="AD45" s="198">
        <v>0</v>
      </c>
      <c r="AE45" s="198">
        <v>0</v>
      </c>
      <c r="AF45" s="198">
        <v>0</v>
      </c>
      <c r="AG45" s="198">
        <v>0</v>
      </c>
      <c r="AH45" s="198">
        <v>0</v>
      </c>
      <c r="AI45" s="198">
        <v>0</v>
      </c>
      <c r="AJ45" s="198">
        <v>0</v>
      </c>
      <c r="AK45" s="198">
        <v>0</v>
      </c>
      <c r="AL45" s="198">
        <v>0</v>
      </c>
      <c r="AM45" s="198">
        <v>0</v>
      </c>
      <c r="AN45" s="198">
        <v>0</v>
      </c>
      <c r="AO45" s="198">
        <v>0</v>
      </c>
      <c r="AP45" s="198">
        <v>0</v>
      </c>
      <c r="AQ45" s="198">
        <v>0</v>
      </c>
      <c r="AR45" s="198">
        <v>0</v>
      </c>
      <c r="AS45" s="198">
        <v>0</v>
      </c>
      <c r="AT45" s="198">
        <v>0</v>
      </c>
      <c r="AU45" s="198">
        <v>0</v>
      </c>
      <c r="AV45" s="198">
        <v>0</v>
      </c>
      <c r="AW45" s="198">
        <v>0</v>
      </c>
      <c r="AX45" s="198">
        <v>0</v>
      </c>
      <c r="AY45" s="198">
        <v>0</v>
      </c>
      <c r="AZ45" s="198">
        <v>0</v>
      </c>
      <c r="BA45" s="198">
        <v>0</v>
      </c>
      <c r="BB45" s="198">
        <v>0</v>
      </c>
      <c r="BC45" s="198">
        <v>0</v>
      </c>
      <c r="BD45" s="198">
        <v>0</v>
      </c>
      <c r="BE45" s="198">
        <v>0</v>
      </c>
      <c r="BF45" s="198">
        <v>0</v>
      </c>
      <c r="BG45" s="198">
        <v>0</v>
      </c>
      <c r="BH45" s="198">
        <v>0</v>
      </c>
      <c r="BI45" s="198">
        <v>0</v>
      </c>
      <c r="BJ45" s="198">
        <v>0</v>
      </c>
      <c r="BK45" s="198">
        <v>0</v>
      </c>
      <c r="BL45" s="198">
        <v>0</v>
      </c>
      <c r="BM45" s="198">
        <v>0</v>
      </c>
      <c r="BN45" s="198">
        <v>0</v>
      </c>
      <c r="BO45" s="198">
        <v>0</v>
      </c>
      <c r="BP45" s="198">
        <v>0</v>
      </c>
      <c r="BQ45" s="198">
        <v>0</v>
      </c>
      <c r="BR45" s="198">
        <v>0</v>
      </c>
      <c r="BS45" s="198">
        <v>0</v>
      </c>
      <c r="BT45" s="198">
        <v>0</v>
      </c>
      <c r="BU45" s="198">
        <v>0</v>
      </c>
      <c r="BV45" s="198">
        <v>0</v>
      </c>
      <c r="BW45" s="198">
        <v>0</v>
      </c>
      <c r="BX45" s="198">
        <v>0</v>
      </c>
      <c r="BY45" s="198">
        <v>0</v>
      </c>
      <c r="BZ45" s="198">
        <v>0</v>
      </c>
      <c r="CA45" s="198">
        <v>0</v>
      </c>
      <c r="CB45" s="198">
        <v>0</v>
      </c>
      <c r="CC45" s="198">
        <v>0</v>
      </c>
      <c r="CD45" s="198">
        <v>0</v>
      </c>
      <c r="CE45" s="198">
        <v>0</v>
      </c>
      <c r="CF45" s="198">
        <v>0</v>
      </c>
      <c r="CG45" s="198">
        <v>0</v>
      </c>
      <c r="CH45" s="198">
        <v>0</v>
      </c>
      <c r="CI45" s="198">
        <v>0</v>
      </c>
      <c r="CJ45" s="198">
        <v>0</v>
      </c>
      <c r="CK45" s="88"/>
    </row>
    <row r="46" spans="1:89" x14ac:dyDescent="0.3">
      <c r="A46" s="173"/>
      <c r="B46" s="197" t="s">
        <v>176</v>
      </c>
      <c r="C46" s="198">
        <v>0</v>
      </c>
      <c r="D46" s="198">
        <v>0</v>
      </c>
      <c r="E46" s="198">
        <v>0</v>
      </c>
      <c r="F46" s="198">
        <v>0</v>
      </c>
      <c r="G46" s="198">
        <v>0</v>
      </c>
      <c r="H46" s="198">
        <v>0</v>
      </c>
      <c r="I46" s="198">
        <v>0</v>
      </c>
      <c r="J46" s="198">
        <v>0</v>
      </c>
      <c r="K46" s="198">
        <v>0</v>
      </c>
      <c r="L46" s="198">
        <v>0</v>
      </c>
      <c r="M46" s="198">
        <v>81</v>
      </c>
      <c r="N46" s="198">
        <v>0</v>
      </c>
      <c r="O46" s="198">
        <v>0</v>
      </c>
      <c r="P46" s="198">
        <v>0</v>
      </c>
      <c r="Q46" s="198">
        <v>0</v>
      </c>
      <c r="R46" s="198">
        <v>0</v>
      </c>
      <c r="S46" s="198">
        <v>77.8</v>
      </c>
      <c r="T46" s="198">
        <v>0</v>
      </c>
      <c r="U46" s="198">
        <v>0</v>
      </c>
      <c r="V46" s="198">
        <v>0</v>
      </c>
      <c r="W46" s="198">
        <v>0</v>
      </c>
      <c r="X46" s="198">
        <v>68.2</v>
      </c>
      <c r="Y46" s="198">
        <v>0</v>
      </c>
      <c r="Z46" s="198">
        <v>0</v>
      </c>
      <c r="AA46" s="198">
        <v>0</v>
      </c>
      <c r="AB46" s="198">
        <v>0</v>
      </c>
      <c r="AC46" s="198">
        <v>0</v>
      </c>
      <c r="AD46" s="198">
        <v>0</v>
      </c>
      <c r="AE46" s="198">
        <v>0</v>
      </c>
      <c r="AF46" s="198">
        <v>0</v>
      </c>
      <c r="AG46" s="198">
        <v>0</v>
      </c>
      <c r="AH46" s="198">
        <v>0</v>
      </c>
      <c r="AI46" s="198">
        <v>0</v>
      </c>
      <c r="AJ46" s="198">
        <v>0</v>
      </c>
      <c r="AK46" s="198">
        <v>0</v>
      </c>
      <c r="AL46" s="198">
        <v>0</v>
      </c>
      <c r="AM46" s="198">
        <v>0</v>
      </c>
      <c r="AN46" s="198">
        <v>0</v>
      </c>
      <c r="AO46" s="198">
        <v>0</v>
      </c>
      <c r="AP46" s="198">
        <v>0</v>
      </c>
      <c r="AQ46" s="198">
        <v>0</v>
      </c>
      <c r="AR46" s="198">
        <v>0</v>
      </c>
      <c r="AS46" s="198">
        <v>2.4</v>
      </c>
      <c r="AT46" s="198">
        <v>0</v>
      </c>
      <c r="AU46" s="198">
        <v>0.2</v>
      </c>
      <c r="AV46" s="198">
        <v>0</v>
      </c>
      <c r="AW46" s="198">
        <v>0</v>
      </c>
      <c r="AX46" s="198">
        <v>0</v>
      </c>
      <c r="AY46" s="198">
        <v>0</v>
      </c>
      <c r="AZ46" s="198">
        <v>0</v>
      </c>
      <c r="BA46" s="198">
        <v>0.2</v>
      </c>
      <c r="BB46" s="198">
        <v>0</v>
      </c>
      <c r="BC46" s="198">
        <v>0</v>
      </c>
      <c r="BD46" s="198">
        <v>0</v>
      </c>
      <c r="BE46" s="198">
        <v>0</v>
      </c>
      <c r="BF46" s="198">
        <v>0</v>
      </c>
      <c r="BG46" s="198">
        <v>0.1</v>
      </c>
      <c r="BH46" s="198">
        <v>0</v>
      </c>
      <c r="BI46" s="198">
        <v>0</v>
      </c>
      <c r="BJ46" s="198">
        <v>0.1</v>
      </c>
      <c r="BK46" s="198">
        <v>0</v>
      </c>
      <c r="BL46" s="198">
        <v>0</v>
      </c>
      <c r="BM46" s="198">
        <v>0</v>
      </c>
      <c r="BN46" s="198">
        <v>0</v>
      </c>
      <c r="BO46" s="198">
        <v>0</v>
      </c>
      <c r="BP46" s="198">
        <v>0</v>
      </c>
      <c r="BQ46" s="198">
        <v>0</v>
      </c>
      <c r="BR46" s="198">
        <v>0</v>
      </c>
      <c r="BS46" s="198">
        <v>0</v>
      </c>
      <c r="BT46" s="198">
        <v>0</v>
      </c>
      <c r="BU46" s="198">
        <v>0</v>
      </c>
      <c r="BV46" s="198">
        <v>0</v>
      </c>
      <c r="BW46" s="198">
        <v>0</v>
      </c>
      <c r="BX46" s="198">
        <v>0</v>
      </c>
      <c r="BY46" s="198">
        <v>0</v>
      </c>
      <c r="BZ46" s="198">
        <v>0</v>
      </c>
      <c r="CA46" s="198">
        <v>0</v>
      </c>
      <c r="CB46" s="198">
        <v>0</v>
      </c>
      <c r="CC46" s="198">
        <v>0</v>
      </c>
      <c r="CD46" s="198">
        <v>0</v>
      </c>
      <c r="CE46" s="198">
        <v>0</v>
      </c>
      <c r="CF46" s="198">
        <v>0</v>
      </c>
      <c r="CG46" s="198">
        <v>0</v>
      </c>
      <c r="CH46" s="198">
        <v>0</v>
      </c>
      <c r="CI46" s="198">
        <v>0</v>
      </c>
      <c r="CJ46" s="198">
        <v>0</v>
      </c>
      <c r="CK46" s="88"/>
    </row>
    <row r="47" spans="1:89" x14ac:dyDescent="0.3">
      <c r="A47" s="173"/>
      <c r="B47" s="197" t="s">
        <v>169</v>
      </c>
      <c r="C47" s="198">
        <v>0</v>
      </c>
      <c r="D47" s="198">
        <v>0</v>
      </c>
      <c r="E47" s="198">
        <v>0</v>
      </c>
      <c r="F47" s="198">
        <v>0</v>
      </c>
      <c r="G47" s="198">
        <v>0</v>
      </c>
      <c r="H47" s="198">
        <v>0</v>
      </c>
      <c r="I47" s="198">
        <v>0</v>
      </c>
      <c r="J47" s="198">
        <v>0</v>
      </c>
      <c r="K47" s="198">
        <v>592.5</v>
      </c>
      <c r="L47" s="198">
        <v>243</v>
      </c>
      <c r="M47" s="198">
        <v>151</v>
      </c>
      <c r="N47" s="198">
        <v>1275</v>
      </c>
      <c r="O47" s="198">
        <v>0</v>
      </c>
      <c r="P47" s="198">
        <v>0</v>
      </c>
      <c r="Q47" s="198">
        <v>578.70000000000005</v>
      </c>
      <c r="R47" s="198">
        <v>210.2</v>
      </c>
      <c r="S47" s="198">
        <v>0</v>
      </c>
      <c r="T47" s="198">
        <v>600.70000000000005</v>
      </c>
      <c r="U47" s="198">
        <v>0</v>
      </c>
      <c r="V47" s="198">
        <v>0</v>
      </c>
      <c r="W47" s="198">
        <v>0</v>
      </c>
      <c r="X47" s="198">
        <v>0</v>
      </c>
      <c r="Y47" s="198">
        <v>0</v>
      </c>
      <c r="Z47" s="198">
        <v>0</v>
      </c>
      <c r="AA47" s="198">
        <v>0</v>
      </c>
      <c r="AB47" s="198">
        <v>0</v>
      </c>
      <c r="AC47" s="198">
        <v>0</v>
      </c>
      <c r="AD47" s="198">
        <v>0</v>
      </c>
      <c r="AE47" s="198">
        <v>0</v>
      </c>
      <c r="AF47" s="198">
        <v>0</v>
      </c>
      <c r="AG47" s="198">
        <v>0</v>
      </c>
      <c r="AH47" s="198">
        <v>0</v>
      </c>
      <c r="AI47" s="198">
        <v>0</v>
      </c>
      <c r="AJ47" s="198">
        <v>0</v>
      </c>
      <c r="AK47" s="198">
        <v>0</v>
      </c>
      <c r="AL47" s="198">
        <v>0</v>
      </c>
      <c r="AM47" s="198">
        <v>0</v>
      </c>
      <c r="AN47" s="198">
        <v>0</v>
      </c>
      <c r="AO47" s="198">
        <v>0</v>
      </c>
      <c r="AP47" s="198">
        <v>0</v>
      </c>
      <c r="AQ47" s="198">
        <v>0</v>
      </c>
      <c r="AR47" s="198">
        <v>0</v>
      </c>
      <c r="AS47" s="198">
        <v>0</v>
      </c>
      <c r="AT47" s="198">
        <v>0</v>
      </c>
      <c r="AU47" s="198">
        <v>0</v>
      </c>
      <c r="AV47" s="198">
        <v>0</v>
      </c>
      <c r="AW47" s="198">
        <v>0</v>
      </c>
      <c r="AX47" s="198">
        <v>0</v>
      </c>
      <c r="AY47" s="198">
        <v>0</v>
      </c>
      <c r="AZ47" s="198">
        <v>0</v>
      </c>
      <c r="BA47" s="198">
        <v>0</v>
      </c>
      <c r="BB47" s="198">
        <v>0</v>
      </c>
      <c r="BC47" s="198">
        <v>0</v>
      </c>
      <c r="BD47" s="198">
        <v>0</v>
      </c>
      <c r="BE47" s="198">
        <v>0</v>
      </c>
      <c r="BF47" s="198">
        <v>0</v>
      </c>
      <c r="BG47" s="198">
        <v>0</v>
      </c>
      <c r="BH47" s="198">
        <v>0</v>
      </c>
      <c r="BI47" s="198">
        <v>0</v>
      </c>
      <c r="BJ47" s="198">
        <v>0</v>
      </c>
      <c r="BK47" s="198">
        <v>0</v>
      </c>
      <c r="BL47" s="198">
        <v>0</v>
      </c>
      <c r="BM47" s="198">
        <v>0</v>
      </c>
      <c r="BN47" s="198">
        <v>0</v>
      </c>
      <c r="BO47" s="198">
        <v>0</v>
      </c>
      <c r="BP47" s="198">
        <v>0</v>
      </c>
      <c r="BQ47" s="198">
        <v>0</v>
      </c>
      <c r="BR47" s="198">
        <v>0</v>
      </c>
      <c r="BS47" s="198">
        <v>0</v>
      </c>
      <c r="BT47" s="198">
        <v>0</v>
      </c>
      <c r="BU47" s="198">
        <v>0</v>
      </c>
      <c r="BV47" s="198">
        <v>0</v>
      </c>
      <c r="BW47" s="198">
        <v>0</v>
      </c>
      <c r="BX47" s="198">
        <v>0</v>
      </c>
      <c r="BY47" s="198">
        <v>0</v>
      </c>
      <c r="BZ47" s="198">
        <v>0</v>
      </c>
      <c r="CA47" s="198">
        <v>0</v>
      </c>
      <c r="CB47" s="198">
        <v>0</v>
      </c>
      <c r="CC47" s="198">
        <v>0</v>
      </c>
      <c r="CD47" s="198">
        <v>0</v>
      </c>
      <c r="CE47" s="198">
        <v>0</v>
      </c>
      <c r="CF47" s="198">
        <v>0</v>
      </c>
      <c r="CG47" s="198">
        <v>0</v>
      </c>
      <c r="CH47" s="198">
        <v>0</v>
      </c>
      <c r="CI47" s="198">
        <v>0</v>
      </c>
      <c r="CJ47" s="198">
        <v>0</v>
      </c>
      <c r="CK47" s="88"/>
    </row>
    <row r="48" spans="1:89" x14ac:dyDescent="0.3">
      <c r="A48" s="173"/>
      <c r="B48" s="197" t="s">
        <v>168</v>
      </c>
      <c r="C48" s="198">
        <v>0</v>
      </c>
      <c r="D48" s="198">
        <v>0</v>
      </c>
      <c r="E48" s="198">
        <v>0</v>
      </c>
      <c r="F48" s="198">
        <v>0</v>
      </c>
      <c r="G48" s="198">
        <v>0</v>
      </c>
      <c r="H48" s="198">
        <v>0</v>
      </c>
      <c r="I48" s="198">
        <v>0</v>
      </c>
      <c r="J48" s="198">
        <v>0</v>
      </c>
      <c r="K48" s="198">
        <v>275</v>
      </c>
      <c r="L48" s="198">
        <v>233</v>
      </c>
      <c r="M48" s="198">
        <v>349</v>
      </c>
      <c r="N48" s="198">
        <v>156</v>
      </c>
      <c r="O48" s="198">
        <v>0</v>
      </c>
      <c r="P48" s="198">
        <v>0</v>
      </c>
      <c r="Q48" s="198">
        <v>207.5</v>
      </c>
      <c r="R48" s="198">
        <v>360.4</v>
      </c>
      <c r="S48" s="198">
        <v>389.7</v>
      </c>
      <c r="T48" s="198">
        <v>0</v>
      </c>
      <c r="U48" s="198">
        <v>0</v>
      </c>
      <c r="V48" s="198">
        <v>0</v>
      </c>
      <c r="W48" s="198">
        <v>0</v>
      </c>
      <c r="X48" s="198">
        <v>702.3</v>
      </c>
      <c r="Y48" s="198">
        <v>0</v>
      </c>
      <c r="Z48" s="198">
        <v>0</v>
      </c>
      <c r="AA48" s="198">
        <v>0</v>
      </c>
      <c r="AB48" s="198">
        <v>0</v>
      </c>
      <c r="AC48" s="198">
        <v>211.1</v>
      </c>
      <c r="AD48" s="198">
        <v>774.5</v>
      </c>
      <c r="AE48" s="198">
        <v>0</v>
      </c>
      <c r="AF48" s="198">
        <v>0</v>
      </c>
      <c r="AG48" s="198">
        <v>0</v>
      </c>
      <c r="AH48" s="198">
        <v>0</v>
      </c>
      <c r="AI48" s="198">
        <v>214.7</v>
      </c>
      <c r="AJ48" s="198">
        <v>786.2</v>
      </c>
      <c r="AK48" s="198">
        <v>0</v>
      </c>
      <c r="AL48" s="198">
        <v>0</v>
      </c>
      <c r="AM48" s="198">
        <v>0</v>
      </c>
      <c r="AN48" s="198">
        <v>0</v>
      </c>
      <c r="AO48" s="198">
        <v>1018.1</v>
      </c>
      <c r="AP48" s="198">
        <v>0</v>
      </c>
      <c r="AQ48" s="198">
        <v>0</v>
      </c>
      <c r="AR48" s="198">
        <v>0</v>
      </c>
      <c r="AS48" s="198">
        <v>0</v>
      </c>
      <c r="AT48" s="198">
        <v>0</v>
      </c>
      <c r="AU48" s="198">
        <v>1035.7</v>
      </c>
      <c r="AV48" s="198">
        <v>0</v>
      </c>
      <c r="AW48" s="198">
        <v>0</v>
      </c>
      <c r="AX48" s="198">
        <v>0</v>
      </c>
      <c r="AY48" s="198">
        <v>0</v>
      </c>
      <c r="AZ48" s="198">
        <v>0</v>
      </c>
      <c r="BA48" s="198">
        <v>1053.5</v>
      </c>
      <c r="BB48" s="198">
        <v>0</v>
      </c>
      <c r="BC48" s="198">
        <v>0</v>
      </c>
      <c r="BD48" s="198">
        <v>0</v>
      </c>
      <c r="BE48" s="198">
        <v>0</v>
      </c>
      <c r="BF48" s="198">
        <v>1071.5999999999999</v>
      </c>
      <c r="BG48" s="198">
        <v>0</v>
      </c>
      <c r="BH48" s="198">
        <v>0</v>
      </c>
      <c r="BI48" s="198">
        <v>0</v>
      </c>
      <c r="BJ48" s="198">
        <v>0</v>
      </c>
      <c r="BK48" s="198">
        <v>0</v>
      </c>
      <c r="BL48" s="198">
        <v>1084.8</v>
      </c>
      <c r="BM48" s="198">
        <v>0</v>
      </c>
      <c r="BN48" s="198">
        <v>0</v>
      </c>
      <c r="BO48" s="198">
        <v>0</v>
      </c>
      <c r="BP48" s="198">
        <v>0</v>
      </c>
      <c r="BQ48" s="198">
        <v>0</v>
      </c>
      <c r="BR48" s="198">
        <v>1092.8</v>
      </c>
      <c r="BS48" s="198">
        <v>0</v>
      </c>
      <c r="BT48" s="198">
        <v>0</v>
      </c>
      <c r="BU48" s="198">
        <v>0</v>
      </c>
      <c r="BV48" s="198">
        <v>0</v>
      </c>
      <c r="BW48" s="198">
        <v>0</v>
      </c>
      <c r="BX48" s="198">
        <v>1109.0999999999999</v>
      </c>
      <c r="BY48" s="198">
        <v>0</v>
      </c>
      <c r="BZ48" s="198">
        <v>0</v>
      </c>
      <c r="CA48" s="198">
        <v>0</v>
      </c>
      <c r="CB48" s="198">
        <v>0</v>
      </c>
      <c r="CC48" s="198">
        <v>0</v>
      </c>
      <c r="CD48" s="198">
        <v>0</v>
      </c>
      <c r="CE48" s="198">
        <v>0</v>
      </c>
      <c r="CF48" s="198">
        <v>0</v>
      </c>
      <c r="CG48" s="198">
        <v>0</v>
      </c>
      <c r="CH48" s="198">
        <v>0</v>
      </c>
      <c r="CI48" s="198">
        <v>0</v>
      </c>
      <c r="CJ48" s="198">
        <v>1126</v>
      </c>
      <c r="CK48" s="88"/>
    </row>
    <row r="49" spans="1:89" x14ac:dyDescent="0.3">
      <c r="A49" s="173"/>
      <c r="B49" s="197" t="s">
        <v>177</v>
      </c>
      <c r="C49" s="198">
        <v>0</v>
      </c>
      <c r="D49" s="198">
        <v>0</v>
      </c>
      <c r="E49" s="198">
        <v>0</v>
      </c>
      <c r="F49" s="198">
        <v>0</v>
      </c>
      <c r="G49" s="198">
        <v>0</v>
      </c>
      <c r="H49" s="198">
        <v>0</v>
      </c>
      <c r="I49" s="198">
        <v>0</v>
      </c>
      <c r="J49" s="198">
        <v>0</v>
      </c>
      <c r="K49" s="198">
        <v>0</v>
      </c>
      <c r="L49" s="198">
        <v>0</v>
      </c>
      <c r="M49" s="198">
        <v>24</v>
      </c>
      <c r="N49" s="198">
        <v>0</v>
      </c>
      <c r="O49" s="198">
        <v>0</v>
      </c>
      <c r="P49" s="198">
        <v>0</v>
      </c>
      <c r="Q49" s="198">
        <v>0</v>
      </c>
      <c r="R49" s="198">
        <v>0</v>
      </c>
      <c r="S49" s="198">
        <v>22.8</v>
      </c>
      <c r="T49" s="198">
        <v>0</v>
      </c>
      <c r="U49" s="198">
        <v>0</v>
      </c>
      <c r="V49" s="198">
        <v>1.3</v>
      </c>
      <c r="W49" s="198">
        <v>0</v>
      </c>
      <c r="X49" s="198">
        <v>0</v>
      </c>
      <c r="Y49" s="198">
        <v>0</v>
      </c>
      <c r="Z49" s="198">
        <v>0</v>
      </c>
      <c r="AA49" s="198">
        <v>0</v>
      </c>
      <c r="AB49" s="198">
        <v>0</v>
      </c>
      <c r="AC49" s="198">
        <v>0</v>
      </c>
      <c r="AD49" s="198">
        <v>0</v>
      </c>
      <c r="AE49" s="198">
        <v>0</v>
      </c>
      <c r="AF49" s="198">
        <v>0</v>
      </c>
      <c r="AG49" s="198">
        <v>0</v>
      </c>
      <c r="AH49" s="198">
        <v>0</v>
      </c>
      <c r="AI49" s="198">
        <v>0</v>
      </c>
      <c r="AJ49" s="198">
        <v>0</v>
      </c>
      <c r="AK49" s="198">
        <v>0</v>
      </c>
      <c r="AL49" s="198">
        <v>0</v>
      </c>
      <c r="AM49" s="198">
        <v>0</v>
      </c>
      <c r="AN49" s="198">
        <v>0</v>
      </c>
      <c r="AO49" s="198">
        <v>0</v>
      </c>
      <c r="AP49" s="198">
        <v>0</v>
      </c>
      <c r="AQ49" s="198">
        <v>0</v>
      </c>
      <c r="AR49" s="198">
        <v>0</v>
      </c>
      <c r="AS49" s="198">
        <v>0</v>
      </c>
      <c r="AT49" s="198">
        <v>0</v>
      </c>
      <c r="AU49" s="198">
        <v>0</v>
      </c>
      <c r="AV49" s="198">
        <v>0</v>
      </c>
      <c r="AW49" s="198">
        <v>0</v>
      </c>
      <c r="AX49" s="198">
        <v>0</v>
      </c>
      <c r="AY49" s="198">
        <v>0</v>
      </c>
      <c r="AZ49" s="198">
        <v>0</v>
      </c>
      <c r="BA49" s="198">
        <v>0</v>
      </c>
      <c r="BB49" s="198">
        <v>0</v>
      </c>
      <c r="BC49" s="198">
        <v>0</v>
      </c>
      <c r="BD49" s="198">
        <v>0</v>
      </c>
      <c r="BE49" s="198">
        <v>0</v>
      </c>
      <c r="BF49" s="198">
        <v>0</v>
      </c>
      <c r="BG49" s="198">
        <v>0</v>
      </c>
      <c r="BH49" s="198">
        <v>0</v>
      </c>
      <c r="BI49" s="198">
        <v>0</v>
      </c>
      <c r="BJ49" s="198">
        <v>0</v>
      </c>
      <c r="BK49" s="198">
        <v>0</v>
      </c>
      <c r="BL49" s="198">
        <v>0</v>
      </c>
      <c r="BM49" s="198">
        <v>0</v>
      </c>
      <c r="BN49" s="198">
        <v>0</v>
      </c>
      <c r="BO49" s="198">
        <v>0</v>
      </c>
      <c r="BP49" s="198">
        <v>0</v>
      </c>
      <c r="BQ49" s="198">
        <v>0</v>
      </c>
      <c r="BR49" s="198">
        <v>0</v>
      </c>
      <c r="BS49" s="198">
        <v>0</v>
      </c>
      <c r="BT49" s="198">
        <v>0</v>
      </c>
      <c r="BU49" s="198">
        <v>0</v>
      </c>
      <c r="BV49" s="198">
        <v>0</v>
      </c>
      <c r="BW49" s="198">
        <v>0</v>
      </c>
      <c r="BX49" s="198">
        <v>0</v>
      </c>
      <c r="BY49" s="198">
        <v>0</v>
      </c>
      <c r="BZ49" s="198">
        <v>0</v>
      </c>
      <c r="CA49" s="198">
        <v>0</v>
      </c>
      <c r="CB49" s="198">
        <v>0</v>
      </c>
      <c r="CC49" s="198">
        <v>0</v>
      </c>
      <c r="CD49" s="198">
        <v>0</v>
      </c>
      <c r="CE49" s="198">
        <v>0</v>
      </c>
      <c r="CF49" s="198">
        <v>0</v>
      </c>
      <c r="CG49" s="198">
        <v>0</v>
      </c>
      <c r="CH49" s="198">
        <v>0</v>
      </c>
      <c r="CI49" s="198">
        <v>0</v>
      </c>
      <c r="CJ49" s="198">
        <v>0</v>
      </c>
      <c r="CK49" s="88"/>
    </row>
    <row r="50" spans="1:89" x14ac:dyDescent="0.3">
      <c r="A50" s="173"/>
      <c r="B50" s="201" t="s">
        <v>178</v>
      </c>
      <c r="C50" s="198">
        <v>0</v>
      </c>
      <c r="D50" s="198">
        <v>0</v>
      </c>
      <c r="E50" s="198">
        <v>0</v>
      </c>
      <c r="F50" s="198">
        <v>0</v>
      </c>
      <c r="G50" s="198">
        <v>0</v>
      </c>
      <c r="H50" s="198">
        <v>0</v>
      </c>
      <c r="I50" s="198">
        <v>0</v>
      </c>
      <c r="J50" s="198">
        <v>0</v>
      </c>
      <c r="K50" s="198">
        <v>0</v>
      </c>
      <c r="L50" s="198">
        <v>0</v>
      </c>
      <c r="M50" s="202">
        <v>6</v>
      </c>
      <c r="N50" s="202">
        <v>0</v>
      </c>
      <c r="O50" s="202">
        <v>0</v>
      </c>
      <c r="P50" s="202">
        <v>0</v>
      </c>
      <c r="Q50" s="202">
        <v>0</v>
      </c>
      <c r="R50" s="202">
        <v>0</v>
      </c>
      <c r="S50" s="202">
        <v>5.7</v>
      </c>
      <c r="T50" s="202">
        <v>0</v>
      </c>
      <c r="U50" s="202">
        <v>0</v>
      </c>
      <c r="V50" s="202">
        <v>0.3</v>
      </c>
      <c r="W50" s="198">
        <v>0</v>
      </c>
      <c r="X50" s="198">
        <v>5.4</v>
      </c>
      <c r="Y50" s="198">
        <v>0</v>
      </c>
      <c r="Z50" s="198">
        <v>0</v>
      </c>
      <c r="AA50" s="198">
        <v>0.6</v>
      </c>
      <c r="AB50" s="198">
        <v>0</v>
      </c>
      <c r="AC50" s="198">
        <v>0</v>
      </c>
      <c r="AD50" s="198">
        <v>4.9000000000000004</v>
      </c>
      <c r="AE50" s="198">
        <v>0</v>
      </c>
      <c r="AF50" s="198">
        <v>0</v>
      </c>
      <c r="AG50" s="198">
        <v>0.9</v>
      </c>
      <c r="AH50" s="198">
        <v>0</v>
      </c>
      <c r="AI50" s="198">
        <v>0</v>
      </c>
      <c r="AJ50" s="198">
        <v>5</v>
      </c>
      <c r="AK50" s="198">
        <v>0</v>
      </c>
      <c r="AL50" s="198">
        <v>0</v>
      </c>
      <c r="AM50" s="198">
        <v>1.3</v>
      </c>
      <c r="AN50" s="198">
        <v>0</v>
      </c>
      <c r="AO50" s="198">
        <v>0</v>
      </c>
      <c r="AP50" s="198">
        <v>4.9000000000000004</v>
      </c>
      <c r="AQ50" s="198">
        <v>0</v>
      </c>
      <c r="AR50" s="198">
        <v>0</v>
      </c>
      <c r="AS50" s="198">
        <v>1.6</v>
      </c>
      <c r="AT50" s="198">
        <v>0</v>
      </c>
      <c r="AU50" s="198">
        <v>4.5999999999999996</v>
      </c>
      <c r="AV50" s="198">
        <v>0</v>
      </c>
      <c r="AW50" s="198">
        <v>0</v>
      </c>
      <c r="AX50" s="198">
        <v>2</v>
      </c>
      <c r="AY50" s="198">
        <v>0</v>
      </c>
      <c r="AZ50" s="198">
        <v>0</v>
      </c>
      <c r="BA50" s="198">
        <v>4.0999999999999996</v>
      </c>
      <c r="BB50" s="198">
        <v>0</v>
      </c>
      <c r="BC50" s="198">
        <v>0</v>
      </c>
      <c r="BD50" s="198">
        <v>2.2000000000000002</v>
      </c>
      <c r="BE50" s="198">
        <v>0</v>
      </c>
      <c r="BF50" s="198">
        <v>0</v>
      </c>
      <c r="BG50" s="198">
        <v>3.3</v>
      </c>
      <c r="BH50" s="198">
        <v>0</v>
      </c>
      <c r="BI50" s="198">
        <v>0</v>
      </c>
      <c r="BJ50" s="198">
        <v>2.8</v>
      </c>
      <c r="BK50" s="198">
        <v>0</v>
      </c>
      <c r="BL50" s="198">
        <v>0</v>
      </c>
      <c r="BM50" s="198">
        <v>0</v>
      </c>
      <c r="BN50" s="198">
        <v>0</v>
      </c>
      <c r="BO50" s="198">
        <v>0</v>
      </c>
      <c r="BP50" s="198">
        <v>0</v>
      </c>
      <c r="BQ50" s="198">
        <v>0</v>
      </c>
      <c r="BR50" s="198">
        <v>0</v>
      </c>
      <c r="BS50" s="198">
        <v>0</v>
      </c>
      <c r="BT50" s="198">
        <v>0</v>
      </c>
      <c r="BU50" s="198">
        <v>0</v>
      </c>
      <c r="BV50" s="198">
        <v>0</v>
      </c>
      <c r="BW50" s="198">
        <v>0</v>
      </c>
      <c r="BX50" s="198">
        <v>0</v>
      </c>
      <c r="BY50" s="198">
        <v>0</v>
      </c>
      <c r="BZ50" s="198">
        <v>0</v>
      </c>
      <c r="CA50" s="198">
        <v>0</v>
      </c>
      <c r="CB50" s="198">
        <v>0</v>
      </c>
      <c r="CC50" s="198">
        <v>0</v>
      </c>
      <c r="CD50" s="198">
        <v>0</v>
      </c>
      <c r="CE50" s="198">
        <v>0</v>
      </c>
      <c r="CF50" s="198">
        <v>0</v>
      </c>
      <c r="CG50" s="198">
        <v>0</v>
      </c>
      <c r="CH50" s="198">
        <v>0</v>
      </c>
      <c r="CI50" s="198">
        <v>0</v>
      </c>
      <c r="CJ50" s="198">
        <v>0</v>
      </c>
      <c r="CK50" s="88"/>
    </row>
    <row r="51" spans="1:89" x14ac:dyDescent="0.3">
      <c r="A51" s="173"/>
      <c r="B51" s="197" t="s">
        <v>201</v>
      </c>
      <c r="C51" s="198">
        <v>0</v>
      </c>
      <c r="D51" s="198">
        <v>0</v>
      </c>
      <c r="E51" s="198">
        <v>0</v>
      </c>
      <c r="F51" s="198">
        <v>0</v>
      </c>
      <c r="G51" s="198">
        <v>0</v>
      </c>
      <c r="H51" s="198">
        <v>0</v>
      </c>
      <c r="I51" s="198">
        <v>0</v>
      </c>
      <c r="J51" s="198">
        <v>0</v>
      </c>
      <c r="K51" s="198">
        <v>0</v>
      </c>
      <c r="L51" s="198">
        <v>0</v>
      </c>
      <c r="M51" s="198">
        <v>36</v>
      </c>
      <c r="N51" s="198">
        <v>30</v>
      </c>
      <c r="O51" s="198">
        <v>0</v>
      </c>
      <c r="P51" s="198">
        <v>0</v>
      </c>
      <c r="Q51" s="198">
        <v>0</v>
      </c>
      <c r="R51" s="198">
        <v>66.8</v>
      </c>
      <c r="S51" s="198">
        <v>0</v>
      </c>
      <c r="T51" s="198">
        <v>0</v>
      </c>
      <c r="U51" s="198">
        <v>0</v>
      </c>
      <c r="V51" s="198">
        <v>0</v>
      </c>
      <c r="W51" s="198">
        <v>0</v>
      </c>
      <c r="X51" s="198">
        <v>67.7</v>
      </c>
      <c r="Y51" s="198">
        <v>0</v>
      </c>
      <c r="Z51" s="198">
        <v>0</v>
      </c>
      <c r="AA51" s="198">
        <v>0</v>
      </c>
      <c r="AB51" s="198">
        <v>0</v>
      </c>
      <c r="AC51" s="198">
        <v>0</v>
      </c>
      <c r="AD51" s="198">
        <v>68.900000000000006</v>
      </c>
      <c r="AE51" s="198">
        <v>0</v>
      </c>
      <c r="AF51" s="198">
        <v>0</v>
      </c>
      <c r="AG51" s="198">
        <v>0</v>
      </c>
      <c r="AH51" s="198">
        <v>0</v>
      </c>
      <c r="AI51" s="198">
        <v>0</v>
      </c>
      <c r="AJ51" s="198">
        <v>69.900000000000006</v>
      </c>
      <c r="AK51" s="198">
        <v>0</v>
      </c>
      <c r="AL51" s="198">
        <v>0</v>
      </c>
      <c r="AM51" s="198">
        <v>0</v>
      </c>
      <c r="AN51" s="198">
        <v>0</v>
      </c>
      <c r="AO51" s="198">
        <v>71.099999999999994</v>
      </c>
      <c r="AP51" s="198">
        <v>0</v>
      </c>
      <c r="AQ51" s="198">
        <v>0</v>
      </c>
      <c r="AR51" s="198">
        <v>0</v>
      </c>
      <c r="AS51" s="198">
        <v>0</v>
      </c>
      <c r="AT51" s="198">
        <v>0</v>
      </c>
      <c r="AU51" s="198">
        <v>72.400000000000006</v>
      </c>
      <c r="AV51" s="198">
        <v>0</v>
      </c>
      <c r="AW51" s="198">
        <v>0</v>
      </c>
      <c r="AX51" s="198">
        <v>0</v>
      </c>
      <c r="AY51" s="198">
        <v>0</v>
      </c>
      <c r="AZ51" s="198">
        <v>0</v>
      </c>
      <c r="BA51" s="198">
        <v>73.599999999999994</v>
      </c>
      <c r="BB51" s="198">
        <v>0</v>
      </c>
      <c r="BC51" s="198">
        <v>0</v>
      </c>
      <c r="BD51" s="198">
        <v>0</v>
      </c>
      <c r="BE51" s="198">
        <v>0</v>
      </c>
      <c r="BF51" s="198">
        <v>74.900000000000006</v>
      </c>
      <c r="BG51" s="198">
        <v>0</v>
      </c>
      <c r="BH51" s="198">
        <v>0</v>
      </c>
      <c r="BI51" s="198">
        <v>0</v>
      </c>
      <c r="BJ51" s="198">
        <v>0</v>
      </c>
      <c r="BK51" s="198">
        <v>0</v>
      </c>
      <c r="BL51" s="198">
        <v>75.8</v>
      </c>
      <c r="BM51" s="198">
        <v>0</v>
      </c>
      <c r="BN51" s="198">
        <v>0</v>
      </c>
      <c r="BO51" s="198">
        <v>0</v>
      </c>
      <c r="BP51" s="198">
        <v>0</v>
      </c>
      <c r="BQ51" s="198">
        <v>0</v>
      </c>
      <c r="BR51" s="198">
        <v>76.400000000000006</v>
      </c>
      <c r="BS51" s="198">
        <v>0</v>
      </c>
      <c r="BT51" s="198">
        <v>0</v>
      </c>
      <c r="BU51" s="198">
        <v>0</v>
      </c>
      <c r="BV51" s="198">
        <v>0</v>
      </c>
      <c r="BW51" s="198">
        <v>0</v>
      </c>
      <c r="BX51" s="198">
        <v>77.5</v>
      </c>
      <c r="BY51" s="198">
        <v>0</v>
      </c>
      <c r="BZ51" s="198">
        <v>0</v>
      </c>
      <c r="CA51" s="198">
        <v>0</v>
      </c>
      <c r="CB51" s="198">
        <v>0</v>
      </c>
      <c r="CC51" s="198">
        <v>0</v>
      </c>
      <c r="CD51" s="198">
        <v>0</v>
      </c>
      <c r="CE51" s="198">
        <v>0</v>
      </c>
      <c r="CF51" s="198">
        <v>0</v>
      </c>
      <c r="CG51" s="198">
        <v>0</v>
      </c>
      <c r="CH51" s="198">
        <v>0</v>
      </c>
      <c r="CI51" s="198">
        <v>0</v>
      </c>
      <c r="CJ51" s="198">
        <v>78.7</v>
      </c>
      <c r="CK51" s="88"/>
    </row>
    <row r="52" spans="1:89" x14ac:dyDescent="0.3">
      <c r="A52" s="173"/>
      <c r="B52" s="197" t="s">
        <v>179</v>
      </c>
      <c r="C52" s="198">
        <v>0</v>
      </c>
      <c r="D52" s="198">
        <v>0</v>
      </c>
      <c r="E52" s="198">
        <v>0</v>
      </c>
      <c r="F52" s="198">
        <v>0</v>
      </c>
      <c r="G52" s="198">
        <v>0</v>
      </c>
      <c r="H52" s="198">
        <v>0</v>
      </c>
      <c r="I52" s="198">
        <v>0</v>
      </c>
      <c r="J52" s="198">
        <v>0</v>
      </c>
      <c r="K52" s="198">
        <v>0</v>
      </c>
      <c r="L52" s="198">
        <v>0</v>
      </c>
      <c r="M52" s="198">
        <v>3</v>
      </c>
      <c r="N52" s="198">
        <v>0</v>
      </c>
      <c r="O52" s="198">
        <v>0</v>
      </c>
      <c r="P52" s="198">
        <v>0</v>
      </c>
      <c r="Q52" s="198">
        <v>0</v>
      </c>
      <c r="R52" s="198">
        <v>0</v>
      </c>
      <c r="S52" s="198">
        <v>2.5</v>
      </c>
      <c r="T52" s="198">
        <v>0</v>
      </c>
      <c r="U52" s="198">
        <v>0</v>
      </c>
      <c r="V52" s="198">
        <v>0.1</v>
      </c>
      <c r="W52" s="198">
        <v>0</v>
      </c>
      <c r="X52" s="198">
        <v>2.4</v>
      </c>
      <c r="Y52" s="198">
        <v>0</v>
      </c>
      <c r="Z52" s="198">
        <v>0</v>
      </c>
      <c r="AA52" s="198">
        <v>0.3</v>
      </c>
      <c r="AB52" s="198">
        <v>0</v>
      </c>
      <c r="AC52" s="198">
        <v>0</v>
      </c>
      <c r="AD52" s="198">
        <v>2.1</v>
      </c>
      <c r="AE52" s="198">
        <v>0</v>
      </c>
      <c r="AF52" s="198">
        <v>0</v>
      </c>
      <c r="AG52" s="198">
        <v>0.4</v>
      </c>
      <c r="AH52" s="198">
        <v>0</v>
      </c>
      <c r="AI52" s="198">
        <v>0</v>
      </c>
      <c r="AJ52" s="198">
        <v>2.2000000000000002</v>
      </c>
      <c r="AK52" s="198">
        <v>0</v>
      </c>
      <c r="AL52" s="198">
        <v>0</v>
      </c>
      <c r="AM52" s="198">
        <v>0.6</v>
      </c>
      <c r="AN52" s="198">
        <v>0</v>
      </c>
      <c r="AO52" s="198">
        <v>0</v>
      </c>
      <c r="AP52" s="198">
        <v>2.2000000000000002</v>
      </c>
      <c r="AQ52" s="198">
        <v>0</v>
      </c>
      <c r="AR52" s="198">
        <v>0</v>
      </c>
      <c r="AS52" s="198">
        <v>0.7</v>
      </c>
      <c r="AT52" s="198">
        <v>0</v>
      </c>
      <c r="AU52" s="198">
        <v>2</v>
      </c>
      <c r="AV52" s="198">
        <v>0</v>
      </c>
      <c r="AW52" s="198">
        <v>0</v>
      </c>
      <c r="AX52" s="198">
        <v>0.9</v>
      </c>
      <c r="AY52" s="198">
        <v>0</v>
      </c>
      <c r="AZ52" s="198">
        <v>0</v>
      </c>
      <c r="BA52" s="198">
        <v>1.8</v>
      </c>
      <c r="BB52" s="198">
        <v>0</v>
      </c>
      <c r="BC52" s="198">
        <v>0</v>
      </c>
      <c r="BD52" s="198">
        <v>1</v>
      </c>
      <c r="BE52" s="198">
        <v>0</v>
      </c>
      <c r="BF52" s="198">
        <v>0</v>
      </c>
      <c r="BG52" s="198">
        <v>1.5</v>
      </c>
      <c r="BH52" s="198">
        <v>0</v>
      </c>
      <c r="BI52" s="198">
        <v>0</v>
      </c>
      <c r="BJ52" s="198">
        <v>1.2</v>
      </c>
      <c r="BK52" s="198">
        <v>0</v>
      </c>
      <c r="BL52" s="198">
        <v>0</v>
      </c>
      <c r="BM52" s="198">
        <v>0</v>
      </c>
      <c r="BN52" s="198">
        <v>0</v>
      </c>
      <c r="BO52" s="198">
        <v>0</v>
      </c>
      <c r="BP52" s="198">
        <v>0</v>
      </c>
      <c r="BQ52" s="198">
        <v>0</v>
      </c>
      <c r="BR52" s="198">
        <v>0</v>
      </c>
      <c r="BS52" s="198">
        <v>0</v>
      </c>
      <c r="BT52" s="198">
        <v>0</v>
      </c>
      <c r="BU52" s="198">
        <v>0</v>
      </c>
      <c r="BV52" s="198">
        <v>0</v>
      </c>
      <c r="BW52" s="198">
        <v>0</v>
      </c>
      <c r="BX52" s="198">
        <v>0</v>
      </c>
      <c r="BY52" s="198">
        <v>0</v>
      </c>
      <c r="BZ52" s="198">
        <v>0</v>
      </c>
      <c r="CA52" s="198">
        <v>0</v>
      </c>
      <c r="CB52" s="198">
        <v>0</v>
      </c>
      <c r="CC52" s="198">
        <v>0</v>
      </c>
      <c r="CD52" s="198">
        <v>0</v>
      </c>
      <c r="CE52" s="198">
        <v>0</v>
      </c>
      <c r="CF52" s="198">
        <v>0</v>
      </c>
      <c r="CG52" s="198">
        <v>0</v>
      </c>
      <c r="CH52" s="198">
        <v>0</v>
      </c>
      <c r="CI52" s="198">
        <v>0</v>
      </c>
      <c r="CJ52" s="198">
        <v>0</v>
      </c>
      <c r="CK52" s="88"/>
    </row>
    <row r="53" spans="1:89" x14ac:dyDescent="0.3">
      <c r="A53" s="173"/>
      <c r="B53" s="197" t="s">
        <v>200</v>
      </c>
      <c r="C53" s="198">
        <v>0</v>
      </c>
      <c r="D53" s="198">
        <v>0</v>
      </c>
      <c r="E53" s="198">
        <v>0</v>
      </c>
      <c r="F53" s="198">
        <v>0</v>
      </c>
      <c r="G53" s="198">
        <v>0</v>
      </c>
      <c r="H53" s="198">
        <v>0</v>
      </c>
      <c r="I53" s="198">
        <v>0</v>
      </c>
      <c r="J53" s="198">
        <v>0</v>
      </c>
      <c r="K53" s="198">
        <v>0</v>
      </c>
      <c r="L53" s="198">
        <v>4</v>
      </c>
      <c r="M53" s="198">
        <v>0</v>
      </c>
      <c r="N53" s="198">
        <v>0</v>
      </c>
      <c r="O53" s="198">
        <v>0</v>
      </c>
      <c r="P53" s="198">
        <v>0</v>
      </c>
      <c r="Q53" s="198">
        <v>0</v>
      </c>
      <c r="R53" s="198">
        <v>4.2</v>
      </c>
      <c r="S53" s="198">
        <v>0</v>
      </c>
      <c r="T53" s="198">
        <v>0</v>
      </c>
      <c r="U53" s="198">
        <v>0</v>
      </c>
      <c r="V53" s="198">
        <v>0</v>
      </c>
      <c r="W53" s="198">
        <v>0</v>
      </c>
      <c r="X53" s="198">
        <v>4.3</v>
      </c>
      <c r="Y53" s="198">
        <v>0</v>
      </c>
      <c r="Z53" s="198">
        <v>0</v>
      </c>
      <c r="AA53" s="198">
        <v>0</v>
      </c>
      <c r="AB53" s="198">
        <v>0</v>
      </c>
      <c r="AC53" s="198">
        <v>0</v>
      </c>
      <c r="AD53" s="198">
        <v>4.4000000000000004</v>
      </c>
      <c r="AE53" s="198">
        <v>0</v>
      </c>
      <c r="AF53" s="198">
        <v>0</v>
      </c>
      <c r="AG53" s="198">
        <v>0</v>
      </c>
      <c r="AH53" s="198">
        <v>0</v>
      </c>
      <c r="AI53" s="198">
        <v>0</v>
      </c>
      <c r="AJ53" s="198">
        <v>4.5</v>
      </c>
      <c r="AK53" s="198">
        <v>0</v>
      </c>
      <c r="AL53" s="198">
        <v>0</v>
      </c>
      <c r="AM53" s="198">
        <v>0</v>
      </c>
      <c r="AN53" s="198">
        <v>0</v>
      </c>
      <c r="AO53" s="198">
        <v>4.5999999999999996</v>
      </c>
      <c r="AP53" s="198">
        <v>0</v>
      </c>
      <c r="AQ53" s="198">
        <v>0</v>
      </c>
      <c r="AR53" s="198">
        <v>0</v>
      </c>
      <c r="AS53" s="198">
        <v>0</v>
      </c>
      <c r="AT53" s="198">
        <v>0</v>
      </c>
      <c r="AU53" s="198">
        <v>4.5999999999999996</v>
      </c>
      <c r="AV53" s="198">
        <v>0</v>
      </c>
      <c r="AW53" s="198">
        <v>0</v>
      </c>
      <c r="AX53" s="198">
        <v>0</v>
      </c>
      <c r="AY53" s="198">
        <v>0</v>
      </c>
      <c r="AZ53" s="198">
        <v>0</v>
      </c>
      <c r="BA53" s="198">
        <v>4.7</v>
      </c>
      <c r="BB53" s="198">
        <v>0</v>
      </c>
      <c r="BC53" s="198">
        <v>0</v>
      </c>
      <c r="BD53" s="198">
        <v>0</v>
      </c>
      <c r="BE53" s="198">
        <v>0</v>
      </c>
      <c r="BF53" s="198">
        <v>4.8</v>
      </c>
      <c r="BG53" s="198">
        <v>0</v>
      </c>
      <c r="BH53" s="198">
        <v>0</v>
      </c>
      <c r="BI53" s="198">
        <v>0</v>
      </c>
      <c r="BJ53" s="198">
        <v>0</v>
      </c>
      <c r="BK53" s="198">
        <v>0</v>
      </c>
      <c r="BL53" s="198">
        <v>4.8</v>
      </c>
      <c r="BM53" s="198">
        <v>0</v>
      </c>
      <c r="BN53" s="198">
        <v>0</v>
      </c>
      <c r="BO53" s="198">
        <v>0</v>
      </c>
      <c r="BP53" s="198">
        <v>0</v>
      </c>
      <c r="BQ53" s="198">
        <v>0</v>
      </c>
      <c r="BR53" s="198">
        <v>4.9000000000000004</v>
      </c>
      <c r="BS53" s="198">
        <v>0</v>
      </c>
      <c r="BT53" s="198">
        <v>0</v>
      </c>
      <c r="BU53" s="198">
        <v>0</v>
      </c>
      <c r="BV53" s="198">
        <v>0</v>
      </c>
      <c r="BW53" s="198">
        <v>0</v>
      </c>
      <c r="BX53" s="198">
        <v>5</v>
      </c>
      <c r="BY53" s="198">
        <v>0</v>
      </c>
      <c r="BZ53" s="198">
        <v>0</v>
      </c>
      <c r="CA53" s="198">
        <v>0</v>
      </c>
      <c r="CB53" s="198">
        <v>0</v>
      </c>
      <c r="CC53" s="198">
        <v>0</v>
      </c>
      <c r="CD53" s="198">
        <v>0</v>
      </c>
      <c r="CE53" s="198">
        <v>0</v>
      </c>
      <c r="CF53" s="198">
        <v>0</v>
      </c>
      <c r="CG53" s="198">
        <v>0</v>
      </c>
      <c r="CH53" s="198">
        <v>0</v>
      </c>
      <c r="CI53" s="198">
        <v>0</v>
      </c>
      <c r="CJ53" s="198">
        <v>0</v>
      </c>
      <c r="CK53" s="88"/>
    </row>
    <row r="54" spans="1:89" x14ac:dyDescent="0.3">
      <c r="A54" s="173"/>
      <c r="B54" s="197" t="s">
        <v>225</v>
      </c>
      <c r="C54" s="198">
        <v>0</v>
      </c>
      <c r="D54" s="198">
        <v>0</v>
      </c>
      <c r="E54" s="198">
        <v>0</v>
      </c>
      <c r="F54" s="198">
        <v>0</v>
      </c>
      <c r="G54" s="198">
        <v>0</v>
      </c>
      <c r="H54" s="198">
        <v>0</v>
      </c>
      <c r="I54" s="198">
        <v>0</v>
      </c>
      <c r="J54" s="198">
        <v>0</v>
      </c>
      <c r="K54" s="198">
        <v>0</v>
      </c>
      <c r="L54" s="198">
        <v>0</v>
      </c>
      <c r="M54" s="198">
        <v>0</v>
      </c>
      <c r="N54" s="198">
        <v>0</v>
      </c>
      <c r="O54" s="198">
        <v>0</v>
      </c>
      <c r="P54" s="198">
        <v>0</v>
      </c>
      <c r="Q54" s="198">
        <v>0</v>
      </c>
      <c r="R54" s="198">
        <v>0</v>
      </c>
      <c r="S54" s="198">
        <v>0</v>
      </c>
      <c r="T54" s="198">
        <v>0</v>
      </c>
      <c r="U54" s="198">
        <v>0</v>
      </c>
      <c r="V54" s="198">
        <v>0.6</v>
      </c>
      <c r="W54" s="198">
        <v>0</v>
      </c>
      <c r="X54" s="198">
        <v>9.6</v>
      </c>
      <c r="Y54" s="198">
        <v>0</v>
      </c>
      <c r="Z54" s="198">
        <v>0</v>
      </c>
      <c r="AA54" s="198">
        <v>1</v>
      </c>
      <c r="AB54" s="198">
        <v>0</v>
      </c>
      <c r="AC54" s="198">
        <v>0</v>
      </c>
      <c r="AD54" s="198">
        <v>8.6</v>
      </c>
      <c r="AE54" s="198">
        <v>0</v>
      </c>
      <c r="AF54" s="198">
        <v>0</v>
      </c>
      <c r="AG54" s="198">
        <v>1.6</v>
      </c>
      <c r="AH54" s="198">
        <v>0</v>
      </c>
      <c r="AI54" s="198">
        <v>0</v>
      </c>
      <c r="AJ54" s="198">
        <v>8.8000000000000007</v>
      </c>
      <c r="AK54" s="198">
        <v>0</v>
      </c>
      <c r="AL54" s="198">
        <v>0</v>
      </c>
      <c r="AM54" s="198">
        <v>2.2999999999999998</v>
      </c>
      <c r="AN54" s="198">
        <v>0</v>
      </c>
      <c r="AO54" s="198">
        <v>0</v>
      </c>
      <c r="AP54" s="198">
        <v>8.6999999999999993</v>
      </c>
      <c r="AQ54" s="198">
        <v>0</v>
      </c>
      <c r="AR54" s="198">
        <v>0</v>
      </c>
      <c r="AS54" s="198">
        <v>2.9</v>
      </c>
      <c r="AT54" s="198">
        <v>0</v>
      </c>
      <c r="AU54" s="198">
        <v>8.1999999999999993</v>
      </c>
      <c r="AV54" s="198">
        <v>0</v>
      </c>
      <c r="AW54" s="198">
        <v>0</v>
      </c>
      <c r="AX54" s="198">
        <v>3.6</v>
      </c>
      <c r="AY54" s="198">
        <v>0</v>
      </c>
      <c r="AZ54" s="198">
        <v>0</v>
      </c>
      <c r="BA54" s="198">
        <v>7.3</v>
      </c>
      <c r="BB54" s="198">
        <v>0</v>
      </c>
      <c r="BC54" s="198">
        <v>0</v>
      </c>
      <c r="BD54" s="198">
        <v>4</v>
      </c>
      <c r="BE54" s="198">
        <v>0</v>
      </c>
      <c r="BF54" s="198">
        <v>0</v>
      </c>
      <c r="BG54" s="198">
        <v>5.9</v>
      </c>
      <c r="BH54" s="198">
        <v>0</v>
      </c>
      <c r="BI54" s="198">
        <v>0</v>
      </c>
      <c r="BJ54" s="198">
        <v>4.9000000000000004</v>
      </c>
      <c r="BK54" s="198">
        <v>0</v>
      </c>
      <c r="BL54" s="198">
        <v>0</v>
      </c>
      <c r="BM54" s="198">
        <v>0</v>
      </c>
      <c r="BN54" s="198">
        <v>0</v>
      </c>
      <c r="BO54" s="198">
        <v>0</v>
      </c>
      <c r="BP54" s="198">
        <v>0</v>
      </c>
      <c r="BQ54" s="198">
        <v>0</v>
      </c>
      <c r="BR54" s="198">
        <v>0</v>
      </c>
      <c r="BS54" s="198">
        <v>0</v>
      </c>
      <c r="BT54" s="198">
        <v>0</v>
      </c>
      <c r="BU54" s="198">
        <v>0</v>
      </c>
      <c r="BV54" s="198">
        <v>0</v>
      </c>
      <c r="BW54" s="198">
        <v>0</v>
      </c>
      <c r="BX54" s="198">
        <v>0</v>
      </c>
      <c r="BY54" s="198">
        <v>0</v>
      </c>
      <c r="BZ54" s="198">
        <v>0</v>
      </c>
      <c r="CA54" s="198">
        <v>0</v>
      </c>
      <c r="CB54" s="198">
        <v>0</v>
      </c>
      <c r="CC54" s="198">
        <v>0</v>
      </c>
      <c r="CD54" s="198">
        <v>0</v>
      </c>
      <c r="CE54" s="198">
        <v>0</v>
      </c>
      <c r="CF54" s="198">
        <v>0</v>
      </c>
      <c r="CG54" s="198">
        <v>0</v>
      </c>
      <c r="CH54" s="198">
        <v>0</v>
      </c>
      <c r="CI54" s="198">
        <v>0</v>
      </c>
      <c r="CJ54" s="198">
        <v>0</v>
      </c>
      <c r="CK54" s="88"/>
    </row>
    <row r="55" spans="1:89" x14ac:dyDescent="0.3">
      <c r="A55" s="173"/>
      <c r="B55" s="197" t="s">
        <v>283</v>
      </c>
      <c r="C55" s="198">
        <v>0</v>
      </c>
      <c r="D55" s="198">
        <v>0</v>
      </c>
      <c r="E55" s="198">
        <v>0</v>
      </c>
      <c r="F55" s="198">
        <v>0</v>
      </c>
      <c r="G55" s="198">
        <v>0</v>
      </c>
      <c r="H55" s="198">
        <v>0</v>
      </c>
      <c r="I55" s="198">
        <v>0</v>
      </c>
      <c r="J55" s="198">
        <v>0</v>
      </c>
      <c r="K55" s="198">
        <v>0</v>
      </c>
      <c r="L55" s="198">
        <v>0</v>
      </c>
      <c r="M55" s="198">
        <v>0</v>
      </c>
      <c r="N55" s="198">
        <v>0</v>
      </c>
      <c r="O55" s="198">
        <v>0</v>
      </c>
      <c r="P55" s="198">
        <v>0</v>
      </c>
      <c r="Q55" s="198">
        <v>0</v>
      </c>
      <c r="R55" s="198">
        <v>0</v>
      </c>
      <c r="S55" s="198">
        <v>0</v>
      </c>
      <c r="T55" s="198">
        <v>0</v>
      </c>
      <c r="U55" s="198">
        <v>0</v>
      </c>
      <c r="V55" s="198">
        <v>0</v>
      </c>
      <c r="W55" s="198">
        <v>0</v>
      </c>
      <c r="X55" s="198">
        <v>21.4</v>
      </c>
      <c r="Y55" s="198">
        <v>0</v>
      </c>
      <c r="Z55" s="198">
        <v>0</v>
      </c>
      <c r="AA55" s="198">
        <v>2.2999999999999998</v>
      </c>
      <c r="AB55" s="198">
        <v>0</v>
      </c>
      <c r="AC55" s="198">
        <v>0</v>
      </c>
      <c r="AD55" s="198">
        <v>19.3</v>
      </c>
      <c r="AE55" s="198">
        <v>0</v>
      </c>
      <c r="AF55" s="198">
        <v>0</v>
      </c>
      <c r="AG55" s="198">
        <v>3.6</v>
      </c>
      <c r="AH55" s="198">
        <v>0</v>
      </c>
      <c r="AI55" s="198">
        <v>0</v>
      </c>
      <c r="AJ55" s="198">
        <v>19.600000000000001</v>
      </c>
      <c r="AK55" s="198">
        <v>0</v>
      </c>
      <c r="AL55" s="198">
        <v>0</v>
      </c>
      <c r="AM55" s="198">
        <v>5.2</v>
      </c>
      <c r="AN55" s="198">
        <v>0</v>
      </c>
      <c r="AO55" s="198">
        <v>0</v>
      </c>
      <c r="AP55" s="198">
        <v>19.399999999999999</v>
      </c>
      <c r="AQ55" s="198">
        <v>0</v>
      </c>
      <c r="AR55" s="198">
        <v>0</v>
      </c>
      <c r="AS55" s="198">
        <v>6.5</v>
      </c>
      <c r="AT55" s="198">
        <v>0</v>
      </c>
      <c r="AU55" s="198">
        <v>18.3</v>
      </c>
      <c r="AV55" s="198">
        <v>0</v>
      </c>
      <c r="AW55" s="198">
        <v>0</v>
      </c>
      <c r="AX55" s="198">
        <v>8</v>
      </c>
      <c r="AY55" s="198">
        <v>0</v>
      </c>
      <c r="AZ55" s="198">
        <v>0</v>
      </c>
      <c r="BA55" s="198">
        <v>16.399999999999999</v>
      </c>
      <c r="BB55" s="198">
        <v>0</v>
      </c>
      <c r="BC55" s="198">
        <v>0</v>
      </c>
      <c r="BD55" s="198">
        <v>8.9</v>
      </c>
      <c r="BE55" s="198">
        <v>0</v>
      </c>
      <c r="BF55" s="198">
        <v>0</v>
      </c>
      <c r="BG55" s="198">
        <v>13.2</v>
      </c>
      <c r="BH55" s="198">
        <v>0</v>
      </c>
      <c r="BI55" s="198">
        <v>0</v>
      </c>
      <c r="BJ55" s="198">
        <v>10.9</v>
      </c>
      <c r="BK55" s="198">
        <v>0</v>
      </c>
      <c r="BL55" s="198">
        <v>0</v>
      </c>
      <c r="BM55" s="198">
        <v>0</v>
      </c>
      <c r="BN55" s="198">
        <v>0</v>
      </c>
      <c r="BO55" s="198">
        <v>0</v>
      </c>
      <c r="BP55" s="198">
        <v>0</v>
      </c>
      <c r="BQ55" s="198">
        <v>0</v>
      </c>
      <c r="BR55" s="198">
        <v>0</v>
      </c>
      <c r="BS55" s="198">
        <v>0</v>
      </c>
      <c r="BT55" s="198">
        <v>0</v>
      </c>
      <c r="BU55" s="198">
        <v>0</v>
      </c>
      <c r="BV55" s="198">
        <v>0</v>
      </c>
      <c r="BW55" s="198">
        <v>0</v>
      </c>
      <c r="BX55" s="198">
        <v>0</v>
      </c>
      <c r="BY55" s="198">
        <v>0</v>
      </c>
      <c r="BZ55" s="198">
        <v>0</v>
      </c>
      <c r="CA55" s="198">
        <v>0</v>
      </c>
      <c r="CB55" s="198">
        <v>0</v>
      </c>
      <c r="CC55" s="198">
        <v>0</v>
      </c>
      <c r="CD55" s="198">
        <v>0</v>
      </c>
      <c r="CE55" s="198">
        <v>0</v>
      </c>
      <c r="CF55" s="198">
        <v>0</v>
      </c>
      <c r="CG55" s="198">
        <v>0</v>
      </c>
      <c r="CH55" s="198">
        <v>0</v>
      </c>
      <c r="CI55" s="198">
        <v>0</v>
      </c>
      <c r="CJ55" s="198">
        <v>0</v>
      </c>
      <c r="CK55" s="88"/>
    </row>
    <row r="56" spans="1:89" x14ac:dyDescent="0.3">
      <c r="A56" s="173"/>
      <c r="B56" s="197" t="s">
        <v>182</v>
      </c>
      <c r="C56" s="198">
        <v>0</v>
      </c>
      <c r="D56" s="198">
        <v>0</v>
      </c>
      <c r="E56" s="198">
        <v>0</v>
      </c>
      <c r="F56" s="198">
        <v>0</v>
      </c>
      <c r="G56" s="198">
        <v>0</v>
      </c>
      <c r="H56" s="198">
        <v>0</v>
      </c>
      <c r="I56" s="198">
        <v>0</v>
      </c>
      <c r="J56" s="198">
        <v>0</v>
      </c>
      <c r="K56" s="198">
        <v>0</v>
      </c>
      <c r="L56" s="198">
        <v>0</v>
      </c>
      <c r="M56" s="198">
        <v>4</v>
      </c>
      <c r="N56" s="198">
        <v>0</v>
      </c>
      <c r="O56" s="198">
        <v>0</v>
      </c>
      <c r="P56" s="198">
        <v>0</v>
      </c>
      <c r="Q56" s="198">
        <v>0</v>
      </c>
      <c r="R56" s="198">
        <v>0</v>
      </c>
      <c r="S56" s="198">
        <v>0</v>
      </c>
      <c r="T56" s="198">
        <v>0</v>
      </c>
      <c r="U56" s="198">
        <v>0</v>
      </c>
      <c r="V56" s="198">
        <v>0</v>
      </c>
      <c r="W56" s="198">
        <v>0</v>
      </c>
      <c r="X56" s="198">
        <v>0</v>
      </c>
      <c r="Y56" s="198">
        <v>0</v>
      </c>
      <c r="Z56" s="198">
        <v>0</v>
      </c>
      <c r="AA56" s="198">
        <v>0</v>
      </c>
      <c r="AB56" s="198">
        <v>0</v>
      </c>
      <c r="AC56" s="198">
        <v>0</v>
      </c>
      <c r="AD56" s="198">
        <v>0</v>
      </c>
      <c r="AE56" s="198">
        <v>0</v>
      </c>
      <c r="AF56" s="198">
        <v>0</v>
      </c>
      <c r="AG56" s="198">
        <v>0</v>
      </c>
      <c r="AH56" s="198">
        <v>0</v>
      </c>
      <c r="AI56" s="198">
        <v>0</v>
      </c>
      <c r="AJ56" s="198">
        <v>0</v>
      </c>
      <c r="AK56" s="198">
        <v>0</v>
      </c>
      <c r="AL56" s="198">
        <v>0</v>
      </c>
      <c r="AM56" s="198">
        <v>0</v>
      </c>
      <c r="AN56" s="198">
        <v>0</v>
      </c>
      <c r="AO56" s="198">
        <v>0</v>
      </c>
      <c r="AP56" s="198">
        <v>0</v>
      </c>
      <c r="AQ56" s="198">
        <v>0</v>
      </c>
      <c r="AR56" s="198">
        <v>0</v>
      </c>
      <c r="AS56" s="198">
        <v>0</v>
      </c>
      <c r="AT56" s="198">
        <v>0</v>
      </c>
      <c r="AU56" s="198">
        <v>0</v>
      </c>
      <c r="AV56" s="198">
        <v>0</v>
      </c>
      <c r="AW56" s="198">
        <v>0</v>
      </c>
      <c r="AX56" s="198">
        <v>0</v>
      </c>
      <c r="AY56" s="198">
        <v>0</v>
      </c>
      <c r="AZ56" s="198">
        <v>0</v>
      </c>
      <c r="BA56" s="198">
        <v>0</v>
      </c>
      <c r="BB56" s="198">
        <v>0</v>
      </c>
      <c r="BC56" s="198">
        <v>0</v>
      </c>
      <c r="BD56" s="198">
        <v>0</v>
      </c>
      <c r="BE56" s="198">
        <v>0</v>
      </c>
      <c r="BF56" s="198">
        <v>0</v>
      </c>
      <c r="BG56" s="198">
        <v>0</v>
      </c>
      <c r="BH56" s="198">
        <v>0</v>
      </c>
      <c r="BI56" s="198">
        <v>0</v>
      </c>
      <c r="BJ56" s="198">
        <v>0</v>
      </c>
      <c r="BK56" s="198">
        <v>0</v>
      </c>
      <c r="BL56" s="198">
        <v>0</v>
      </c>
      <c r="BM56" s="198">
        <v>0</v>
      </c>
      <c r="BN56" s="198">
        <v>0</v>
      </c>
      <c r="BO56" s="198">
        <v>0</v>
      </c>
      <c r="BP56" s="198">
        <v>0</v>
      </c>
      <c r="BQ56" s="198">
        <v>0</v>
      </c>
      <c r="BR56" s="198">
        <v>0</v>
      </c>
      <c r="BS56" s="198">
        <v>0</v>
      </c>
      <c r="BT56" s="198">
        <v>0</v>
      </c>
      <c r="BU56" s="198">
        <v>0</v>
      </c>
      <c r="BV56" s="198">
        <v>0</v>
      </c>
      <c r="BW56" s="198">
        <v>0</v>
      </c>
      <c r="BX56" s="198">
        <v>0</v>
      </c>
      <c r="BY56" s="198">
        <v>0</v>
      </c>
      <c r="BZ56" s="198">
        <v>0</v>
      </c>
      <c r="CA56" s="198">
        <v>0</v>
      </c>
      <c r="CB56" s="198">
        <v>0</v>
      </c>
      <c r="CC56" s="198">
        <v>0</v>
      </c>
      <c r="CD56" s="198">
        <v>0</v>
      </c>
      <c r="CE56" s="198">
        <v>0</v>
      </c>
      <c r="CF56" s="198">
        <v>0</v>
      </c>
      <c r="CG56" s="198">
        <v>0</v>
      </c>
      <c r="CH56" s="198">
        <v>0</v>
      </c>
      <c r="CI56" s="198">
        <v>0</v>
      </c>
      <c r="CJ56" s="198">
        <v>0</v>
      </c>
      <c r="CK56" s="88"/>
    </row>
    <row r="57" spans="1:89" x14ac:dyDescent="0.3">
      <c r="A57" s="173"/>
      <c r="B57" s="197" t="s">
        <v>226</v>
      </c>
      <c r="C57" s="198">
        <v>0</v>
      </c>
      <c r="D57" s="198">
        <v>0</v>
      </c>
      <c r="E57" s="198">
        <v>0</v>
      </c>
      <c r="F57" s="198">
        <v>0</v>
      </c>
      <c r="G57" s="198">
        <v>0</v>
      </c>
      <c r="H57" s="198">
        <v>0</v>
      </c>
      <c r="I57" s="198">
        <v>0</v>
      </c>
      <c r="J57" s="198">
        <v>0</v>
      </c>
      <c r="K57" s="198">
        <v>0</v>
      </c>
      <c r="L57" s="198">
        <v>0</v>
      </c>
      <c r="M57" s="198">
        <v>0</v>
      </c>
      <c r="N57" s="198">
        <v>0</v>
      </c>
      <c r="O57" s="198">
        <v>0</v>
      </c>
      <c r="P57" s="198">
        <v>0</v>
      </c>
      <c r="Q57" s="198">
        <v>0</v>
      </c>
      <c r="R57" s="198">
        <v>0</v>
      </c>
      <c r="S57" s="198">
        <v>0</v>
      </c>
      <c r="T57" s="198">
        <v>0</v>
      </c>
      <c r="U57" s="198">
        <v>0</v>
      </c>
      <c r="V57" s="198">
        <v>2.2999999999999998</v>
      </c>
      <c r="W57" s="198">
        <v>0</v>
      </c>
      <c r="X57" s="198">
        <v>0.8</v>
      </c>
      <c r="Y57" s="198">
        <v>0</v>
      </c>
      <c r="Z57" s="198">
        <v>0</v>
      </c>
      <c r="AA57" s="198">
        <v>2.1</v>
      </c>
      <c r="AB57" s="198">
        <v>0</v>
      </c>
      <c r="AC57" s="198">
        <v>0</v>
      </c>
      <c r="AD57" s="198">
        <v>0.8</v>
      </c>
      <c r="AE57" s="198">
        <v>0</v>
      </c>
      <c r="AF57" s="198">
        <v>0</v>
      </c>
      <c r="AG57" s="198">
        <v>2.1</v>
      </c>
      <c r="AH57" s="198">
        <v>0</v>
      </c>
      <c r="AI57" s="198">
        <v>0</v>
      </c>
      <c r="AJ57" s="198">
        <v>1</v>
      </c>
      <c r="AK57" s="198">
        <v>0</v>
      </c>
      <c r="AL57" s="198">
        <v>0</v>
      </c>
      <c r="AM57" s="198">
        <v>2.2000000000000002</v>
      </c>
      <c r="AN57" s="198">
        <v>0</v>
      </c>
      <c r="AO57" s="198">
        <v>0</v>
      </c>
      <c r="AP57" s="198">
        <v>1.3</v>
      </c>
      <c r="AQ57" s="198">
        <v>0</v>
      </c>
      <c r="AR57" s="198">
        <v>0</v>
      </c>
      <c r="AS57" s="198">
        <v>2.1</v>
      </c>
      <c r="AT57" s="198">
        <v>0</v>
      </c>
      <c r="AU57" s="198">
        <v>1.5</v>
      </c>
      <c r="AV57" s="198">
        <v>0</v>
      </c>
      <c r="AW57" s="198">
        <v>0</v>
      </c>
      <c r="AX57" s="198">
        <v>2</v>
      </c>
      <c r="AY57" s="198">
        <v>0</v>
      </c>
      <c r="AZ57" s="198">
        <v>0</v>
      </c>
      <c r="BA57" s="198">
        <v>1.5</v>
      </c>
      <c r="BB57" s="198">
        <v>0</v>
      </c>
      <c r="BC57" s="198">
        <v>0</v>
      </c>
      <c r="BD57" s="198">
        <v>1.9</v>
      </c>
      <c r="BE57" s="198">
        <v>0</v>
      </c>
      <c r="BF57" s="198">
        <v>0</v>
      </c>
      <c r="BG57" s="198">
        <v>1.8</v>
      </c>
      <c r="BH57" s="198">
        <v>0</v>
      </c>
      <c r="BI57" s="198">
        <v>0</v>
      </c>
      <c r="BJ57" s="198">
        <v>2.2999999999999998</v>
      </c>
      <c r="BK57" s="198">
        <v>0</v>
      </c>
      <c r="BL57" s="198">
        <v>0</v>
      </c>
      <c r="BM57" s="198">
        <v>0</v>
      </c>
      <c r="BN57" s="198">
        <v>0</v>
      </c>
      <c r="BO57" s="198">
        <v>0</v>
      </c>
      <c r="BP57" s="198">
        <v>0</v>
      </c>
      <c r="BQ57" s="198">
        <v>0</v>
      </c>
      <c r="BR57" s="198">
        <v>0</v>
      </c>
      <c r="BS57" s="198">
        <v>0</v>
      </c>
      <c r="BT57" s="198">
        <v>0</v>
      </c>
      <c r="BU57" s="198">
        <v>0</v>
      </c>
      <c r="BV57" s="198">
        <v>0</v>
      </c>
      <c r="BW57" s="198">
        <v>0</v>
      </c>
      <c r="BX57" s="198">
        <v>0</v>
      </c>
      <c r="BY57" s="198">
        <v>0</v>
      </c>
      <c r="BZ57" s="198">
        <v>0</v>
      </c>
      <c r="CA57" s="198">
        <v>0</v>
      </c>
      <c r="CB57" s="198">
        <v>0</v>
      </c>
      <c r="CC57" s="198">
        <v>0</v>
      </c>
      <c r="CD57" s="198">
        <v>0</v>
      </c>
      <c r="CE57" s="198">
        <v>0</v>
      </c>
      <c r="CF57" s="198">
        <v>0</v>
      </c>
      <c r="CG57" s="198">
        <v>0</v>
      </c>
      <c r="CH57" s="198">
        <v>0</v>
      </c>
      <c r="CI57" s="198">
        <v>0</v>
      </c>
      <c r="CJ57" s="198">
        <v>0</v>
      </c>
      <c r="CK57" s="88"/>
    </row>
    <row r="58" spans="1:89" x14ac:dyDescent="0.3">
      <c r="A58" s="173"/>
      <c r="B58" s="201" t="s">
        <v>284</v>
      </c>
      <c r="C58" s="198">
        <v>0</v>
      </c>
      <c r="D58" s="198">
        <v>0</v>
      </c>
      <c r="E58" s="198">
        <v>0</v>
      </c>
      <c r="F58" s="198">
        <v>0</v>
      </c>
      <c r="G58" s="198">
        <v>0</v>
      </c>
      <c r="H58" s="198">
        <v>0</v>
      </c>
      <c r="I58" s="198">
        <v>0</v>
      </c>
      <c r="J58" s="198">
        <v>0</v>
      </c>
      <c r="K58" s="198">
        <v>0</v>
      </c>
      <c r="L58" s="198">
        <v>0</v>
      </c>
      <c r="M58" s="198">
        <v>0</v>
      </c>
      <c r="N58" s="198">
        <v>0</v>
      </c>
      <c r="O58" s="198">
        <v>0</v>
      </c>
      <c r="P58" s="198">
        <v>0</v>
      </c>
      <c r="Q58" s="198">
        <v>0</v>
      </c>
      <c r="R58" s="198">
        <v>0</v>
      </c>
      <c r="S58" s="198">
        <v>0</v>
      </c>
      <c r="T58" s="198">
        <v>0</v>
      </c>
      <c r="U58" s="198">
        <v>0</v>
      </c>
      <c r="V58" s="198">
        <v>0</v>
      </c>
      <c r="W58" s="198">
        <v>0</v>
      </c>
      <c r="X58" s="198">
        <v>0</v>
      </c>
      <c r="Y58" s="198">
        <v>0</v>
      </c>
      <c r="Z58" s="198">
        <v>0</v>
      </c>
      <c r="AA58" s="198">
        <v>0</v>
      </c>
      <c r="AB58" s="198">
        <v>0</v>
      </c>
      <c r="AC58" s="198">
        <v>0</v>
      </c>
      <c r="AD58" s="198">
        <v>0</v>
      </c>
      <c r="AE58" s="198">
        <v>0</v>
      </c>
      <c r="AF58" s="198">
        <v>0</v>
      </c>
      <c r="AG58" s="198">
        <v>0</v>
      </c>
      <c r="AH58" s="198">
        <v>0</v>
      </c>
      <c r="AI58" s="198">
        <v>0</v>
      </c>
      <c r="AJ58" s="198">
        <v>0</v>
      </c>
      <c r="AK58" s="198">
        <v>0</v>
      </c>
      <c r="AL58" s="198">
        <v>0</v>
      </c>
      <c r="AM58" s="198">
        <v>0.1</v>
      </c>
      <c r="AN58" s="198">
        <v>0</v>
      </c>
      <c r="AO58" s="198">
        <v>0</v>
      </c>
      <c r="AP58" s="198">
        <v>0.1</v>
      </c>
      <c r="AQ58" s="198">
        <v>0</v>
      </c>
      <c r="AR58" s="198">
        <v>0</v>
      </c>
      <c r="AS58" s="198">
        <v>0.1</v>
      </c>
      <c r="AT58" s="198">
        <v>0</v>
      </c>
      <c r="AU58" s="198">
        <v>0.1</v>
      </c>
      <c r="AV58" s="198">
        <v>0</v>
      </c>
      <c r="AW58" s="198">
        <v>0</v>
      </c>
      <c r="AX58" s="198">
        <v>0.1</v>
      </c>
      <c r="AY58" s="198">
        <v>0</v>
      </c>
      <c r="AZ58" s="198">
        <v>0</v>
      </c>
      <c r="BA58" s="198">
        <v>0.1</v>
      </c>
      <c r="BB58" s="198">
        <v>0</v>
      </c>
      <c r="BC58" s="198">
        <v>0</v>
      </c>
      <c r="BD58" s="198">
        <v>0.1</v>
      </c>
      <c r="BE58" s="198">
        <v>0</v>
      </c>
      <c r="BF58" s="198">
        <v>0</v>
      </c>
      <c r="BG58" s="198">
        <v>0.1</v>
      </c>
      <c r="BH58" s="198">
        <v>0</v>
      </c>
      <c r="BI58" s="198">
        <v>0</v>
      </c>
      <c r="BJ58" s="198">
        <v>0.1</v>
      </c>
      <c r="BK58" s="198">
        <v>0</v>
      </c>
      <c r="BL58" s="198">
        <v>0</v>
      </c>
      <c r="BM58" s="198">
        <v>0</v>
      </c>
      <c r="BN58" s="198">
        <v>0</v>
      </c>
      <c r="BO58" s="198">
        <v>0</v>
      </c>
      <c r="BP58" s="198">
        <v>0</v>
      </c>
      <c r="BQ58" s="198">
        <v>0</v>
      </c>
      <c r="BR58" s="198">
        <v>0</v>
      </c>
      <c r="BS58" s="198">
        <v>0</v>
      </c>
      <c r="BT58" s="198">
        <v>0</v>
      </c>
      <c r="BU58" s="198">
        <v>0</v>
      </c>
      <c r="BV58" s="198">
        <v>0</v>
      </c>
      <c r="BW58" s="198">
        <v>0</v>
      </c>
      <c r="BX58" s="198">
        <v>0</v>
      </c>
      <c r="BY58" s="198">
        <v>0</v>
      </c>
      <c r="BZ58" s="198">
        <v>0</v>
      </c>
      <c r="CA58" s="198">
        <v>0</v>
      </c>
      <c r="CB58" s="198">
        <v>0</v>
      </c>
      <c r="CC58" s="198">
        <v>0</v>
      </c>
      <c r="CD58" s="198">
        <v>0</v>
      </c>
      <c r="CE58" s="198">
        <v>0</v>
      </c>
      <c r="CF58" s="198">
        <v>0</v>
      </c>
      <c r="CG58" s="198">
        <v>0</v>
      </c>
      <c r="CH58" s="198">
        <v>0</v>
      </c>
      <c r="CI58" s="198">
        <v>0</v>
      </c>
      <c r="CJ58" s="198">
        <v>0</v>
      </c>
      <c r="CK58" s="88"/>
    </row>
    <row r="59" spans="1:89" x14ac:dyDescent="0.3">
      <c r="A59" s="173"/>
      <c r="B59" s="197" t="s">
        <v>184</v>
      </c>
      <c r="C59" s="198">
        <v>0</v>
      </c>
      <c r="D59" s="198">
        <v>0</v>
      </c>
      <c r="E59" s="198">
        <v>0</v>
      </c>
      <c r="F59" s="198">
        <v>0</v>
      </c>
      <c r="G59" s="198">
        <v>0</v>
      </c>
      <c r="H59" s="198">
        <v>0</v>
      </c>
      <c r="I59" s="198">
        <v>0</v>
      </c>
      <c r="J59" s="198">
        <v>0</v>
      </c>
      <c r="K59" s="198">
        <v>0</v>
      </c>
      <c r="L59" s="198">
        <v>0</v>
      </c>
      <c r="M59" s="198">
        <v>0</v>
      </c>
      <c r="N59" s="198">
        <v>5</v>
      </c>
      <c r="O59" s="198">
        <v>0</v>
      </c>
      <c r="P59" s="198">
        <v>0</v>
      </c>
      <c r="Q59" s="198">
        <v>0</v>
      </c>
      <c r="R59" s="198">
        <v>0</v>
      </c>
      <c r="S59" s="198">
        <v>5.2</v>
      </c>
      <c r="T59" s="198">
        <v>0</v>
      </c>
      <c r="U59" s="198">
        <v>0</v>
      </c>
      <c r="V59" s="198">
        <v>0.3</v>
      </c>
      <c r="W59" s="198">
        <v>0</v>
      </c>
      <c r="X59" s="198">
        <v>4.5999999999999996</v>
      </c>
      <c r="Y59" s="198">
        <v>0</v>
      </c>
      <c r="Z59" s="198">
        <v>0</v>
      </c>
      <c r="AA59" s="198">
        <v>0</v>
      </c>
      <c r="AB59" s="198">
        <v>0</v>
      </c>
      <c r="AC59" s="198">
        <v>0</v>
      </c>
      <c r="AD59" s="198">
        <v>3.8</v>
      </c>
      <c r="AE59" s="198">
        <v>0</v>
      </c>
      <c r="AF59" s="198">
        <v>0</v>
      </c>
      <c r="AG59" s="198">
        <v>0</v>
      </c>
      <c r="AH59" s="198">
        <v>0</v>
      </c>
      <c r="AI59" s="198">
        <v>0</v>
      </c>
      <c r="AJ59" s="198">
        <v>3.5</v>
      </c>
      <c r="AK59" s="198">
        <v>0</v>
      </c>
      <c r="AL59" s="198">
        <v>0</v>
      </c>
      <c r="AM59" s="198">
        <v>0</v>
      </c>
      <c r="AN59" s="198">
        <v>0</v>
      </c>
      <c r="AO59" s="198">
        <v>0</v>
      </c>
      <c r="AP59" s="198">
        <v>3.1</v>
      </c>
      <c r="AQ59" s="198">
        <v>0</v>
      </c>
      <c r="AR59" s="198">
        <v>0</v>
      </c>
      <c r="AS59" s="198">
        <v>0</v>
      </c>
      <c r="AT59" s="198">
        <v>0</v>
      </c>
      <c r="AU59" s="198">
        <v>2.5</v>
      </c>
      <c r="AV59" s="198">
        <v>0</v>
      </c>
      <c r="AW59" s="198">
        <v>0</v>
      </c>
      <c r="AX59" s="198">
        <v>0</v>
      </c>
      <c r="AY59" s="198">
        <v>0</v>
      </c>
      <c r="AZ59" s="198">
        <v>0</v>
      </c>
      <c r="BA59" s="198">
        <v>1.8</v>
      </c>
      <c r="BB59" s="198">
        <v>0</v>
      </c>
      <c r="BC59" s="198">
        <v>0</v>
      </c>
      <c r="BD59" s="198">
        <v>0</v>
      </c>
      <c r="BE59" s="198">
        <v>0</v>
      </c>
      <c r="BF59" s="198">
        <v>0</v>
      </c>
      <c r="BG59" s="198">
        <v>1</v>
      </c>
      <c r="BH59" s="198">
        <v>0</v>
      </c>
      <c r="BI59" s="198">
        <v>0</v>
      </c>
      <c r="BJ59" s="198">
        <v>0</v>
      </c>
      <c r="BK59" s="198">
        <v>0</v>
      </c>
      <c r="BL59" s="198">
        <v>0</v>
      </c>
      <c r="BM59" s="198">
        <v>0</v>
      </c>
      <c r="BN59" s="198">
        <v>0</v>
      </c>
      <c r="BO59" s="198">
        <v>0</v>
      </c>
      <c r="BP59" s="198">
        <v>0</v>
      </c>
      <c r="BQ59" s="198">
        <v>0</v>
      </c>
      <c r="BR59" s="198">
        <v>0</v>
      </c>
      <c r="BS59" s="198">
        <v>0</v>
      </c>
      <c r="BT59" s="198">
        <v>0</v>
      </c>
      <c r="BU59" s="198">
        <v>0</v>
      </c>
      <c r="BV59" s="198">
        <v>0</v>
      </c>
      <c r="BW59" s="198">
        <v>0</v>
      </c>
      <c r="BX59" s="198">
        <v>0</v>
      </c>
      <c r="BY59" s="198">
        <v>0</v>
      </c>
      <c r="BZ59" s="198">
        <v>0</v>
      </c>
      <c r="CA59" s="198">
        <v>0</v>
      </c>
      <c r="CB59" s="198">
        <v>0</v>
      </c>
      <c r="CC59" s="198">
        <v>0</v>
      </c>
      <c r="CD59" s="198">
        <v>0</v>
      </c>
      <c r="CE59" s="198">
        <v>0</v>
      </c>
      <c r="CF59" s="198">
        <v>0</v>
      </c>
      <c r="CG59" s="198">
        <v>0</v>
      </c>
      <c r="CH59" s="198">
        <v>0</v>
      </c>
      <c r="CI59" s="198">
        <v>0</v>
      </c>
      <c r="CJ59" s="198">
        <v>0</v>
      </c>
      <c r="CK59" s="88"/>
    </row>
    <row r="60" spans="1:89" x14ac:dyDescent="0.3">
      <c r="A60" s="173"/>
      <c r="B60" s="197" t="s">
        <v>186</v>
      </c>
      <c r="C60" s="198">
        <v>0</v>
      </c>
      <c r="D60" s="198">
        <v>0</v>
      </c>
      <c r="E60" s="198">
        <v>0</v>
      </c>
      <c r="F60" s="198">
        <v>0</v>
      </c>
      <c r="G60" s="198">
        <v>0</v>
      </c>
      <c r="H60" s="198">
        <v>0</v>
      </c>
      <c r="I60" s="198">
        <v>0</v>
      </c>
      <c r="J60" s="198">
        <v>0</v>
      </c>
      <c r="K60" s="198">
        <v>0</v>
      </c>
      <c r="L60" s="198">
        <v>0</v>
      </c>
      <c r="M60" s="198">
        <v>0</v>
      </c>
      <c r="N60" s="198">
        <v>20</v>
      </c>
      <c r="O60" s="198">
        <v>0</v>
      </c>
      <c r="P60" s="198">
        <v>0</v>
      </c>
      <c r="Q60" s="198">
        <v>0</v>
      </c>
      <c r="R60" s="198">
        <v>19.8</v>
      </c>
      <c r="S60" s="198">
        <v>0</v>
      </c>
      <c r="T60" s="198">
        <v>0</v>
      </c>
      <c r="U60" s="198">
        <v>0</v>
      </c>
      <c r="V60" s="198">
        <v>0</v>
      </c>
      <c r="W60" s="198">
        <v>0</v>
      </c>
      <c r="X60" s="198">
        <v>20.2</v>
      </c>
      <c r="Y60" s="198">
        <v>0</v>
      </c>
      <c r="Z60" s="198">
        <v>0</v>
      </c>
      <c r="AA60" s="198">
        <v>0</v>
      </c>
      <c r="AB60" s="198">
        <v>0</v>
      </c>
      <c r="AC60" s="198">
        <v>0</v>
      </c>
      <c r="AD60" s="198">
        <v>20.6</v>
      </c>
      <c r="AE60" s="198">
        <v>0</v>
      </c>
      <c r="AF60" s="198">
        <v>0</v>
      </c>
      <c r="AG60" s="198">
        <v>0</v>
      </c>
      <c r="AH60" s="198">
        <v>0</v>
      </c>
      <c r="AI60" s="198">
        <v>0</v>
      </c>
      <c r="AJ60" s="198">
        <v>20.9</v>
      </c>
      <c r="AK60" s="198">
        <v>0</v>
      </c>
      <c r="AL60" s="198">
        <v>0</v>
      </c>
      <c r="AM60" s="198">
        <v>0</v>
      </c>
      <c r="AN60" s="198">
        <v>0</v>
      </c>
      <c r="AO60" s="198">
        <v>21.3</v>
      </c>
      <c r="AP60" s="198">
        <v>0</v>
      </c>
      <c r="AQ60" s="198">
        <v>0</v>
      </c>
      <c r="AR60" s="198">
        <v>0</v>
      </c>
      <c r="AS60" s="198">
        <v>0</v>
      </c>
      <c r="AT60" s="198">
        <v>0</v>
      </c>
      <c r="AU60" s="198">
        <v>21.6</v>
      </c>
      <c r="AV60" s="198">
        <v>0</v>
      </c>
      <c r="AW60" s="198">
        <v>0</v>
      </c>
      <c r="AX60" s="198">
        <v>0</v>
      </c>
      <c r="AY60" s="198">
        <v>0</v>
      </c>
      <c r="AZ60" s="198">
        <v>0</v>
      </c>
      <c r="BA60" s="198">
        <v>22</v>
      </c>
      <c r="BB60" s="198">
        <v>0</v>
      </c>
      <c r="BC60" s="198">
        <v>0</v>
      </c>
      <c r="BD60" s="198">
        <v>0</v>
      </c>
      <c r="BE60" s="198">
        <v>0</v>
      </c>
      <c r="BF60" s="198">
        <v>22.4</v>
      </c>
      <c r="BG60" s="198">
        <v>0</v>
      </c>
      <c r="BH60" s="198">
        <v>0</v>
      </c>
      <c r="BI60" s="198">
        <v>0</v>
      </c>
      <c r="BJ60" s="198">
        <v>0</v>
      </c>
      <c r="BK60" s="198">
        <v>0</v>
      </c>
      <c r="BL60" s="198">
        <v>22.7</v>
      </c>
      <c r="BM60" s="198">
        <v>0</v>
      </c>
      <c r="BN60" s="198">
        <v>0</v>
      </c>
      <c r="BO60" s="198">
        <v>0</v>
      </c>
      <c r="BP60" s="198">
        <v>0</v>
      </c>
      <c r="BQ60" s="198">
        <v>0</v>
      </c>
      <c r="BR60" s="198">
        <v>22.8</v>
      </c>
      <c r="BS60" s="198">
        <v>0</v>
      </c>
      <c r="BT60" s="198">
        <v>0</v>
      </c>
      <c r="BU60" s="198">
        <v>0</v>
      </c>
      <c r="BV60" s="198">
        <v>0</v>
      </c>
      <c r="BW60" s="198">
        <v>0</v>
      </c>
      <c r="BX60" s="198">
        <v>23.2</v>
      </c>
      <c r="BY60" s="198">
        <v>0</v>
      </c>
      <c r="BZ60" s="198">
        <v>0</v>
      </c>
      <c r="CA60" s="198">
        <v>0</v>
      </c>
      <c r="CB60" s="198">
        <v>0</v>
      </c>
      <c r="CC60" s="198">
        <v>0</v>
      </c>
      <c r="CD60" s="198">
        <v>0</v>
      </c>
      <c r="CE60" s="198">
        <v>0</v>
      </c>
      <c r="CF60" s="198">
        <v>0</v>
      </c>
      <c r="CG60" s="198">
        <v>0</v>
      </c>
      <c r="CH60" s="198">
        <v>0</v>
      </c>
      <c r="CI60" s="198">
        <v>0</v>
      </c>
      <c r="CJ60" s="198">
        <v>23.5</v>
      </c>
      <c r="CK60" s="88"/>
    </row>
    <row r="61" spans="1:89" x14ac:dyDescent="0.3">
      <c r="A61" s="173"/>
      <c r="B61" s="197" t="s">
        <v>180</v>
      </c>
      <c r="C61" s="198">
        <v>0</v>
      </c>
      <c r="D61" s="198">
        <v>0</v>
      </c>
      <c r="E61" s="198">
        <v>0</v>
      </c>
      <c r="F61" s="198">
        <v>0</v>
      </c>
      <c r="G61" s="198">
        <v>0</v>
      </c>
      <c r="H61" s="198">
        <v>0</v>
      </c>
      <c r="I61" s="198">
        <v>0</v>
      </c>
      <c r="J61" s="198">
        <v>0</v>
      </c>
      <c r="K61" s="198">
        <v>0</v>
      </c>
      <c r="L61" s="198">
        <v>0</v>
      </c>
      <c r="M61" s="198">
        <v>20</v>
      </c>
      <c r="N61" s="198">
        <v>0</v>
      </c>
      <c r="O61" s="198">
        <v>0</v>
      </c>
      <c r="P61" s="198">
        <v>0</v>
      </c>
      <c r="Q61" s="198">
        <v>0</v>
      </c>
      <c r="R61" s="198">
        <v>0</v>
      </c>
      <c r="S61" s="198">
        <v>19.3</v>
      </c>
      <c r="T61" s="198">
        <v>0</v>
      </c>
      <c r="U61" s="198">
        <v>0</v>
      </c>
      <c r="V61" s="198">
        <v>0</v>
      </c>
      <c r="W61" s="198">
        <v>0</v>
      </c>
      <c r="X61" s="198">
        <v>0</v>
      </c>
      <c r="Y61" s="198">
        <v>0</v>
      </c>
      <c r="Z61" s="198">
        <v>0</v>
      </c>
      <c r="AA61" s="198">
        <v>0</v>
      </c>
      <c r="AB61" s="198">
        <v>0</v>
      </c>
      <c r="AC61" s="198">
        <v>0</v>
      </c>
      <c r="AD61" s="198">
        <v>0</v>
      </c>
      <c r="AE61" s="198">
        <v>0</v>
      </c>
      <c r="AF61" s="198">
        <v>0</v>
      </c>
      <c r="AG61" s="198">
        <v>0</v>
      </c>
      <c r="AH61" s="198">
        <v>0</v>
      </c>
      <c r="AI61" s="198">
        <v>0</v>
      </c>
      <c r="AJ61" s="198">
        <v>0</v>
      </c>
      <c r="AK61" s="198">
        <v>0</v>
      </c>
      <c r="AL61" s="198">
        <v>0</v>
      </c>
      <c r="AM61" s="198">
        <v>0</v>
      </c>
      <c r="AN61" s="198">
        <v>0</v>
      </c>
      <c r="AO61" s="198">
        <v>0</v>
      </c>
      <c r="AP61" s="198">
        <v>0</v>
      </c>
      <c r="AQ61" s="198">
        <v>0</v>
      </c>
      <c r="AR61" s="198">
        <v>0</v>
      </c>
      <c r="AS61" s="198">
        <v>0</v>
      </c>
      <c r="AT61" s="198">
        <v>0</v>
      </c>
      <c r="AU61" s="198">
        <v>0</v>
      </c>
      <c r="AV61" s="198">
        <v>0</v>
      </c>
      <c r="AW61" s="198">
        <v>0</v>
      </c>
      <c r="AX61" s="198">
        <v>0</v>
      </c>
      <c r="AY61" s="198">
        <v>0</v>
      </c>
      <c r="AZ61" s="198">
        <v>0</v>
      </c>
      <c r="BA61" s="198">
        <v>0</v>
      </c>
      <c r="BB61" s="198">
        <v>0</v>
      </c>
      <c r="BC61" s="198">
        <v>0</v>
      </c>
      <c r="BD61" s="198">
        <v>0</v>
      </c>
      <c r="BE61" s="198">
        <v>0</v>
      </c>
      <c r="BF61" s="198">
        <v>0</v>
      </c>
      <c r="BG61" s="198">
        <v>0</v>
      </c>
      <c r="BH61" s="198">
        <v>0</v>
      </c>
      <c r="BI61" s="198">
        <v>0</v>
      </c>
      <c r="BJ61" s="198">
        <v>0</v>
      </c>
      <c r="BK61" s="198">
        <v>0</v>
      </c>
      <c r="BL61" s="198">
        <v>0</v>
      </c>
      <c r="BM61" s="198">
        <v>0</v>
      </c>
      <c r="BN61" s="198">
        <v>0</v>
      </c>
      <c r="BO61" s="198">
        <v>0</v>
      </c>
      <c r="BP61" s="198">
        <v>0</v>
      </c>
      <c r="BQ61" s="198">
        <v>0</v>
      </c>
      <c r="BR61" s="198">
        <v>0</v>
      </c>
      <c r="BS61" s="198">
        <v>0</v>
      </c>
      <c r="BT61" s="198">
        <v>0</v>
      </c>
      <c r="BU61" s="198">
        <v>0</v>
      </c>
      <c r="BV61" s="198">
        <v>0</v>
      </c>
      <c r="BW61" s="198">
        <v>0</v>
      </c>
      <c r="BX61" s="198">
        <v>0</v>
      </c>
      <c r="BY61" s="198">
        <v>0</v>
      </c>
      <c r="BZ61" s="198">
        <v>0</v>
      </c>
      <c r="CA61" s="198">
        <v>0</v>
      </c>
      <c r="CB61" s="198">
        <v>0</v>
      </c>
      <c r="CC61" s="198">
        <v>0</v>
      </c>
      <c r="CD61" s="198">
        <v>0</v>
      </c>
      <c r="CE61" s="198">
        <v>0</v>
      </c>
      <c r="CF61" s="198">
        <v>0</v>
      </c>
      <c r="CG61" s="198">
        <v>0</v>
      </c>
      <c r="CH61" s="198">
        <v>0</v>
      </c>
      <c r="CI61" s="198">
        <v>0</v>
      </c>
      <c r="CJ61" s="198">
        <v>0</v>
      </c>
      <c r="CK61" s="88"/>
    </row>
    <row r="62" spans="1:89" x14ac:dyDescent="0.3">
      <c r="A62" s="173"/>
      <c r="B62" s="197" t="s">
        <v>220</v>
      </c>
      <c r="C62" s="198">
        <v>0</v>
      </c>
      <c r="D62" s="198">
        <v>0</v>
      </c>
      <c r="E62" s="198">
        <v>0</v>
      </c>
      <c r="F62" s="198">
        <v>0</v>
      </c>
      <c r="G62" s="198">
        <v>0</v>
      </c>
      <c r="H62" s="198">
        <v>0</v>
      </c>
      <c r="I62" s="198">
        <v>0</v>
      </c>
      <c r="J62" s="198">
        <v>0</v>
      </c>
      <c r="K62" s="198">
        <v>0</v>
      </c>
      <c r="L62" s="198">
        <v>0</v>
      </c>
      <c r="M62" s="198">
        <v>0</v>
      </c>
      <c r="N62" s="198">
        <v>0</v>
      </c>
      <c r="O62" s="198">
        <v>0</v>
      </c>
      <c r="P62" s="198">
        <v>0</v>
      </c>
      <c r="Q62" s="198">
        <v>0</v>
      </c>
      <c r="R62" s="198">
        <v>0</v>
      </c>
      <c r="S62" s="198">
        <v>0</v>
      </c>
      <c r="T62" s="198">
        <v>0</v>
      </c>
      <c r="U62" s="198">
        <v>0.9</v>
      </c>
      <c r="V62" s="198">
        <v>0</v>
      </c>
      <c r="W62" s="198">
        <v>0</v>
      </c>
      <c r="X62" s="198">
        <v>15.6</v>
      </c>
      <c r="Y62" s="198">
        <v>0</v>
      </c>
      <c r="Z62" s="198">
        <v>0</v>
      </c>
      <c r="AA62" s="198">
        <v>1.9</v>
      </c>
      <c r="AB62" s="198">
        <v>0</v>
      </c>
      <c r="AC62" s="198">
        <v>0</v>
      </c>
      <c r="AD62" s="198">
        <v>14.1</v>
      </c>
      <c r="AE62" s="198">
        <v>0</v>
      </c>
      <c r="AF62" s="198">
        <v>0</v>
      </c>
      <c r="AG62" s="198">
        <v>2.9</v>
      </c>
      <c r="AH62" s="198">
        <v>0</v>
      </c>
      <c r="AI62" s="198">
        <v>0</v>
      </c>
      <c r="AJ62" s="198">
        <v>14.4</v>
      </c>
      <c r="AK62" s="198">
        <v>0</v>
      </c>
      <c r="AL62" s="198">
        <v>0</v>
      </c>
      <c r="AM62" s="198">
        <v>4</v>
      </c>
      <c r="AN62" s="198">
        <v>0</v>
      </c>
      <c r="AO62" s="198">
        <v>0</v>
      </c>
      <c r="AP62" s="198">
        <v>14.2</v>
      </c>
      <c r="AQ62" s="198">
        <v>0</v>
      </c>
      <c r="AR62" s="198">
        <v>0</v>
      </c>
      <c r="AS62" s="198">
        <v>4.9000000000000004</v>
      </c>
      <c r="AT62" s="198">
        <v>0</v>
      </c>
      <c r="AU62" s="198">
        <v>13.4</v>
      </c>
      <c r="AV62" s="198">
        <v>0</v>
      </c>
      <c r="AW62" s="198">
        <v>0</v>
      </c>
      <c r="AX62" s="198">
        <v>7.4</v>
      </c>
      <c r="AY62" s="198">
        <v>0</v>
      </c>
      <c r="AZ62" s="198">
        <v>0</v>
      </c>
      <c r="BA62" s="198">
        <v>12.3</v>
      </c>
      <c r="BB62" s="198">
        <v>0</v>
      </c>
      <c r="BC62" s="198">
        <v>0</v>
      </c>
      <c r="BD62" s="198">
        <v>7.8</v>
      </c>
      <c r="BE62" s="198">
        <v>0</v>
      </c>
      <c r="BF62" s="198">
        <v>0</v>
      </c>
      <c r="BG62" s="198">
        <v>10.1</v>
      </c>
      <c r="BH62" s="198">
        <v>0</v>
      </c>
      <c r="BI62" s="198">
        <v>0</v>
      </c>
      <c r="BJ62" s="198">
        <v>9.1999999999999993</v>
      </c>
      <c r="BK62" s="198">
        <v>0</v>
      </c>
      <c r="BL62" s="198">
        <v>0</v>
      </c>
      <c r="BM62" s="198">
        <v>0</v>
      </c>
      <c r="BN62" s="198">
        <v>0</v>
      </c>
      <c r="BO62" s="198">
        <v>0</v>
      </c>
      <c r="BP62" s="198">
        <v>0</v>
      </c>
      <c r="BQ62" s="198">
        <v>0</v>
      </c>
      <c r="BR62" s="198">
        <v>0</v>
      </c>
      <c r="BS62" s="198">
        <v>0</v>
      </c>
      <c r="BT62" s="198">
        <v>0</v>
      </c>
      <c r="BU62" s="198">
        <v>0</v>
      </c>
      <c r="BV62" s="198">
        <v>0</v>
      </c>
      <c r="BW62" s="198">
        <v>0</v>
      </c>
      <c r="BX62" s="198">
        <v>0</v>
      </c>
      <c r="BY62" s="198">
        <v>0</v>
      </c>
      <c r="BZ62" s="198">
        <v>0</v>
      </c>
      <c r="CA62" s="198">
        <v>0</v>
      </c>
      <c r="CB62" s="198">
        <v>0</v>
      </c>
      <c r="CC62" s="198">
        <v>0</v>
      </c>
      <c r="CD62" s="198">
        <v>0</v>
      </c>
      <c r="CE62" s="198">
        <v>0</v>
      </c>
      <c r="CF62" s="198">
        <v>0</v>
      </c>
      <c r="CG62" s="198">
        <v>0</v>
      </c>
      <c r="CH62" s="198">
        <v>0</v>
      </c>
      <c r="CI62" s="198">
        <v>0</v>
      </c>
      <c r="CJ62" s="198">
        <v>0</v>
      </c>
      <c r="CK62" s="88"/>
    </row>
    <row r="63" spans="1:89" x14ac:dyDescent="0.3">
      <c r="A63" s="173"/>
      <c r="B63" s="197" t="s">
        <v>221</v>
      </c>
      <c r="C63" s="198">
        <v>0</v>
      </c>
      <c r="D63" s="198">
        <v>0</v>
      </c>
      <c r="E63" s="198">
        <v>0</v>
      </c>
      <c r="F63" s="198">
        <v>0</v>
      </c>
      <c r="G63" s="198">
        <v>0</v>
      </c>
      <c r="H63" s="198">
        <v>0</v>
      </c>
      <c r="I63" s="198">
        <v>0</v>
      </c>
      <c r="J63" s="198">
        <v>0</v>
      </c>
      <c r="K63" s="198">
        <v>0</v>
      </c>
      <c r="L63" s="198">
        <v>0</v>
      </c>
      <c r="M63" s="198">
        <v>0</v>
      </c>
      <c r="N63" s="198">
        <v>0</v>
      </c>
      <c r="O63" s="198">
        <v>0</v>
      </c>
      <c r="P63" s="198">
        <v>0</v>
      </c>
      <c r="Q63" s="198">
        <v>0</v>
      </c>
      <c r="R63" s="198">
        <v>0</v>
      </c>
      <c r="S63" s="198">
        <v>0</v>
      </c>
      <c r="T63" s="198">
        <v>0</v>
      </c>
      <c r="U63" s="198">
        <v>0.2</v>
      </c>
      <c r="V63" s="198">
        <v>0</v>
      </c>
      <c r="W63" s="198">
        <v>0</v>
      </c>
      <c r="X63" s="198">
        <v>3.4</v>
      </c>
      <c r="Y63" s="198">
        <v>0</v>
      </c>
      <c r="Z63" s="198">
        <v>0</v>
      </c>
      <c r="AA63" s="198">
        <v>0.4</v>
      </c>
      <c r="AB63" s="198">
        <v>0</v>
      </c>
      <c r="AC63" s="198">
        <v>0</v>
      </c>
      <c r="AD63" s="198">
        <v>3</v>
      </c>
      <c r="AE63" s="198">
        <v>0</v>
      </c>
      <c r="AF63" s="198">
        <v>0</v>
      </c>
      <c r="AG63" s="198">
        <v>0.6</v>
      </c>
      <c r="AH63" s="198">
        <v>0</v>
      </c>
      <c r="AI63" s="198">
        <v>0</v>
      </c>
      <c r="AJ63" s="198">
        <v>3.1</v>
      </c>
      <c r="AK63" s="198">
        <v>0</v>
      </c>
      <c r="AL63" s="198">
        <v>0</v>
      </c>
      <c r="AM63" s="198">
        <v>0.9</v>
      </c>
      <c r="AN63" s="198">
        <v>0</v>
      </c>
      <c r="AO63" s="198">
        <v>0</v>
      </c>
      <c r="AP63" s="198">
        <v>3.1</v>
      </c>
      <c r="AQ63" s="198">
        <v>0</v>
      </c>
      <c r="AR63" s="198">
        <v>0</v>
      </c>
      <c r="AS63" s="198">
        <v>1.1000000000000001</v>
      </c>
      <c r="AT63" s="198">
        <v>0</v>
      </c>
      <c r="AU63" s="198">
        <v>2.9</v>
      </c>
      <c r="AV63" s="198">
        <v>0</v>
      </c>
      <c r="AW63" s="198">
        <v>0</v>
      </c>
      <c r="AX63" s="198">
        <v>1.7</v>
      </c>
      <c r="AY63" s="198">
        <v>0</v>
      </c>
      <c r="AZ63" s="198">
        <v>0</v>
      </c>
      <c r="BA63" s="198">
        <v>2.7</v>
      </c>
      <c r="BB63" s="198">
        <v>0</v>
      </c>
      <c r="BC63" s="198">
        <v>0</v>
      </c>
      <c r="BD63" s="198">
        <v>1.7</v>
      </c>
      <c r="BE63" s="198">
        <v>0</v>
      </c>
      <c r="BF63" s="198">
        <v>0</v>
      </c>
      <c r="BG63" s="198">
        <v>2.2000000000000002</v>
      </c>
      <c r="BH63" s="198">
        <v>0</v>
      </c>
      <c r="BI63" s="198">
        <v>0</v>
      </c>
      <c r="BJ63" s="198">
        <v>2</v>
      </c>
      <c r="BK63" s="198">
        <v>0</v>
      </c>
      <c r="BL63" s="198">
        <v>0</v>
      </c>
      <c r="BM63" s="198">
        <v>0</v>
      </c>
      <c r="BN63" s="198">
        <v>0</v>
      </c>
      <c r="BO63" s="198">
        <v>0</v>
      </c>
      <c r="BP63" s="198">
        <v>0</v>
      </c>
      <c r="BQ63" s="198">
        <v>0</v>
      </c>
      <c r="BR63" s="198">
        <v>0</v>
      </c>
      <c r="BS63" s="198">
        <v>0</v>
      </c>
      <c r="BT63" s="198">
        <v>0</v>
      </c>
      <c r="BU63" s="198">
        <v>0</v>
      </c>
      <c r="BV63" s="198">
        <v>0</v>
      </c>
      <c r="BW63" s="198">
        <v>0</v>
      </c>
      <c r="BX63" s="198">
        <v>0</v>
      </c>
      <c r="BY63" s="198">
        <v>0</v>
      </c>
      <c r="BZ63" s="198">
        <v>0</v>
      </c>
      <c r="CA63" s="198">
        <v>0</v>
      </c>
      <c r="CB63" s="198">
        <v>0</v>
      </c>
      <c r="CC63" s="198">
        <v>0</v>
      </c>
      <c r="CD63" s="198">
        <v>0</v>
      </c>
      <c r="CE63" s="198">
        <v>0</v>
      </c>
      <c r="CF63" s="198">
        <v>0</v>
      </c>
      <c r="CG63" s="198">
        <v>0</v>
      </c>
      <c r="CH63" s="198">
        <v>0</v>
      </c>
      <c r="CI63" s="198">
        <v>0</v>
      </c>
      <c r="CJ63" s="198">
        <v>0</v>
      </c>
      <c r="CK63" s="88"/>
    </row>
    <row r="64" spans="1:89" x14ac:dyDescent="0.3">
      <c r="A64" s="173"/>
      <c r="B64" s="197" t="s">
        <v>285</v>
      </c>
      <c r="C64" s="198">
        <v>0</v>
      </c>
      <c r="D64" s="198">
        <v>0</v>
      </c>
      <c r="E64" s="198">
        <v>0</v>
      </c>
      <c r="F64" s="198">
        <v>0</v>
      </c>
      <c r="G64" s="198">
        <v>0</v>
      </c>
      <c r="H64" s="198">
        <v>0</v>
      </c>
      <c r="I64" s="198">
        <v>0</v>
      </c>
      <c r="J64" s="198">
        <v>0</v>
      </c>
      <c r="K64" s="198">
        <v>0</v>
      </c>
      <c r="L64" s="198">
        <v>0</v>
      </c>
      <c r="M64" s="198">
        <v>0</v>
      </c>
      <c r="N64" s="198">
        <v>0</v>
      </c>
      <c r="O64" s="198">
        <v>0</v>
      </c>
      <c r="P64" s="198">
        <v>0</v>
      </c>
      <c r="Q64" s="198">
        <v>0</v>
      </c>
      <c r="R64" s="198">
        <v>0</v>
      </c>
      <c r="S64" s="198">
        <v>0</v>
      </c>
      <c r="T64" s="198">
        <v>0</v>
      </c>
      <c r="U64" s="198">
        <v>0</v>
      </c>
      <c r="V64" s="198">
        <v>0</v>
      </c>
      <c r="W64" s="198">
        <v>0</v>
      </c>
      <c r="X64" s="198">
        <v>1.8</v>
      </c>
      <c r="Y64" s="198">
        <v>0</v>
      </c>
      <c r="Z64" s="198">
        <v>0</v>
      </c>
      <c r="AA64" s="198">
        <v>0.1</v>
      </c>
      <c r="AB64" s="198">
        <v>0</v>
      </c>
      <c r="AC64" s="198">
        <v>0</v>
      </c>
      <c r="AD64" s="198">
        <v>1.6</v>
      </c>
      <c r="AE64" s="198">
        <v>0</v>
      </c>
      <c r="AF64" s="198">
        <v>0</v>
      </c>
      <c r="AG64" s="198">
        <v>0.2</v>
      </c>
      <c r="AH64" s="198">
        <v>31</v>
      </c>
      <c r="AI64" s="198">
        <v>0</v>
      </c>
      <c r="AJ64" s="198">
        <v>33.299999999999997</v>
      </c>
      <c r="AK64" s="198">
        <v>0</v>
      </c>
      <c r="AL64" s="198">
        <v>0</v>
      </c>
      <c r="AM64" s="198">
        <v>2.8</v>
      </c>
      <c r="AN64" s="198">
        <v>0</v>
      </c>
      <c r="AO64" s="198">
        <v>0</v>
      </c>
      <c r="AP64" s="198">
        <v>46</v>
      </c>
      <c r="AQ64" s="198">
        <v>0</v>
      </c>
      <c r="AR64" s="198">
        <v>0</v>
      </c>
      <c r="AS64" s="198">
        <v>6.9</v>
      </c>
      <c r="AT64" s="198">
        <v>0</v>
      </c>
      <c r="AU64" s="198">
        <v>36.799999999999997</v>
      </c>
      <c r="AV64" s="198">
        <v>0</v>
      </c>
      <c r="AW64" s="198">
        <v>0</v>
      </c>
      <c r="AX64" s="198">
        <v>7.4</v>
      </c>
      <c r="AY64" s="198">
        <v>0</v>
      </c>
      <c r="AZ64" s="198">
        <v>0</v>
      </c>
      <c r="BA64" s="198">
        <v>0</v>
      </c>
      <c r="BB64" s="198">
        <v>0</v>
      </c>
      <c r="BC64" s="198">
        <v>0</v>
      </c>
      <c r="BD64" s="198">
        <v>0</v>
      </c>
      <c r="BE64" s="198">
        <v>0</v>
      </c>
      <c r="BF64" s="198">
        <v>0</v>
      </c>
      <c r="BG64" s="198">
        <v>0</v>
      </c>
      <c r="BH64" s="198">
        <v>0</v>
      </c>
      <c r="BI64" s="198">
        <v>0</v>
      </c>
      <c r="BJ64" s="198">
        <v>0</v>
      </c>
      <c r="BK64" s="198">
        <v>0</v>
      </c>
      <c r="BL64" s="198">
        <v>0</v>
      </c>
      <c r="BM64" s="198">
        <v>0</v>
      </c>
      <c r="BN64" s="198">
        <v>0</v>
      </c>
      <c r="BO64" s="198">
        <v>0</v>
      </c>
      <c r="BP64" s="198">
        <v>0</v>
      </c>
      <c r="BQ64" s="198">
        <v>0</v>
      </c>
      <c r="BR64" s="198">
        <v>0</v>
      </c>
      <c r="BS64" s="198">
        <v>0</v>
      </c>
      <c r="BT64" s="198">
        <v>0</v>
      </c>
      <c r="BU64" s="198">
        <v>0</v>
      </c>
      <c r="BV64" s="198">
        <v>0</v>
      </c>
      <c r="BW64" s="198">
        <v>0</v>
      </c>
      <c r="BX64" s="198">
        <v>0</v>
      </c>
      <c r="BY64" s="198">
        <v>0</v>
      </c>
      <c r="BZ64" s="198">
        <v>0</v>
      </c>
      <c r="CA64" s="198">
        <v>0</v>
      </c>
      <c r="CB64" s="198">
        <v>0</v>
      </c>
      <c r="CC64" s="198">
        <v>0</v>
      </c>
      <c r="CD64" s="198">
        <v>0</v>
      </c>
      <c r="CE64" s="198">
        <v>0</v>
      </c>
      <c r="CF64" s="198">
        <v>0</v>
      </c>
      <c r="CG64" s="198">
        <v>0</v>
      </c>
      <c r="CH64" s="198">
        <v>0</v>
      </c>
      <c r="CI64" s="198">
        <v>0</v>
      </c>
      <c r="CJ64" s="198">
        <v>0</v>
      </c>
      <c r="CK64" s="88"/>
    </row>
    <row r="65" spans="1:89" x14ac:dyDescent="0.3">
      <c r="A65" s="173"/>
      <c r="B65" s="197" t="s">
        <v>326</v>
      </c>
      <c r="C65" s="198">
        <v>0</v>
      </c>
      <c r="D65" s="198">
        <v>0</v>
      </c>
      <c r="E65" s="198">
        <v>0</v>
      </c>
      <c r="F65" s="198">
        <v>0</v>
      </c>
      <c r="G65" s="198">
        <v>0</v>
      </c>
      <c r="H65" s="198">
        <v>0</v>
      </c>
      <c r="I65" s="198">
        <v>0</v>
      </c>
      <c r="J65" s="198">
        <v>0</v>
      </c>
      <c r="K65" s="198">
        <v>0</v>
      </c>
      <c r="L65" s="198">
        <v>0</v>
      </c>
      <c r="M65" s="198">
        <v>0</v>
      </c>
      <c r="N65" s="198">
        <v>0</v>
      </c>
      <c r="O65" s="198">
        <v>0</v>
      </c>
      <c r="P65" s="198">
        <v>0</v>
      </c>
      <c r="Q65" s="198">
        <v>0</v>
      </c>
      <c r="R65" s="198">
        <v>0</v>
      </c>
      <c r="S65" s="198">
        <v>0</v>
      </c>
      <c r="T65" s="198">
        <v>0</v>
      </c>
      <c r="U65" s="198">
        <v>0</v>
      </c>
      <c r="V65" s="198">
        <v>0</v>
      </c>
      <c r="W65" s="198">
        <v>0</v>
      </c>
      <c r="X65" s="198">
        <v>0</v>
      </c>
      <c r="Y65" s="198">
        <v>0</v>
      </c>
      <c r="Z65" s="198">
        <v>0</v>
      </c>
      <c r="AA65" s="198">
        <v>0</v>
      </c>
      <c r="AB65" s="198">
        <v>0</v>
      </c>
      <c r="AC65" s="198">
        <v>0</v>
      </c>
      <c r="AD65" s="198">
        <v>0</v>
      </c>
      <c r="AE65" s="198">
        <v>0</v>
      </c>
      <c r="AF65" s="198">
        <v>0</v>
      </c>
      <c r="AG65" s="198">
        <v>0</v>
      </c>
      <c r="AH65" s="198">
        <v>0</v>
      </c>
      <c r="AI65" s="198">
        <v>0</v>
      </c>
      <c r="AJ65" s="198">
        <v>0</v>
      </c>
      <c r="AK65" s="198">
        <v>0</v>
      </c>
      <c r="AL65" s="198">
        <v>0</v>
      </c>
      <c r="AM65" s="198">
        <v>0</v>
      </c>
      <c r="AN65" s="198">
        <v>0</v>
      </c>
      <c r="AO65" s="198">
        <v>0</v>
      </c>
      <c r="AP65" s="198">
        <v>0</v>
      </c>
      <c r="AQ65" s="198">
        <v>0</v>
      </c>
      <c r="AR65" s="198">
        <v>0</v>
      </c>
      <c r="AS65" s="198">
        <v>12</v>
      </c>
      <c r="AT65" s="198">
        <v>0</v>
      </c>
      <c r="AU65" s="198">
        <v>15.4</v>
      </c>
      <c r="AV65" s="198">
        <v>0</v>
      </c>
      <c r="AW65" s="198">
        <v>0</v>
      </c>
      <c r="AX65" s="198">
        <v>24.3</v>
      </c>
      <c r="AY65" s="198">
        <v>0</v>
      </c>
      <c r="AZ65" s="198">
        <v>0</v>
      </c>
      <c r="BA65" s="198">
        <v>16.399999999999999</v>
      </c>
      <c r="BB65" s="198">
        <v>0</v>
      </c>
      <c r="BC65" s="198">
        <v>0</v>
      </c>
      <c r="BD65" s="198">
        <v>22.3</v>
      </c>
      <c r="BE65" s="198">
        <v>0</v>
      </c>
      <c r="BF65" s="198">
        <v>0</v>
      </c>
      <c r="BG65" s="198">
        <v>22.4</v>
      </c>
      <c r="BH65" s="198">
        <v>0</v>
      </c>
      <c r="BI65" s="198">
        <v>0</v>
      </c>
      <c r="BJ65" s="198">
        <v>24.6</v>
      </c>
      <c r="BK65" s="198">
        <v>0</v>
      </c>
      <c r="BL65" s="198">
        <v>0</v>
      </c>
      <c r="BM65" s="198">
        <v>0</v>
      </c>
      <c r="BN65" s="198">
        <v>0</v>
      </c>
      <c r="BO65" s="198">
        <v>0</v>
      </c>
      <c r="BP65" s="198">
        <v>0</v>
      </c>
      <c r="BQ65" s="198">
        <v>0</v>
      </c>
      <c r="BR65" s="198">
        <v>0</v>
      </c>
      <c r="BS65" s="198">
        <v>0</v>
      </c>
      <c r="BT65" s="198">
        <v>0</v>
      </c>
      <c r="BU65" s="198">
        <v>0</v>
      </c>
      <c r="BV65" s="198">
        <v>0</v>
      </c>
      <c r="BW65" s="198">
        <v>0</v>
      </c>
      <c r="BX65" s="198">
        <v>0</v>
      </c>
      <c r="BY65" s="198">
        <v>0</v>
      </c>
      <c r="BZ65" s="198">
        <v>0</v>
      </c>
      <c r="CA65" s="198">
        <v>0</v>
      </c>
      <c r="CB65" s="198">
        <v>0</v>
      </c>
      <c r="CC65" s="198">
        <v>0</v>
      </c>
      <c r="CD65" s="198">
        <v>0</v>
      </c>
      <c r="CE65" s="198">
        <v>0</v>
      </c>
      <c r="CF65" s="198">
        <v>0</v>
      </c>
      <c r="CG65" s="198">
        <v>0</v>
      </c>
      <c r="CH65" s="198">
        <v>0</v>
      </c>
      <c r="CI65" s="198">
        <v>0</v>
      </c>
      <c r="CJ65" s="198">
        <v>0</v>
      </c>
      <c r="CK65" s="88"/>
    </row>
    <row r="66" spans="1:89" x14ac:dyDescent="0.3">
      <c r="A66" s="173"/>
      <c r="B66" s="197" t="s">
        <v>219</v>
      </c>
      <c r="C66" s="198">
        <v>0</v>
      </c>
      <c r="D66" s="198">
        <v>0</v>
      </c>
      <c r="E66" s="198">
        <v>0</v>
      </c>
      <c r="F66" s="198">
        <v>0</v>
      </c>
      <c r="G66" s="198">
        <v>0</v>
      </c>
      <c r="H66" s="198">
        <v>0</v>
      </c>
      <c r="I66" s="198">
        <v>0</v>
      </c>
      <c r="J66" s="198">
        <v>0</v>
      </c>
      <c r="K66" s="198">
        <v>0</v>
      </c>
      <c r="L66" s="198">
        <v>0</v>
      </c>
      <c r="M66" s="198">
        <v>0</v>
      </c>
      <c r="N66" s="198">
        <v>0</v>
      </c>
      <c r="O66" s="198">
        <v>0</v>
      </c>
      <c r="P66" s="198">
        <v>0</v>
      </c>
      <c r="Q66" s="198">
        <v>0</v>
      </c>
      <c r="R66" s="198">
        <v>0</v>
      </c>
      <c r="S66" s="198">
        <v>0</v>
      </c>
      <c r="T66" s="198">
        <v>0</v>
      </c>
      <c r="U66" s="198">
        <v>101.2</v>
      </c>
      <c r="V66" s="198">
        <v>0</v>
      </c>
      <c r="W66" s="198">
        <v>0</v>
      </c>
      <c r="X66" s="198">
        <v>18.7</v>
      </c>
      <c r="Y66" s="198">
        <v>0</v>
      </c>
      <c r="Z66" s="198">
        <v>0</v>
      </c>
      <c r="AA66" s="198">
        <v>92.1</v>
      </c>
      <c r="AB66" s="198">
        <v>0</v>
      </c>
      <c r="AC66" s="198">
        <v>0</v>
      </c>
      <c r="AD66" s="198">
        <v>23.4</v>
      </c>
      <c r="AE66" s="198">
        <v>0</v>
      </c>
      <c r="AF66" s="198">
        <v>0</v>
      </c>
      <c r="AG66" s="198">
        <v>89.2</v>
      </c>
      <c r="AH66" s="198">
        <v>0</v>
      </c>
      <c r="AI66" s="198">
        <v>0</v>
      </c>
      <c r="AJ66" s="198">
        <v>30.3</v>
      </c>
      <c r="AK66" s="198">
        <v>0</v>
      </c>
      <c r="AL66" s="198">
        <v>0</v>
      </c>
      <c r="AM66" s="198">
        <v>92.3</v>
      </c>
      <c r="AN66" s="198">
        <v>0</v>
      </c>
      <c r="AO66" s="198">
        <v>0</v>
      </c>
      <c r="AP66" s="198">
        <v>36.6</v>
      </c>
      <c r="AQ66" s="198">
        <v>0</v>
      </c>
      <c r="AR66" s="198">
        <v>0</v>
      </c>
      <c r="AS66" s="198">
        <v>87</v>
      </c>
      <c r="AT66" s="198">
        <v>0</v>
      </c>
      <c r="AU66" s="198">
        <v>43.4</v>
      </c>
      <c r="AV66" s="198">
        <v>0</v>
      </c>
      <c r="AW66" s="198">
        <v>0</v>
      </c>
      <c r="AX66" s="198">
        <v>80.8</v>
      </c>
      <c r="AY66" s="198">
        <v>0</v>
      </c>
      <c r="AZ66" s="198">
        <v>0</v>
      </c>
      <c r="BA66" s="198">
        <v>0</v>
      </c>
      <c r="BB66" s="198">
        <v>0</v>
      </c>
      <c r="BC66" s="198">
        <v>0</v>
      </c>
      <c r="BD66" s="198">
        <v>0</v>
      </c>
      <c r="BE66" s="198">
        <v>0</v>
      </c>
      <c r="BF66" s="198">
        <v>0</v>
      </c>
      <c r="BG66" s="198">
        <v>0</v>
      </c>
      <c r="BH66" s="198">
        <v>0</v>
      </c>
      <c r="BI66" s="198">
        <v>0</v>
      </c>
      <c r="BJ66" s="198">
        <v>0</v>
      </c>
      <c r="BK66" s="198">
        <v>0</v>
      </c>
      <c r="BL66" s="198">
        <v>0</v>
      </c>
      <c r="BM66" s="198">
        <v>0</v>
      </c>
      <c r="BN66" s="198">
        <v>0</v>
      </c>
      <c r="BO66" s="198">
        <v>0</v>
      </c>
      <c r="BP66" s="198">
        <v>0</v>
      </c>
      <c r="BQ66" s="198">
        <v>0</v>
      </c>
      <c r="BR66" s="198">
        <v>0</v>
      </c>
      <c r="BS66" s="198">
        <v>0</v>
      </c>
      <c r="BT66" s="198">
        <v>0</v>
      </c>
      <c r="BU66" s="198">
        <v>0</v>
      </c>
      <c r="BV66" s="198">
        <v>0</v>
      </c>
      <c r="BW66" s="198">
        <v>0</v>
      </c>
      <c r="BX66" s="198">
        <v>0</v>
      </c>
      <c r="BY66" s="198">
        <v>0</v>
      </c>
      <c r="BZ66" s="198">
        <v>0</v>
      </c>
      <c r="CA66" s="198">
        <v>0</v>
      </c>
      <c r="CB66" s="198">
        <v>0</v>
      </c>
      <c r="CC66" s="198">
        <v>0</v>
      </c>
      <c r="CD66" s="198">
        <v>0</v>
      </c>
      <c r="CE66" s="198">
        <v>0</v>
      </c>
      <c r="CF66" s="198">
        <v>0</v>
      </c>
      <c r="CG66" s="198">
        <v>0</v>
      </c>
      <c r="CH66" s="198">
        <v>0</v>
      </c>
      <c r="CI66" s="198">
        <v>0</v>
      </c>
      <c r="CJ66" s="198">
        <v>0</v>
      </c>
      <c r="CK66" s="88"/>
    </row>
    <row r="67" spans="1:89" x14ac:dyDescent="0.3">
      <c r="A67" s="173"/>
      <c r="B67" s="197" t="s">
        <v>218</v>
      </c>
      <c r="C67" s="198">
        <v>0</v>
      </c>
      <c r="D67" s="198">
        <v>0</v>
      </c>
      <c r="E67" s="198">
        <v>0</v>
      </c>
      <c r="F67" s="198">
        <v>0</v>
      </c>
      <c r="G67" s="198">
        <v>0</v>
      </c>
      <c r="H67" s="198">
        <v>0</v>
      </c>
      <c r="I67" s="198">
        <v>0</v>
      </c>
      <c r="J67" s="198">
        <v>1.9</v>
      </c>
      <c r="K67" s="198">
        <v>0</v>
      </c>
      <c r="L67" s="198">
        <v>0</v>
      </c>
      <c r="M67" s="198">
        <v>4</v>
      </c>
      <c r="N67" s="198">
        <v>0</v>
      </c>
      <c r="O67" s="198">
        <v>0</v>
      </c>
      <c r="P67" s="198">
        <v>0</v>
      </c>
      <c r="Q67" s="198">
        <v>0</v>
      </c>
      <c r="R67" s="198">
        <v>0</v>
      </c>
      <c r="S67" s="198">
        <v>3.6</v>
      </c>
      <c r="T67" s="198">
        <v>0</v>
      </c>
      <c r="U67" s="198">
        <v>0</v>
      </c>
      <c r="V67" s="198">
        <v>1.3</v>
      </c>
      <c r="W67" s="198">
        <v>0</v>
      </c>
      <c r="X67" s="198">
        <v>3.4</v>
      </c>
      <c r="Y67" s="198">
        <v>0</v>
      </c>
      <c r="Z67" s="198">
        <v>0</v>
      </c>
      <c r="AA67" s="198">
        <v>1.4</v>
      </c>
      <c r="AB67" s="198">
        <v>0</v>
      </c>
      <c r="AC67" s="198">
        <v>0</v>
      </c>
      <c r="AD67" s="198">
        <v>3.1</v>
      </c>
      <c r="AE67" s="198">
        <v>0</v>
      </c>
      <c r="AF67" s="198">
        <v>0</v>
      </c>
      <c r="AG67" s="198">
        <v>1.6</v>
      </c>
      <c r="AH67" s="198">
        <v>0</v>
      </c>
      <c r="AI67" s="198">
        <v>0</v>
      </c>
      <c r="AJ67" s="198">
        <v>3.3</v>
      </c>
      <c r="AK67" s="198">
        <v>0</v>
      </c>
      <c r="AL67" s="198">
        <v>0</v>
      </c>
      <c r="AM67" s="198">
        <v>1.9</v>
      </c>
      <c r="AN67" s="198">
        <v>0</v>
      </c>
      <c r="AO67" s="198">
        <v>0</v>
      </c>
      <c r="AP67" s="198">
        <v>3.3</v>
      </c>
      <c r="AQ67" s="198">
        <v>0</v>
      </c>
      <c r="AR67" s="198">
        <v>0</v>
      </c>
      <c r="AS67" s="198">
        <v>2</v>
      </c>
      <c r="AT67" s="198">
        <v>0</v>
      </c>
      <c r="AU67" s="198">
        <v>3.2</v>
      </c>
      <c r="AV67" s="198">
        <v>0</v>
      </c>
      <c r="AW67" s="198">
        <v>0</v>
      </c>
      <c r="AX67" s="198">
        <v>2.1</v>
      </c>
      <c r="AY67" s="198">
        <v>0</v>
      </c>
      <c r="AZ67" s="198">
        <v>0</v>
      </c>
      <c r="BA67" s="198">
        <v>3</v>
      </c>
      <c r="BB67" s="198">
        <v>0</v>
      </c>
      <c r="BC67" s="198">
        <v>0</v>
      </c>
      <c r="BD67" s="198">
        <v>2.2000000000000002</v>
      </c>
      <c r="BE67" s="198">
        <v>0</v>
      </c>
      <c r="BF67" s="198">
        <v>0</v>
      </c>
      <c r="BG67" s="198">
        <v>2.5</v>
      </c>
      <c r="BH67" s="198">
        <v>0</v>
      </c>
      <c r="BI67" s="198">
        <v>0</v>
      </c>
      <c r="BJ67" s="198">
        <v>1.8</v>
      </c>
      <c r="BK67" s="198">
        <v>0</v>
      </c>
      <c r="BL67" s="198">
        <v>0</v>
      </c>
      <c r="BM67" s="198">
        <v>0</v>
      </c>
      <c r="BN67" s="198">
        <v>0</v>
      </c>
      <c r="BO67" s="198">
        <v>0</v>
      </c>
      <c r="BP67" s="198">
        <v>0</v>
      </c>
      <c r="BQ67" s="198">
        <v>0</v>
      </c>
      <c r="BR67" s="198">
        <v>0</v>
      </c>
      <c r="BS67" s="198">
        <v>0</v>
      </c>
      <c r="BT67" s="198">
        <v>0</v>
      </c>
      <c r="BU67" s="198">
        <v>0</v>
      </c>
      <c r="BV67" s="198">
        <v>0</v>
      </c>
      <c r="BW67" s="198">
        <v>0</v>
      </c>
      <c r="BX67" s="198">
        <v>0</v>
      </c>
      <c r="BY67" s="198">
        <v>0</v>
      </c>
      <c r="BZ67" s="198">
        <v>0</v>
      </c>
      <c r="CA67" s="198">
        <v>0</v>
      </c>
      <c r="CB67" s="198">
        <v>0</v>
      </c>
      <c r="CC67" s="198">
        <v>0</v>
      </c>
      <c r="CD67" s="198">
        <v>0</v>
      </c>
      <c r="CE67" s="198">
        <v>0</v>
      </c>
      <c r="CF67" s="198">
        <v>0</v>
      </c>
      <c r="CG67" s="198">
        <v>0</v>
      </c>
      <c r="CH67" s="198">
        <v>0</v>
      </c>
      <c r="CI67" s="198">
        <v>0</v>
      </c>
      <c r="CJ67" s="198">
        <v>0</v>
      </c>
      <c r="CK67" s="88"/>
    </row>
    <row r="68" spans="1:89" x14ac:dyDescent="0.3">
      <c r="A68" s="173"/>
      <c r="B68" s="197" t="s">
        <v>328</v>
      </c>
      <c r="C68" s="198">
        <v>0</v>
      </c>
      <c r="D68" s="198">
        <v>0</v>
      </c>
      <c r="E68" s="198">
        <v>0</v>
      </c>
      <c r="F68" s="198">
        <v>0</v>
      </c>
      <c r="G68" s="198">
        <v>0</v>
      </c>
      <c r="H68" s="198">
        <v>0</v>
      </c>
      <c r="I68" s="198">
        <v>0</v>
      </c>
      <c r="J68" s="198">
        <v>0</v>
      </c>
      <c r="K68" s="198">
        <v>0</v>
      </c>
      <c r="L68" s="198">
        <v>0</v>
      </c>
      <c r="M68" s="198">
        <v>0</v>
      </c>
      <c r="N68" s="198">
        <v>0</v>
      </c>
      <c r="O68" s="198">
        <v>0</v>
      </c>
      <c r="P68" s="198">
        <v>0</v>
      </c>
      <c r="Q68" s="198">
        <v>0</v>
      </c>
      <c r="R68" s="198">
        <v>0</v>
      </c>
      <c r="S68" s="198">
        <v>0</v>
      </c>
      <c r="T68" s="198">
        <v>0</v>
      </c>
      <c r="U68" s="198">
        <v>0</v>
      </c>
      <c r="V68" s="198">
        <v>0</v>
      </c>
      <c r="W68" s="198">
        <v>0</v>
      </c>
      <c r="X68" s="198">
        <v>0</v>
      </c>
      <c r="Y68" s="198">
        <v>0</v>
      </c>
      <c r="Z68" s="198">
        <v>0</v>
      </c>
      <c r="AA68" s="198">
        <v>0</v>
      </c>
      <c r="AB68" s="198">
        <v>0</v>
      </c>
      <c r="AC68" s="198">
        <v>0</v>
      </c>
      <c r="AD68" s="198">
        <v>0</v>
      </c>
      <c r="AE68" s="198">
        <v>0</v>
      </c>
      <c r="AF68" s="198">
        <v>0</v>
      </c>
      <c r="AG68" s="198">
        <v>0</v>
      </c>
      <c r="AH68" s="198">
        <v>0</v>
      </c>
      <c r="AI68" s="198">
        <v>0</v>
      </c>
      <c r="AJ68" s="198">
        <v>0</v>
      </c>
      <c r="AK68" s="198">
        <v>0</v>
      </c>
      <c r="AL68" s="198">
        <v>0</v>
      </c>
      <c r="AM68" s="198">
        <v>0</v>
      </c>
      <c r="AN68" s="198">
        <v>0</v>
      </c>
      <c r="AO68" s="198">
        <v>0</v>
      </c>
      <c r="AP68" s="198">
        <v>0</v>
      </c>
      <c r="AQ68" s="198">
        <v>0</v>
      </c>
      <c r="AR68" s="198">
        <v>0</v>
      </c>
      <c r="AS68" s="198">
        <v>0</v>
      </c>
      <c r="AT68" s="198">
        <v>0.4</v>
      </c>
      <c r="AU68" s="198">
        <v>0.4</v>
      </c>
      <c r="AV68" s="198">
        <v>0</v>
      </c>
      <c r="AW68" s="198">
        <v>0</v>
      </c>
      <c r="AX68" s="198">
        <v>0.7</v>
      </c>
      <c r="AY68" s="198">
        <v>0</v>
      </c>
      <c r="AZ68" s="198">
        <v>0</v>
      </c>
      <c r="BA68" s="198">
        <v>0.1</v>
      </c>
      <c r="BB68" s="198">
        <v>0</v>
      </c>
      <c r="BC68" s="198">
        <v>0</v>
      </c>
      <c r="BD68" s="198">
        <v>0.6</v>
      </c>
      <c r="BE68" s="198">
        <v>0</v>
      </c>
      <c r="BF68" s="198">
        <v>0</v>
      </c>
      <c r="BG68" s="198">
        <v>0.2</v>
      </c>
      <c r="BH68" s="198">
        <v>0</v>
      </c>
      <c r="BI68" s="198">
        <v>0</v>
      </c>
      <c r="BJ68" s="198">
        <v>0</v>
      </c>
      <c r="BK68" s="198">
        <v>0</v>
      </c>
      <c r="BL68" s="198">
        <v>0</v>
      </c>
      <c r="BM68" s="198">
        <v>0</v>
      </c>
      <c r="BN68" s="198">
        <v>0</v>
      </c>
      <c r="BO68" s="198">
        <v>0</v>
      </c>
      <c r="BP68" s="198">
        <v>0</v>
      </c>
      <c r="BQ68" s="198">
        <v>0</v>
      </c>
      <c r="BR68" s="198">
        <v>0</v>
      </c>
      <c r="BS68" s="198">
        <v>0</v>
      </c>
      <c r="BT68" s="198">
        <v>0</v>
      </c>
      <c r="BU68" s="198">
        <v>0</v>
      </c>
      <c r="BV68" s="198">
        <v>0</v>
      </c>
      <c r="BW68" s="198">
        <v>0</v>
      </c>
      <c r="BX68" s="198">
        <v>0</v>
      </c>
      <c r="BY68" s="198">
        <v>0</v>
      </c>
      <c r="BZ68" s="198">
        <v>0</v>
      </c>
      <c r="CA68" s="198">
        <v>0</v>
      </c>
      <c r="CB68" s="198">
        <v>0</v>
      </c>
      <c r="CC68" s="198">
        <v>0</v>
      </c>
      <c r="CD68" s="198">
        <v>0</v>
      </c>
      <c r="CE68" s="198">
        <v>0</v>
      </c>
      <c r="CF68" s="198">
        <v>0</v>
      </c>
      <c r="CG68" s="198">
        <v>0</v>
      </c>
      <c r="CH68" s="198">
        <v>0</v>
      </c>
      <c r="CI68" s="198">
        <v>0</v>
      </c>
      <c r="CJ68" s="198">
        <v>0</v>
      </c>
      <c r="CK68" s="88"/>
    </row>
    <row r="69" spans="1:89" x14ac:dyDescent="0.3">
      <c r="A69" s="173"/>
      <c r="B69" s="197" t="s">
        <v>55</v>
      </c>
      <c r="C69" s="198">
        <v>0</v>
      </c>
      <c r="D69" s="198">
        <v>0</v>
      </c>
      <c r="E69" s="198">
        <v>0</v>
      </c>
      <c r="F69" s="198">
        <v>0</v>
      </c>
      <c r="G69" s="198">
        <v>0</v>
      </c>
      <c r="H69" s="198">
        <v>0</v>
      </c>
      <c r="I69" s="198">
        <v>0</v>
      </c>
      <c r="J69" s="198">
        <v>0</v>
      </c>
      <c r="K69" s="198">
        <v>0</v>
      </c>
      <c r="L69" s="198">
        <v>0</v>
      </c>
      <c r="M69" s="198">
        <v>0</v>
      </c>
      <c r="N69" s="198">
        <v>0</v>
      </c>
      <c r="O69" s="198">
        <v>0</v>
      </c>
      <c r="P69" s="198">
        <v>0</v>
      </c>
      <c r="Q69" s="198">
        <v>0</v>
      </c>
      <c r="R69" s="198">
        <v>0</v>
      </c>
      <c r="S69" s="198">
        <v>0</v>
      </c>
      <c r="T69" s="198">
        <v>0</v>
      </c>
      <c r="U69" s="198">
        <v>0</v>
      </c>
      <c r="V69" s="198">
        <v>0</v>
      </c>
      <c r="W69" s="198">
        <v>0</v>
      </c>
      <c r="X69" s="198">
        <v>0</v>
      </c>
      <c r="Y69" s="198">
        <v>0</v>
      </c>
      <c r="Z69" s="198">
        <v>0</v>
      </c>
      <c r="AA69" s="198">
        <v>0</v>
      </c>
      <c r="AB69" s="198">
        <v>0</v>
      </c>
      <c r="AC69" s="198">
        <v>0</v>
      </c>
      <c r="AD69" s="198">
        <v>0</v>
      </c>
      <c r="AE69" s="198">
        <v>0</v>
      </c>
      <c r="AF69" s="198">
        <v>0</v>
      </c>
      <c r="AG69" s="198">
        <v>0</v>
      </c>
      <c r="AH69" s="198">
        <v>0</v>
      </c>
      <c r="AI69" s="198">
        <v>0</v>
      </c>
      <c r="AJ69" s="198">
        <v>0</v>
      </c>
      <c r="AK69" s="198">
        <v>0</v>
      </c>
      <c r="AL69" s="198">
        <v>0</v>
      </c>
      <c r="AM69" s="198">
        <v>0</v>
      </c>
      <c r="AN69" s="198">
        <v>0</v>
      </c>
      <c r="AO69" s="198">
        <v>0</v>
      </c>
      <c r="AP69" s="198">
        <v>0</v>
      </c>
      <c r="AQ69" s="198">
        <v>0</v>
      </c>
      <c r="AR69" s="198">
        <v>0</v>
      </c>
      <c r="AS69" s="198">
        <v>0</v>
      </c>
      <c r="AT69" s="198">
        <v>0</v>
      </c>
      <c r="AU69" s="198">
        <v>0</v>
      </c>
      <c r="AV69" s="198">
        <v>0</v>
      </c>
      <c r="AW69" s="198">
        <v>0</v>
      </c>
      <c r="AX69" s="198">
        <v>0</v>
      </c>
      <c r="AY69" s="198">
        <v>0</v>
      </c>
      <c r="AZ69" s="198">
        <v>0</v>
      </c>
      <c r="BA69" s="198">
        <v>0</v>
      </c>
      <c r="BB69" s="198">
        <v>0</v>
      </c>
      <c r="BC69" s="198">
        <v>0</v>
      </c>
      <c r="BD69" s="198">
        <v>0</v>
      </c>
      <c r="BE69" s="198">
        <v>0</v>
      </c>
      <c r="BF69" s="198">
        <v>0</v>
      </c>
      <c r="BG69" s="198">
        <v>0</v>
      </c>
      <c r="BH69" s="198">
        <v>0</v>
      </c>
      <c r="BI69" s="198">
        <v>0</v>
      </c>
      <c r="BJ69" s="198">
        <v>0</v>
      </c>
      <c r="BK69" s="198">
        <v>0</v>
      </c>
      <c r="BL69" s="198">
        <v>0</v>
      </c>
      <c r="BM69" s="198">
        <v>0</v>
      </c>
      <c r="BN69" s="198">
        <v>0</v>
      </c>
      <c r="BO69" s="198">
        <v>0</v>
      </c>
      <c r="BP69" s="198">
        <v>0</v>
      </c>
      <c r="BQ69" s="198">
        <v>0</v>
      </c>
      <c r="BR69" s="198">
        <v>0</v>
      </c>
      <c r="BS69" s="198">
        <v>0</v>
      </c>
      <c r="BT69" s="198">
        <v>0</v>
      </c>
      <c r="BU69" s="198">
        <v>0</v>
      </c>
      <c r="BV69" s="198">
        <v>21.9</v>
      </c>
      <c r="BW69" s="198">
        <v>0</v>
      </c>
      <c r="BX69" s="198">
        <v>0</v>
      </c>
      <c r="BY69" s="198">
        <v>0</v>
      </c>
      <c r="BZ69" s="198">
        <v>0</v>
      </c>
      <c r="CA69" s="198">
        <v>0</v>
      </c>
      <c r="CB69" s="198">
        <v>0</v>
      </c>
      <c r="CC69" s="198">
        <v>0</v>
      </c>
      <c r="CD69" s="198">
        <v>0</v>
      </c>
      <c r="CE69" s="198">
        <v>0</v>
      </c>
      <c r="CF69" s="198">
        <v>0</v>
      </c>
      <c r="CG69" s="198">
        <v>0</v>
      </c>
      <c r="CH69" s="198">
        <v>0</v>
      </c>
      <c r="CI69" s="198">
        <v>0</v>
      </c>
      <c r="CJ69" s="198">
        <v>0</v>
      </c>
      <c r="CK69" s="88"/>
    </row>
    <row r="70" spans="1:89" x14ac:dyDescent="0.3">
      <c r="A70" s="173"/>
      <c r="B70" s="109" t="s">
        <v>185</v>
      </c>
      <c r="C70" s="196">
        <v>1036</v>
      </c>
      <c r="D70" s="196">
        <v>6057.5</v>
      </c>
      <c r="E70" s="196">
        <v>1660.3</v>
      </c>
      <c r="F70" s="196">
        <v>3301.6</v>
      </c>
      <c r="G70" s="196">
        <v>172.7</v>
      </c>
      <c r="H70" s="196">
        <v>1407.8</v>
      </c>
      <c r="I70" s="196">
        <v>122.2</v>
      </c>
      <c r="J70" s="196">
        <v>42.6</v>
      </c>
      <c r="K70" s="196">
        <v>27.6</v>
      </c>
      <c r="L70" s="196">
        <v>30</v>
      </c>
      <c r="M70" s="196">
        <v>48</v>
      </c>
      <c r="N70" s="196">
        <v>1389</v>
      </c>
      <c r="O70" s="196">
        <f t="shared" ref="O70:BZ70" si="31">+SUM(O71:O189)</f>
        <v>1302</v>
      </c>
      <c r="P70" s="196">
        <f t="shared" si="31"/>
        <v>1125.0999999999999</v>
      </c>
      <c r="Q70" s="196">
        <f t="shared" si="31"/>
        <v>7463.8</v>
      </c>
      <c r="R70" s="196">
        <f t="shared" si="31"/>
        <v>3821.1</v>
      </c>
      <c r="S70" s="196">
        <f t="shared" si="31"/>
        <v>3557.5</v>
      </c>
      <c r="T70" s="196">
        <f t="shared" si="31"/>
        <v>515.80000000000007</v>
      </c>
      <c r="U70" s="196">
        <f t="shared" si="31"/>
        <v>4839.7000000000007</v>
      </c>
      <c r="V70" s="196">
        <f t="shared" si="31"/>
        <v>459.3</v>
      </c>
      <c r="W70" s="196">
        <f t="shared" si="31"/>
        <v>111648.8</v>
      </c>
      <c r="X70" s="196">
        <f t="shared" si="31"/>
        <v>3552.1000000000004</v>
      </c>
      <c r="Y70" s="196">
        <f t="shared" si="31"/>
        <v>4236.7</v>
      </c>
      <c r="Z70" s="196">
        <f t="shared" si="31"/>
        <v>2533.4</v>
      </c>
      <c r="AA70" s="196">
        <f t="shared" si="31"/>
        <v>8276.4</v>
      </c>
      <c r="AB70" s="196">
        <f t="shared" si="31"/>
        <v>1615.8</v>
      </c>
      <c r="AC70" s="196">
        <f t="shared" si="31"/>
        <v>2476.3000000000002</v>
      </c>
      <c r="AD70" s="196">
        <f t="shared" si="31"/>
        <v>2189.7999999999997</v>
      </c>
      <c r="AE70" s="196">
        <f t="shared" si="31"/>
        <v>1208.5999999999999</v>
      </c>
      <c r="AF70" s="196">
        <f t="shared" si="31"/>
        <v>2025.8</v>
      </c>
      <c r="AG70" s="196">
        <f t="shared" si="31"/>
        <v>1886.3000000000002</v>
      </c>
      <c r="AH70" s="196">
        <f t="shared" si="31"/>
        <v>1085.4000000000001</v>
      </c>
      <c r="AI70" s="196">
        <f t="shared" si="31"/>
        <v>3377.1</v>
      </c>
      <c r="AJ70" s="196">
        <f t="shared" si="31"/>
        <v>2264.6999999999998</v>
      </c>
      <c r="AK70" s="196">
        <f t="shared" si="31"/>
        <v>2471.1999999999998</v>
      </c>
      <c r="AL70" s="196">
        <f t="shared" si="31"/>
        <v>2473.6000000000004</v>
      </c>
      <c r="AM70" s="196">
        <f t="shared" si="31"/>
        <v>933.90000000000009</v>
      </c>
      <c r="AN70" s="196">
        <f t="shared" si="31"/>
        <v>823.50000000000011</v>
      </c>
      <c r="AO70" s="196">
        <f t="shared" si="31"/>
        <v>4688.4000000000005</v>
      </c>
      <c r="AP70" s="196">
        <f t="shared" si="31"/>
        <v>9206.2999999999993</v>
      </c>
      <c r="AQ70" s="196">
        <f t="shared" si="31"/>
        <v>4662.4000000000005</v>
      </c>
      <c r="AR70" s="196">
        <f t="shared" si="31"/>
        <v>2393.1</v>
      </c>
      <c r="AS70" s="196">
        <f t="shared" si="31"/>
        <v>673.8</v>
      </c>
      <c r="AT70" s="196">
        <f t="shared" si="31"/>
        <v>13742.300000000001</v>
      </c>
      <c r="AU70" s="196">
        <f t="shared" si="31"/>
        <v>3673.6</v>
      </c>
      <c r="AV70" s="196">
        <f t="shared" si="31"/>
        <v>1201.5999999999999</v>
      </c>
      <c r="AW70" s="196">
        <f t="shared" si="31"/>
        <v>6980.6</v>
      </c>
      <c r="AX70" s="196">
        <f t="shared" si="31"/>
        <v>1885.4</v>
      </c>
      <c r="AY70" s="196">
        <f t="shared" si="31"/>
        <v>17484.400000000001</v>
      </c>
      <c r="AZ70" s="196">
        <f t="shared" si="31"/>
        <v>396</v>
      </c>
      <c r="BA70" s="196">
        <f t="shared" si="31"/>
        <v>23795.600000000002</v>
      </c>
      <c r="BB70" s="196">
        <f t="shared" si="31"/>
        <v>4465.5000000000009</v>
      </c>
      <c r="BC70" s="196">
        <f t="shared" si="31"/>
        <v>4234.9000000000005</v>
      </c>
      <c r="BD70" s="196">
        <f t="shared" si="31"/>
        <v>36082.299999999996</v>
      </c>
      <c r="BE70" s="196">
        <f t="shared" si="31"/>
        <v>5331.7999999999993</v>
      </c>
      <c r="BF70" s="196">
        <f t="shared" si="31"/>
        <v>6003.4</v>
      </c>
      <c r="BG70" s="196">
        <f t="shared" si="31"/>
        <v>6860.8999999999987</v>
      </c>
      <c r="BH70" s="196">
        <f t="shared" si="31"/>
        <v>6817.5</v>
      </c>
      <c r="BI70" s="196">
        <f t="shared" si="31"/>
        <v>6108.4000000000005</v>
      </c>
      <c r="BJ70" s="196">
        <f t="shared" si="31"/>
        <v>3086.2000000000003</v>
      </c>
      <c r="BK70" s="196">
        <f t="shared" si="31"/>
        <v>10989</v>
      </c>
      <c r="BL70" s="196">
        <f t="shared" si="31"/>
        <v>10195</v>
      </c>
      <c r="BM70" s="196">
        <f t="shared" si="31"/>
        <v>51054.2</v>
      </c>
      <c r="BN70" s="196">
        <f t="shared" si="31"/>
        <v>2505.5000000000005</v>
      </c>
      <c r="BO70" s="196">
        <f t="shared" si="31"/>
        <v>1944.9</v>
      </c>
      <c r="BP70" s="196">
        <f t="shared" si="31"/>
        <v>398.29999999999995</v>
      </c>
      <c r="BQ70" s="196">
        <f t="shared" si="31"/>
        <v>26177.899999999998</v>
      </c>
      <c r="BR70" s="196">
        <f t="shared" si="31"/>
        <v>6782.7999999999993</v>
      </c>
      <c r="BS70" s="196">
        <f t="shared" si="31"/>
        <v>1237</v>
      </c>
      <c r="BT70" s="196">
        <f t="shared" si="31"/>
        <v>3403.5999999999995</v>
      </c>
      <c r="BU70" s="196">
        <f t="shared" si="31"/>
        <v>8982.7000000000007</v>
      </c>
      <c r="BV70" s="196">
        <f t="shared" si="31"/>
        <v>1661.4</v>
      </c>
      <c r="BW70" s="196">
        <f t="shared" si="31"/>
        <v>20104.499999999996</v>
      </c>
      <c r="BX70" s="196">
        <f t="shared" si="31"/>
        <v>1606.6</v>
      </c>
      <c r="BY70" s="196">
        <f t="shared" si="31"/>
        <v>905.6</v>
      </c>
      <c r="BZ70" s="196">
        <f t="shared" si="31"/>
        <v>2302.1</v>
      </c>
      <c r="CA70" s="196">
        <f t="shared" ref="CA70:CB70" si="32">+SUM(CA71:CA189)</f>
        <v>6518.4000000000005</v>
      </c>
      <c r="CB70" s="196">
        <f t="shared" si="32"/>
        <v>1957.9</v>
      </c>
      <c r="CC70" s="196">
        <f t="shared" ref="CC70:CD70" si="33">+SUM(CC71:CC189)</f>
        <v>7051.1</v>
      </c>
      <c r="CD70" s="196">
        <f t="shared" si="33"/>
        <v>7040</v>
      </c>
      <c r="CE70" s="196">
        <f t="shared" ref="CE70:CF70" si="34">+SUM(CE71:CE189)</f>
        <v>1534.7000000000003</v>
      </c>
      <c r="CF70" s="196">
        <f t="shared" si="34"/>
        <v>4305.3999999999996</v>
      </c>
      <c r="CG70" s="196">
        <f t="shared" ref="CG70:CH70" si="35">+SUM(CG71:CG189)</f>
        <v>6097.9</v>
      </c>
      <c r="CH70" s="196">
        <f t="shared" si="35"/>
        <v>15404.7</v>
      </c>
      <c r="CI70" s="196">
        <f t="shared" ref="CI70:CJ70" si="36">+SUM(CI71:CI189)</f>
        <v>2007.8999999999996</v>
      </c>
      <c r="CJ70" s="196">
        <f t="shared" si="36"/>
        <v>12115.5</v>
      </c>
      <c r="CK70" s="88"/>
    </row>
    <row r="71" spans="1:89" x14ac:dyDescent="0.3">
      <c r="A71" s="173"/>
      <c r="B71" s="197" t="s">
        <v>156</v>
      </c>
      <c r="C71" s="198">
        <v>0</v>
      </c>
      <c r="D71" s="198">
        <v>80.7</v>
      </c>
      <c r="E71" s="203">
        <v>25.8</v>
      </c>
      <c r="F71" s="198">
        <v>40.4</v>
      </c>
      <c r="G71" s="198">
        <v>39</v>
      </c>
      <c r="H71" s="198">
        <v>62.2</v>
      </c>
      <c r="I71" s="198">
        <v>46.8</v>
      </c>
      <c r="J71" s="198">
        <v>39.700000000000003</v>
      </c>
      <c r="K71" s="198">
        <v>27.6</v>
      </c>
      <c r="L71" s="198">
        <v>30</v>
      </c>
      <c r="M71" s="198">
        <v>48</v>
      </c>
      <c r="N71" s="198">
        <v>57</v>
      </c>
      <c r="O71" s="198">
        <v>34.299999999999997</v>
      </c>
      <c r="P71" s="198">
        <v>59.9</v>
      </c>
      <c r="Q71" s="198">
        <v>38.799999999999997</v>
      </c>
      <c r="R71" s="198">
        <v>0</v>
      </c>
      <c r="S71" s="198">
        <v>0</v>
      </c>
      <c r="T71" s="198">
        <v>0</v>
      </c>
      <c r="U71" s="198">
        <v>0</v>
      </c>
      <c r="V71" s="198">
        <v>0</v>
      </c>
      <c r="W71" s="198">
        <v>0</v>
      </c>
      <c r="X71" s="198">
        <v>0</v>
      </c>
      <c r="Y71" s="198">
        <v>0</v>
      </c>
      <c r="Z71" s="198">
        <v>0</v>
      </c>
      <c r="AA71" s="198">
        <v>0</v>
      </c>
      <c r="AB71" s="198">
        <v>0</v>
      </c>
      <c r="AC71" s="198">
        <v>0</v>
      </c>
      <c r="AD71" s="198">
        <v>0</v>
      </c>
      <c r="AE71" s="198">
        <v>0</v>
      </c>
      <c r="AF71" s="198">
        <v>0</v>
      </c>
      <c r="AG71" s="198">
        <v>0</v>
      </c>
      <c r="AH71" s="198">
        <v>0</v>
      </c>
      <c r="AI71" s="198">
        <v>0</v>
      </c>
      <c r="AJ71" s="198">
        <v>0</v>
      </c>
      <c r="AK71" s="198">
        <v>0</v>
      </c>
      <c r="AL71" s="198">
        <v>0</v>
      </c>
      <c r="AM71" s="198">
        <v>0</v>
      </c>
      <c r="AN71" s="198">
        <v>0</v>
      </c>
      <c r="AO71" s="198">
        <v>0</v>
      </c>
      <c r="AP71" s="198">
        <v>0</v>
      </c>
      <c r="AQ71" s="198">
        <v>0</v>
      </c>
      <c r="AR71" s="198">
        <v>0</v>
      </c>
      <c r="AS71" s="198">
        <v>0</v>
      </c>
      <c r="AT71" s="198">
        <v>0</v>
      </c>
      <c r="AU71" s="198">
        <v>0</v>
      </c>
      <c r="AV71" s="198">
        <v>0</v>
      </c>
      <c r="AW71" s="198">
        <v>0</v>
      </c>
      <c r="AX71" s="198">
        <v>0</v>
      </c>
      <c r="AY71" s="198">
        <v>0</v>
      </c>
      <c r="AZ71" s="198">
        <v>0</v>
      </c>
      <c r="BA71" s="198">
        <v>0</v>
      </c>
      <c r="BB71" s="198">
        <v>0</v>
      </c>
      <c r="BC71" s="198">
        <v>0</v>
      </c>
      <c r="BD71" s="198">
        <v>0</v>
      </c>
      <c r="BE71" s="198">
        <v>0</v>
      </c>
      <c r="BF71" s="198">
        <v>0</v>
      </c>
      <c r="BG71" s="198">
        <v>0</v>
      </c>
      <c r="BH71" s="198">
        <v>0</v>
      </c>
      <c r="BI71" s="198">
        <v>0</v>
      </c>
      <c r="BJ71" s="198">
        <v>0</v>
      </c>
      <c r="BK71" s="198">
        <v>0</v>
      </c>
      <c r="BL71" s="198">
        <v>0</v>
      </c>
      <c r="BM71" s="198">
        <v>0</v>
      </c>
      <c r="BN71" s="198">
        <v>0</v>
      </c>
      <c r="BO71" s="198">
        <v>0</v>
      </c>
      <c r="BP71" s="198">
        <v>0</v>
      </c>
      <c r="BQ71" s="198">
        <v>0</v>
      </c>
      <c r="BR71" s="198">
        <v>0</v>
      </c>
      <c r="BS71" s="198">
        <v>0</v>
      </c>
      <c r="BT71" s="198">
        <v>0</v>
      </c>
      <c r="BU71" s="198">
        <v>0</v>
      </c>
      <c r="BV71" s="198">
        <v>0</v>
      </c>
      <c r="BW71" s="198">
        <v>0</v>
      </c>
      <c r="BX71" s="198">
        <v>0</v>
      </c>
      <c r="BY71" s="198">
        <v>0</v>
      </c>
      <c r="BZ71" s="198">
        <v>0</v>
      </c>
      <c r="CA71" s="198">
        <v>0</v>
      </c>
      <c r="CB71" s="198">
        <v>0</v>
      </c>
      <c r="CC71" s="198">
        <v>0</v>
      </c>
      <c r="CD71" s="198">
        <v>0</v>
      </c>
      <c r="CE71" s="198">
        <v>0</v>
      </c>
      <c r="CF71" s="198">
        <v>0</v>
      </c>
      <c r="CG71" s="198">
        <v>0</v>
      </c>
      <c r="CH71" s="198">
        <v>0</v>
      </c>
      <c r="CI71" s="198">
        <v>0</v>
      </c>
      <c r="CJ71" s="198">
        <v>0</v>
      </c>
      <c r="CK71" s="88"/>
    </row>
    <row r="72" spans="1:89" x14ac:dyDescent="0.3">
      <c r="A72" s="173"/>
      <c r="B72" s="197" t="s">
        <v>331</v>
      </c>
      <c r="C72" s="198">
        <v>0</v>
      </c>
      <c r="D72" s="198">
        <v>0</v>
      </c>
      <c r="E72" s="198">
        <v>0</v>
      </c>
      <c r="F72" s="198">
        <v>0</v>
      </c>
      <c r="G72" s="198">
        <v>0</v>
      </c>
      <c r="H72" s="198">
        <v>0</v>
      </c>
      <c r="I72" s="198">
        <v>0</v>
      </c>
      <c r="J72" s="198">
        <v>0</v>
      </c>
      <c r="K72" s="198">
        <v>0</v>
      </c>
      <c r="L72" s="198">
        <v>0</v>
      </c>
      <c r="M72" s="198">
        <v>0</v>
      </c>
      <c r="N72" s="198">
        <v>0</v>
      </c>
      <c r="O72" s="198">
        <v>0</v>
      </c>
      <c r="P72" s="198">
        <v>0</v>
      </c>
      <c r="Q72" s="198">
        <v>0</v>
      </c>
      <c r="R72" s="198">
        <v>0</v>
      </c>
      <c r="S72" s="198">
        <v>0</v>
      </c>
      <c r="T72" s="198">
        <v>0</v>
      </c>
      <c r="U72" s="198">
        <v>0</v>
      </c>
      <c r="V72" s="198">
        <v>0</v>
      </c>
      <c r="W72" s="198">
        <v>0</v>
      </c>
      <c r="X72" s="198">
        <v>0</v>
      </c>
      <c r="Y72" s="198">
        <v>0</v>
      </c>
      <c r="Z72" s="198">
        <v>0</v>
      </c>
      <c r="AA72" s="198">
        <v>0</v>
      </c>
      <c r="AB72" s="198">
        <v>0</v>
      </c>
      <c r="AC72" s="198">
        <v>0</v>
      </c>
      <c r="AD72" s="198">
        <v>0</v>
      </c>
      <c r="AE72" s="198">
        <v>0</v>
      </c>
      <c r="AF72" s="198">
        <v>0</v>
      </c>
      <c r="AG72" s="198">
        <v>0</v>
      </c>
      <c r="AH72" s="198">
        <v>0</v>
      </c>
      <c r="AI72" s="198">
        <v>0</v>
      </c>
      <c r="AJ72" s="198">
        <v>0</v>
      </c>
      <c r="AK72" s="198">
        <v>0</v>
      </c>
      <c r="AL72" s="198">
        <v>0</v>
      </c>
      <c r="AM72" s="198">
        <v>0</v>
      </c>
      <c r="AN72" s="198">
        <v>0</v>
      </c>
      <c r="AO72" s="198">
        <v>0</v>
      </c>
      <c r="AP72" s="198">
        <v>0</v>
      </c>
      <c r="AQ72" s="198">
        <v>0</v>
      </c>
      <c r="AR72" s="198">
        <v>0</v>
      </c>
      <c r="AS72" s="198">
        <v>0</v>
      </c>
      <c r="AT72" s="198">
        <v>3976.9</v>
      </c>
      <c r="AU72" s="198">
        <v>0</v>
      </c>
      <c r="AV72" s="198">
        <v>0</v>
      </c>
      <c r="AW72" s="198">
        <v>1263.0999999999999</v>
      </c>
      <c r="AX72" s="198">
        <v>0</v>
      </c>
      <c r="AY72" s="198">
        <v>3499.2</v>
      </c>
      <c r="AZ72" s="198">
        <v>0</v>
      </c>
      <c r="BA72" s="198">
        <v>0</v>
      </c>
      <c r="BB72" s="198">
        <v>0</v>
      </c>
      <c r="BC72" s="198">
        <v>0</v>
      </c>
      <c r="BD72" s="198">
        <v>0</v>
      </c>
      <c r="BE72" s="198">
        <v>0</v>
      </c>
      <c r="BF72" s="198">
        <v>0</v>
      </c>
      <c r="BG72" s="198">
        <v>0</v>
      </c>
      <c r="BH72" s="198">
        <v>0</v>
      </c>
      <c r="BI72" s="198">
        <v>0</v>
      </c>
      <c r="BJ72" s="198">
        <v>0</v>
      </c>
      <c r="BK72" s="198">
        <v>0</v>
      </c>
      <c r="BL72" s="198">
        <v>0</v>
      </c>
      <c r="BM72" s="198">
        <v>0</v>
      </c>
      <c r="BN72" s="198">
        <v>0</v>
      </c>
      <c r="BO72" s="198">
        <v>0</v>
      </c>
      <c r="BP72" s="198">
        <v>0</v>
      </c>
      <c r="BQ72" s="198">
        <v>0</v>
      </c>
      <c r="BR72" s="198">
        <v>0</v>
      </c>
      <c r="BS72" s="198">
        <v>0</v>
      </c>
      <c r="BT72" s="198">
        <v>0</v>
      </c>
      <c r="BU72" s="198">
        <v>0</v>
      </c>
      <c r="BV72" s="198">
        <v>0</v>
      </c>
      <c r="BW72" s="198">
        <v>0</v>
      </c>
      <c r="BX72" s="198">
        <v>0</v>
      </c>
      <c r="BY72" s="198">
        <v>0</v>
      </c>
      <c r="BZ72" s="198">
        <v>0</v>
      </c>
      <c r="CA72" s="198">
        <v>0</v>
      </c>
      <c r="CB72" s="198">
        <v>0</v>
      </c>
      <c r="CC72" s="198">
        <v>0</v>
      </c>
      <c r="CD72" s="198">
        <v>0</v>
      </c>
      <c r="CE72" s="198">
        <v>0</v>
      </c>
      <c r="CF72" s="198">
        <v>0</v>
      </c>
      <c r="CG72" s="198">
        <v>0</v>
      </c>
      <c r="CH72" s="198">
        <v>0</v>
      </c>
      <c r="CI72" s="198">
        <v>0</v>
      </c>
      <c r="CJ72" s="198">
        <v>0</v>
      </c>
      <c r="CK72" s="88"/>
    </row>
    <row r="73" spans="1:89" x14ac:dyDescent="0.3">
      <c r="A73" s="173"/>
      <c r="B73" s="197" t="s">
        <v>329</v>
      </c>
      <c r="C73" s="198">
        <v>0</v>
      </c>
      <c r="D73" s="198">
        <v>0</v>
      </c>
      <c r="E73" s="198">
        <v>0</v>
      </c>
      <c r="F73" s="198">
        <v>0</v>
      </c>
      <c r="G73" s="198">
        <v>0</v>
      </c>
      <c r="H73" s="198">
        <v>0</v>
      </c>
      <c r="I73" s="198">
        <v>0</v>
      </c>
      <c r="J73" s="198">
        <v>0</v>
      </c>
      <c r="K73" s="198">
        <v>0</v>
      </c>
      <c r="L73" s="198">
        <v>0</v>
      </c>
      <c r="M73" s="198">
        <v>0</v>
      </c>
      <c r="N73" s="198">
        <v>0</v>
      </c>
      <c r="O73" s="198">
        <v>0</v>
      </c>
      <c r="P73" s="198">
        <v>0</v>
      </c>
      <c r="Q73" s="198">
        <v>0</v>
      </c>
      <c r="R73" s="198">
        <v>0</v>
      </c>
      <c r="S73" s="198">
        <v>0</v>
      </c>
      <c r="T73" s="198">
        <v>0</v>
      </c>
      <c r="U73" s="198">
        <v>0</v>
      </c>
      <c r="V73" s="198">
        <v>0</v>
      </c>
      <c r="W73" s="198">
        <v>0</v>
      </c>
      <c r="X73" s="198">
        <v>0</v>
      </c>
      <c r="Y73" s="198">
        <v>0</v>
      </c>
      <c r="Z73" s="198">
        <v>0</v>
      </c>
      <c r="AA73" s="198">
        <v>0</v>
      </c>
      <c r="AB73" s="198">
        <v>0</v>
      </c>
      <c r="AC73" s="198">
        <v>0</v>
      </c>
      <c r="AD73" s="198">
        <v>0</v>
      </c>
      <c r="AE73" s="198">
        <v>0</v>
      </c>
      <c r="AF73" s="198">
        <v>0</v>
      </c>
      <c r="AG73" s="198">
        <v>0</v>
      </c>
      <c r="AH73" s="198">
        <v>0</v>
      </c>
      <c r="AI73" s="198">
        <v>0</v>
      </c>
      <c r="AJ73" s="198">
        <v>0</v>
      </c>
      <c r="AK73" s="198">
        <v>0</v>
      </c>
      <c r="AL73" s="198">
        <v>0</v>
      </c>
      <c r="AM73" s="198">
        <v>0</v>
      </c>
      <c r="AN73" s="198">
        <v>0</v>
      </c>
      <c r="AO73" s="198">
        <v>0</v>
      </c>
      <c r="AP73" s="198">
        <v>0</v>
      </c>
      <c r="AQ73" s="198">
        <v>0</v>
      </c>
      <c r="AR73" s="198">
        <v>0</v>
      </c>
      <c r="AS73" s="198">
        <v>0</v>
      </c>
      <c r="AT73" s="198">
        <v>3036.3</v>
      </c>
      <c r="AU73" s="198">
        <v>0</v>
      </c>
      <c r="AV73" s="198">
        <v>0</v>
      </c>
      <c r="AW73" s="198">
        <v>1605</v>
      </c>
      <c r="AX73" s="198">
        <v>0</v>
      </c>
      <c r="AY73" s="198">
        <v>0</v>
      </c>
      <c r="AZ73" s="198">
        <v>0</v>
      </c>
      <c r="BA73" s="198">
        <v>0</v>
      </c>
      <c r="BB73" s="198">
        <v>0</v>
      </c>
      <c r="BC73" s="198">
        <v>0</v>
      </c>
      <c r="BD73" s="198">
        <v>0</v>
      </c>
      <c r="BE73" s="198">
        <v>0</v>
      </c>
      <c r="BF73" s="198">
        <v>0</v>
      </c>
      <c r="BG73" s="198">
        <v>0</v>
      </c>
      <c r="BH73" s="198">
        <v>0</v>
      </c>
      <c r="BI73" s="198">
        <v>0</v>
      </c>
      <c r="BJ73" s="198">
        <v>0</v>
      </c>
      <c r="BK73" s="198">
        <v>0</v>
      </c>
      <c r="BL73" s="198">
        <v>0</v>
      </c>
      <c r="BM73" s="198">
        <v>0</v>
      </c>
      <c r="BN73" s="198">
        <v>0</v>
      </c>
      <c r="BO73" s="198">
        <v>0</v>
      </c>
      <c r="BP73" s="198">
        <v>0</v>
      </c>
      <c r="BQ73" s="198">
        <v>0</v>
      </c>
      <c r="BR73" s="198">
        <v>0</v>
      </c>
      <c r="BS73" s="198">
        <v>0</v>
      </c>
      <c r="BT73" s="198">
        <v>0</v>
      </c>
      <c r="BU73" s="198">
        <v>0</v>
      </c>
      <c r="BV73" s="198">
        <v>0</v>
      </c>
      <c r="BW73" s="198">
        <v>0</v>
      </c>
      <c r="BX73" s="198">
        <v>0</v>
      </c>
      <c r="BY73" s="198">
        <v>0</v>
      </c>
      <c r="BZ73" s="198">
        <v>0</v>
      </c>
      <c r="CA73" s="198">
        <v>0</v>
      </c>
      <c r="CB73" s="198">
        <v>0</v>
      </c>
      <c r="CC73" s="198">
        <v>0</v>
      </c>
      <c r="CD73" s="198">
        <v>0</v>
      </c>
      <c r="CE73" s="198">
        <v>0</v>
      </c>
      <c r="CF73" s="198">
        <v>0</v>
      </c>
      <c r="CG73" s="198">
        <v>0</v>
      </c>
      <c r="CH73" s="198">
        <v>0</v>
      </c>
      <c r="CI73" s="198">
        <v>0</v>
      </c>
      <c r="CJ73" s="198">
        <v>0</v>
      </c>
      <c r="CK73" s="88"/>
    </row>
    <row r="74" spans="1:89" x14ac:dyDescent="0.3">
      <c r="A74" s="173"/>
      <c r="B74" s="197" t="s">
        <v>330</v>
      </c>
      <c r="C74" s="198">
        <v>0</v>
      </c>
      <c r="D74" s="198">
        <v>0</v>
      </c>
      <c r="E74" s="198">
        <v>0</v>
      </c>
      <c r="F74" s="198">
        <v>0</v>
      </c>
      <c r="G74" s="198">
        <v>0</v>
      </c>
      <c r="H74" s="198">
        <v>0</v>
      </c>
      <c r="I74" s="198">
        <v>0</v>
      </c>
      <c r="J74" s="198">
        <v>0</v>
      </c>
      <c r="K74" s="198">
        <v>0</v>
      </c>
      <c r="L74" s="198">
        <v>0</v>
      </c>
      <c r="M74" s="198">
        <v>0</v>
      </c>
      <c r="N74" s="198">
        <v>0</v>
      </c>
      <c r="O74" s="198">
        <v>0</v>
      </c>
      <c r="P74" s="198">
        <v>0</v>
      </c>
      <c r="Q74" s="198">
        <v>0</v>
      </c>
      <c r="R74" s="198">
        <v>0</v>
      </c>
      <c r="S74" s="198">
        <v>0</v>
      </c>
      <c r="T74" s="198">
        <v>0</v>
      </c>
      <c r="U74" s="198">
        <v>0</v>
      </c>
      <c r="V74" s="198">
        <v>0</v>
      </c>
      <c r="W74" s="198">
        <v>0</v>
      </c>
      <c r="X74" s="198">
        <v>0</v>
      </c>
      <c r="Y74" s="198">
        <v>0</v>
      </c>
      <c r="Z74" s="198">
        <v>0</v>
      </c>
      <c r="AA74" s="198">
        <v>0</v>
      </c>
      <c r="AB74" s="198">
        <v>0</v>
      </c>
      <c r="AC74" s="198">
        <v>0</v>
      </c>
      <c r="AD74" s="198">
        <v>0</v>
      </c>
      <c r="AE74" s="198">
        <v>0</v>
      </c>
      <c r="AF74" s="198">
        <v>0</v>
      </c>
      <c r="AG74" s="198">
        <v>0</v>
      </c>
      <c r="AH74" s="198">
        <v>0</v>
      </c>
      <c r="AI74" s="198">
        <v>0</v>
      </c>
      <c r="AJ74" s="198">
        <v>0</v>
      </c>
      <c r="AK74" s="198">
        <v>0</v>
      </c>
      <c r="AL74" s="198">
        <v>0</v>
      </c>
      <c r="AM74" s="198">
        <v>0</v>
      </c>
      <c r="AN74" s="198">
        <v>0</v>
      </c>
      <c r="AO74" s="198">
        <v>0</v>
      </c>
      <c r="AP74" s="198">
        <v>0</v>
      </c>
      <c r="AQ74" s="198">
        <v>0</v>
      </c>
      <c r="AR74" s="198">
        <v>0</v>
      </c>
      <c r="AS74" s="198">
        <v>0</v>
      </c>
      <c r="AT74" s="198">
        <v>6729.1</v>
      </c>
      <c r="AU74" s="198">
        <v>0</v>
      </c>
      <c r="AV74" s="198">
        <v>0</v>
      </c>
      <c r="AW74" s="198">
        <v>2846.6</v>
      </c>
      <c r="AX74" s="198">
        <v>0</v>
      </c>
      <c r="AY74" s="198">
        <v>3499.2</v>
      </c>
      <c r="AZ74" s="198">
        <v>0</v>
      </c>
      <c r="BA74" s="198">
        <v>0</v>
      </c>
      <c r="BB74" s="198">
        <v>0</v>
      </c>
      <c r="BC74" s="198">
        <v>0</v>
      </c>
      <c r="BD74" s="198">
        <v>0</v>
      </c>
      <c r="BE74" s="198">
        <v>0</v>
      </c>
      <c r="BF74" s="198">
        <v>0</v>
      </c>
      <c r="BG74" s="198">
        <v>0</v>
      </c>
      <c r="BH74" s="198">
        <v>0</v>
      </c>
      <c r="BI74" s="198">
        <v>0</v>
      </c>
      <c r="BJ74" s="198">
        <v>0</v>
      </c>
      <c r="BK74" s="198">
        <v>0</v>
      </c>
      <c r="BL74" s="198">
        <v>0</v>
      </c>
      <c r="BM74" s="198">
        <v>0</v>
      </c>
      <c r="BN74" s="198">
        <v>0</v>
      </c>
      <c r="BO74" s="198">
        <v>0</v>
      </c>
      <c r="BP74" s="198">
        <v>0</v>
      </c>
      <c r="BQ74" s="198">
        <v>0</v>
      </c>
      <c r="BR74" s="198">
        <v>0</v>
      </c>
      <c r="BS74" s="198">
        <v>0</v>
      </c>
      <c r="BT74" s="198">
        <v>0</v>
      </c>
      <c r="BU74" s="198">
        <v>0</v>
      </c>
      <c r="BV74" s="198">
        <v>0</v>
      </c>
      <c r="BW74" s="198">
        <v>0</v>
      </c>
      <c r="BX74" s="198">
        <v>0</v>
      </c>
      <c r="BY74" s="198">
        <v>0</v>
      </c>
      <c r="BZ74" s="198">
        <v>0</v>
      </c>
      <c r="CA74" s="198">
        <v>0</v>
      </c>
      <c r="CB74" s="198">
        <v>0</v>
      </c>
      <c r="CC74" s="198">
        <v>0</v>
      </c>
      <c r="CD74" s="198">
        <v>0</v>
      </c>
      <c r="CE74" s="198">
        <v>0</v>
      </c>
      <c r="CF74" s="198">
        <v>0</v>
      </c>
      <c r="CG74" s="198">
        <v>0</v>
      </c>
      <c r="CH74" s="198">
        <v>0</v>
      </c>
      <c r="CI74" s="198">
        <v>0</v>
      </c>
      <c r="CJ74" s="198">
        <v>0</v>
      </c>
      <c r="CK74" s="88"/>
    </row>
    <row r="75" spans="1:89" x14ac:dyDescent="0.3">
      <c r="A75" s="173"/>
      <c r="B75" s="197" t="s">
        <v>333</v>
      </c>
      <c r="C75" s="198">
        <v>0</v>
      </c>
      <c r="D75" s="198">
        <v>0</v>
      </c>
      <c r="E75" s="198">
        <v>0</v>
      </c>
      <c r="F75" s="198">
        <v>0</v>
      </c>
      <c r="G75" s="198">
        <v>0</v>
      </c>
      <c r="H75" s="198">
        <v>0</v>
      </c>
      <c r="I75" s="198">
        <v>0</v>
      </c>
      <c r="J75" s="198">
        <v>0</v>
      </c>
      <c r="K75" s="198">
        <v>0</v>
      </c>
      <c r="L75" s="198">
        <v>0</v>
      </c>
      <c r="M75" s="198">
        <v>0</v>
      </c>
      <c r="N75" s="198">
        <v>0</v>
      </c>
      <c r="O75" s="198">
        <v>0</v>
      </c>
      <c r="P75" s="198">
        <v>0</v>
      </c>
      <c r="Q75" s="198">
        <v>0</v>
      </c>
      <c r="R75" s="198">
        <v>0</v>
      </c>
      <c r="S75" s="198">
        <v>0</v>
      </c>
      <c r="T75" s="198">
        <v>0</v>
      </c>
      <c r="U75" s="198">
        <v>0</v>
      </c>
      <c r="V75" s="198">
        <v>0</v>
      </c>
      <c r="W75" s="198">
        <v>0</v>
      </c>
      <c r="X75" s="198">
        <v>0</v>
      </c>
      <c r="Y75" s="198">
        <v>0</v>
      </c>
      <c r="Z75" s="198">
        <v>0</v>
      </c>
      <c r="AA75" s="198">
        <v>0</v>
      </c>
      <c r="AB75" s="198">
        <v>0</v>
      </c>
      <c r="AC75" s="198">
        <v>0</v>
      </c>
      <c r="AD75" s="198">
        <v>0</v>
      </c>
      <c r="AE75" s="198">
        <v>0</v>
      </c>
      <c r="AF75" s="198">
        <v>0</v>
      </c>
      <c r="AG75" s="198">
        <v>0</v>
      </c>
      <c r="AH75" s="198">
        <v>0</v>
      </c>
      <c r="AI75" s="198">
        <v>0</v>
      </c>
      <c r="AJ75" s="198">
        <v>0</v>
      </c>
      <c r="AK75" s="198">
        <v>0</v>
      </c>
      <c r="AL75" s="198">
        <v>0</v>
      </c>
      <c r="AM75" s="198">
        <v>0</v>
      </c>
      <c r="AN75" s="198">
        <v>0</v>
      </c>
      <c r="AO75" s="198">
        <v>0</v>
      </c>
      <c r="AP75" s="198">
        <v>0</v>
      </c>
      <c r="AQ75" s="198">
        <v>0</v>
      </c>
      <c r="AR75" s="198">
        <v>0</v>
      </c>
      <c r="AS75" s="198">
        <v>0</v>
      </c>
      <c r="AT75" s="198">
        <v>0</v>
      </c>
      <c r="AU75" s="198">
        <v>710.1</v>
      </c>
      <c r="AV75" s="198">
        <v>0</v>
      </c>
      <c r="AW75" s="198">
        <v>0</v>
      </c>
      <c r="AX75" s="198">
        <v>0</v>
      </c>
      <c r="AY75" s="198">
        <v>2999.3</v>
      </c>
      <c r="AZ75" s="198">
        <v>0</v>
      </c>
      <c r="BA75" s="198">
        <v>3678.8</v>
      </c>
      <c r="BB75" s="198">
        <v>0</v>
      </c>
      <c r="BC75" s="198">
        <v>0</v>
      </c>
      <c r="BD75" s="198">
        <v>0</v>
      </c>
      <c r="BE75" s="198">
        <v>0</v>
      </c>
      <c r="BF75" s="198">
        <v>0</v>
      </c>
      <c r="BG75" s="198">
        <v>0</v>
      </c>
      <c r="BH75" s="198">
        <v>0</v>
      </c>
      <c r="BI75" s="198">
        <v>0</v>
      </c>
      <c r="BJ75" s="198">
        <v>0</v>
      </c>
      <c r="BK75" s="198">
        <v>0</v>
      </c>
      <c r="BL75" s="198">
        <v>0</v>
      </c>
      <c r="BM75" s="198">
        <v>0</v>
      </c>
      <c r="BN75" s="198">
        <v>0</v>
      </c>
      <c r="BO75" s="198">
        <v>0</v>
      </c>
      <c r="BP75" s="198">
        <v>0</v>
      </c>
      <c r="BQ75" s="198">
        <v>0</v>
      </c>
      <c r="BR75" s="198">
        <v>0</v>
      </c>
      <c r="BS75" s="198">
        <v>0</v>
      </c>
      <c r="BT75" s="198">
        <v>0</v>
      </c>
      <c r="BU75" s="198">
        <v>0</v>
      </c>
      <c r="BV75" s="198">
        <v>0</v>
      </c>
      <c r="BW75" s="198">
        <v>0</v>
      </c>
      <c r="BX75" s="198">
        <v>0</v>
      </c>
      <c r="BY75" s="198">
        <v>0</v>
      </c>
      <c r="BZ75" s="198">
        <v>0</v>
      </c>
      <c r="CA75" s="198">
        <v>0</v>
      </c>
      <c r="CB75" s="198">
        <v>0</v>
      </c>
      <c r="CC75" s="198">
        <v>0</v>
      </c>
      <c r="CD75" s="198">
        <v>0</v>
      </c>
      <c r="CE75" s="198">
        <v>0</v>
      </c>
      <c r="CF75" s="198">
        <v>0</v>
      </c>
      <c r="CG75" s="198">
        <v>0</v>
      </c>
      <c r="CH75" s="198">
        <v>0</v>
      </c>
      <c r="CI75" s="198">
        <v>0</v>
      </c>
      <c r="CJ75" s="198">
        <v>0</v>
      </c>
      <c r="CK75" s="88"/>
    </row>
    <row r="76" spans="1:89" x14ac:dyDescent="0.3">
      <c r="A76" s="173"/>
      <c r="B76" s="197" t="s">
        <v>347</v>
      </c>
      <c r="C76" s="198">
        <v>0</v>
      </c>
      <c r="D76" s="198">
        <v>0</v>
      </c>
      <c r="E76" s="198">
        <v>0</v>
      </c>
      <c r="F76" s="198">
        <v>0</v>
      </c>
      <c r="G76" s="198">
        <v>0</v>
      </c>
      <c r="H76" s="198">
        <v>0</v>
      </c>
      <c r="I76" s="198">
        <v>0</v>
      </c>
      <c r="J76" s="198">
        <v>0</v>
      </c>
      <c r="K76" s="198">
        <v>0</v>
      </c>
      <c r="L76" s="198">
        <v>0</v>
      </c>
      <c r="M76" s="198">
        <v>0</v>
      </c>
      <c r="N76" s="198">
        <v>0</v>
      </c>
      <c r="O76" s="198">
        <v>0</v>
      </c>
      <c r="P76" s="198">
        <v>0</v>
      </c>
      <c r="Q76" s="198">
        <v>0</v>
      </c>
      <c r="R76" s="198">
        <v>0</v>
      </c>
      <c r="S76" s="198">
        <v>0</v>
      </c>
      <c r="T76" s="198">
        <v>0</v>
      </c>
      <c r="U76" s="198">
        <v>0</v>
      </c>
      <c r="V76" s="198">
        <v>0</v>
      </c>
      <c r="W76" s="198">
        <v>0</v>
      </c>
      <c r="X76" s="198">
        <v>0</v>
      </c>
      <c r="Y76" s="198">
        <v>0</v>
      </c>
      <c r="Z76" s="198">
        <v>0</v>
      </c>
      <c r="AA76" s="198">
        <v>0</v>
      </c>
      <c r="AB76" s="198">
        <v>0</v>
      </c>
      <c r="AC76" s="198">
        <v>0</v>
      </c>
      <c r="AD76" s="198">
        <v>0</v>
      </c>
      <c r="AE76" s="198">
        <v>0</v>
      </c>
      <c r="AF76" s="198">
        <v>0</v>
      </c>
      <c r="AG76" s="198">
        <v>0</v>
      </c>
      <c r="AH76" s="198">
        <v>0</v>
      </c>
      <c r="AI76" s="198">
        <v>0</v>
      </c>
      <c r="AJ76" s="198">
        <v>0</v>
      </c>
      <c r="AK76" s="198">
        <v>0</v>
      </c>
      <c r="AL76" s="198">
        <v>0</v>
      </c>
      <c r="AM76" s="198">
        <v>0</v>
      </c>
      <c r="AN76" s="198">
        <v>0</v>
      </c>
      <c r="AO76" s="198">
        <v>0</v>
      </c>
      <c r="AP76" s="198">
        <v>0</v>
      </c>
      <c r="AQ76" s="198">
        <v>0</v>
      </c>
      <c r="AR76" s="198">
        <v>0</v>
      </c>
      <c r="AS76" s="198">
        <v>0</v>
      </c>
      <c r="AT76" s="198">
        <v>0</v>
      </c>
      <c r="AU76" s="198">
        <v>0</v>
      </c>
      <c r="AV76" s="198">
        <v>0</v>
      </c>
      <c r="AW76" s="198">
        <v>0</v>
      </c>
      <c r="AX76" s="198">
        <v>0</v>
      </c>
      <c r="AY76" s="198">
        <v>0</v>
      </c>
      <c r="AZ76" s="198">
        <v>0</v>
      </c>
      <c r="BA76" s="198">
        <v>0</v>
      </c>
      <c r="BB76" s="198">
        <v>3639.1</v>
      </c>
      <c r="BC76" s="198">
        <v>0</v>
      </c>
      <c r="BD76" s="198">
        <v>0</v>
      </c>
      <c r="BE76" s="198">
        <v>0</v>
      </c>
      <c r="BF76" s="198">
        <v>0</v>
      </c>
      <c r="BG76" s="198">
        <v>0</v>
      </c>
      <c r="BH76" s="198">
        <v>0</v>
      </c>
      <c r="BI76" s="198">
        <v>0</v>
      </c>
      <c r="BJ76" s="198">
        <v>0</v>
      </c>
      <c r="BK76" s="198">
        <v>0</v>
      </c>
      <c r="BL76" s="198">
        <v>0</v>
      </c>
      <c r="BM76" s="198">
        <v>0</v>
      </c>
      <c r="BN76" s="198">
        <v>0</v>
      </c>
      <c r="BO76" s="198">
        <v>0</v>
      </c>
      <c r="BP76" s="198">
        <v>0</v>
      </c>
      <c r="BQ76" s="198">
        <v>0</v>
      </c>
      <c r="BR76" s="198">
        <v>0</v>
      </c>
      <c r="BS76" s="198">
        <v>0</v>
      </c>
      <c r="BT76" s="198">
        <v>0</v>
      </c>
      <c r="BU76" s="198">
        <v>0</v>
      </c>
      <c r="BV76" s="198">
        <v>0</v>
      </c>
      <c r="BW76" s="198">
        <v>0</v>
      </c>
      <c r="BX76" s="198">
        <v>0</v>
      </c>
      <c r="BY76" s="198">
        <v>0</v>
      </c>
      <c r="BZ76" s="198">
        <v>0</v>
      </c>
      <c r="CA76" s="198">
        <v>0</v>
      </c>
      <c r="CB76" s="198">
        <v>0</v>
      </c>
      <c r="CC76" s="198">
        <v>0</v>
      </c>
      <c r="CD76" s="198">
        <v>0</v>
      </c>
      <c r="CE76" s="198">
        <v>0</v>
      </c>
      <c r="CF76" s="198">
        <v>0</v>
      </c>
      <c r="CG76" s="198">
        <v>0</v>
      </c>
      <c r="CH76" s="198">
        <v>0</v>
      </c>
      <c r="CI76" s="198">
        <v>0</v>
      </c>
      <c r="CJ76" s="198">
        <v>0</v>
      </c>
      <c r="CK76" s="88"/>
    </row>
    <row r="77" spans="1:89" x14ac:dyDescent="0.3">
      <c r="A77" s="173"/>
      <c r="B77" s="197" t="s">
        <v>373</v>
      </c>
      <c r="C77" s="198">
        <v>0</v>
      </c>
      <c r="D77" s="198">
        <v>0</v>
      </c>
      <c r="E77" s="198">
        <v>0</v>
      </c>
      <c r="F77" s="198">
        <v>0</v>
      </c>
      <c r="G77" s="198">
        <v>0</v>
      </c>
      <c r="H77" s="198">
        <v>0</v>
      </c>
      <c r="I77" s="198">
        <v>0</v>
      </c>
      <c r="J77" s="198">
        <v>0</v>
      </c>
      <c r="K77" s="198">
        <v>0</v>
      </c>
      <c r="L77" s="198">
        <v>0</v>
      </c>
      <c r="M77" s="198">
        <v>0</v>
      </c>
      <c r="N77" s="198">
        <v>0</v>
      </c>
      <c r="O77" s="198">
        <v>0</v>
      </c>
      <c r="P77" s="198">
        <v>0</v>
      </c>
      <c r="Q77" s="198">
        <v>0</v>
      </c>
      <c r="R77" s="198">
        <v>0</v>
      </c>
      <c r="S77" s="198">
        <v>0</v>
      </c>
      <c r="T77" s="198">
        <v>0</v>
      </c>
      <c r="U77" s="198">
        <v>0</v>
      </c>
      <c r="V77" s="198">
        <v>0</v>
      </c>
      <c r="W77" s="198">
        <v>0</v>
      </c>
      <c r="X77" s="198">
        <v>0</v>
      </c>
      <c r="Y77" s="198">
        <v>0</v>
      </c>
      <c r="Z77" s="198">
        <v>0</v>
      </c>
      <c r="AA77" s="198">
        <v>0</v>
      </c>
      <c r="AB77" s="198">
        <v>0</v>
      </c>
      <c r="AC77" s="198">
        <v>0</v>
      </c>
      <c r="AD77" s="198">
        <v>0</v>
      </c>
      <c r="AE77" s="198">
        <v>0</v>
      </c>
      <c r="AF77" s="198">
        <v>0</v>
      </c>
      <c r="AG77" s="198">
        <v>0</v>
      </c>
      <c r="AH77" s="198">
        <v>0</v>
      </c>
      <c r="AI77" s="198">
        <v>0</v>
      </c>
      <c r="AJ77" s="198">
        <v>0</v>
      </c>
      <c r="AK77" s="198">
        <v>0</v>
      </c>
      <c r="AL77" s="198">
        <v>0</v>
      </c>
      <c r="AM77" s="198">
        <v>0</v>
      </c>
      <c r="AN77" s="198">
        <v>0</v>
      </c>
      <c r="AO77" s="198">
        <v>0</v>
      </c>
      <c r="AP77" s="198">
        <v>0</v>
      </c>
      <c r="AQ77" s="198">
        <v>0</v>
      </c>
      <c r="AR77" s="198">
        <v>0</v>
      </c>
      <c r="AS77" s="198">
        <v>0</v>
      </c>
      <c r="AT77" s="198">
        <v>0</v>
      </c>
      <c r="AU77" s="198">
        <v>0</v>
      </c>
      <c r="AV77" s="198">
        <v>0</v>
      </c>
      <c r="AW77" s="198">
        <v>0</v>
      </c>
      <c r="AX77" s="198">
        <v>0</v>
      </c>
      <c r="AY77" s="198">
        <v>0</v>
      </c>
      <c r="AZ77" s="198">
        <v>0</v>
      </c>
      <c r="BA77" s="198">
        <v>0</v>
      </c>
      <c r="BB77" s="198">
        <v>0</v>
      </c>
      <c r="BC77" s="198">
        <v>0</v>
      </c>
      <c r="BD77" s="198">
        <v>0</v>
      </c>
      <c r="BE77" s="198">
        <v>0</v>
      </c>
      <c r="BF77" s="198">
        <v>0</v>
      </c>
      <c r="BG77" s="198">
        <v>2369.4</v>
      </c>
      <c r="BH77" s="198">
        <v>1727.1</v>
      </c>
      <c r="BI77" s="198">
        <v>1272.5999999999999</v>
      </c>
      <c r="BJ77" s="198">
        <v>0</v>
      </c>
      <c r="BK77" s="198">
        <v>0</v>
      </c>
      <c r="BL77" s="198">
        <v>0</v>
      </c>
      <c r="BM77" s="198">
        <v>0</v>
      </c>
      <c r="BN77" s="198">
        <v>0</v>
      </c>
      <c r="BO77" s="198">
        <v>0</v>
      </c>
      <c r="BP77" s="198">
        <v>0</v>
      </c>
      <c r="BQ77" s="198">
        <v>0</v>
      </c>
      <c r="BR77" s="198">
        <v>0</v>
      </c>
      <c r="BS77" s="198">
        <v>0</v>
      </c>
      <c r="BT77" s="198">
        <v>0</v>
      </c>
      <c r="BU77" s="198">
        <v>0</v>
      </c>
      <c r="BV77" s="198">
        <v>0</v>
      </c>
      <c r="BW77" s="198">
        <v>0</v>
      </c>
      <c r="BX77" s="198">
        <v>0</v>
      </c>
      <c r="BY77" s="198">
        <v>0</v>
      </c>
      <c r="BZ77" s="198">
        <v>0</v>
      </c>
      <c r="CA77" s="198">
        <v>0</v>
      </c>
      <c r="CB77" s="198">
        <v>0</v>
      </c>
      <c r="CC77" s="198">
        <v>0</v>
      </c>
      <c r="CD77" s="198">
        <v>0</v>
      </c>
      <c r="CE77" s="198">
        <v>0</v>
      </c>
      <c r="CF77" s="198">
        <v>0</v>
      </c>
      <c r="CG77" s="198">
        <v>0</v>
      </c>
      <c r="CH77" s="198">
        <v>0</v>
      </c>
      <c r="CI77" s="198">
        <v>0</v>
      </c>
      <c r="CJ77" s="198">
        <v>0</v>
      </c>
      <c r="CK77" s="88"/>
    </row>
    <row r="78" spans="1:89" x14ac:dyDescent="0.3">
      <c r="A78" s="173"/>
      <c r="B78" s="197" t="s">
        <v>367</v>
      </c>
      <c r="C78" s="198">
        <v>0</v>
      </c>
      <c r="D78" s="198">
        <v>0</v>
      </c>
      <c r="E78" s="198">
        <v>0</v>
      </c>
      <c r="F78" s="198">
        <v>0</v>
      </c>
      <c r="G78" s="198">
        <v>0</v>
      </c>
      <c r="H78" s="198">
        <v>0</v>
      </c>
      <c r="I78" s="198">
        <v>0</v>
      </c>
      <c r="J78" s="198">
        <v>0</v>
      </c>
      <c r="K78" s="198">
        <v>0</v>
      </c>
      <c r="L78" s="198">
        <v>0</v>
      </c>
      <c r="M78" s="198">
        <v>0</v>
      </c>
      <c r="N78" s="198">
        <v>0</v>
      </c>
      <c r="O78" s="198">
        <v>0</v>
      </c>
      <c r="P78" s="198">
        <v>0</v>
      </c>
      <c r="Q78" s="198">
        <v>0</v>
      </c>
      <c r="R78" s="198">
        <v>0</v>
      </c>
      <c r="S78" s="198">
        <v>0</v>
      </c>
      <c r="T78" s="198">
        <v>0</v>
      </c>
      <c r="U78" s="198">
        <v>0</v>
      </c>
      <c r="V78" s="198">
        <v>0</v>
      </c>
      <c r="W78" s="198">
        <v>0</v>
      </c>
      <c r="X78" s="198">
        <v>0</v>
      </c>
      <c r="Y78" s="198">
        <v>0</v>
      </c>
      <c r="Z78" s="198">
        <v>0</v>
      </c>
      <c r="AA78" s="198">
        <v>0</v>
      </c>
      <c r="AB78" s="198">
        <v>0</v>
      </c>
      <c r="AC78" s="198">
        <v>0</v>
      </c>
      <c r="AD78" s="198">
        <v>0</v>
      </c>
      <c r="AE78" s="198">
        <v>0</v>
      </c>
      <c r="AF78" s="198">
        <v>0</v>
      </c>
      <c r="AG78" s="198">
        <v>0</v>
      </c>
      <c r="AH78" s="198">
        <v>0</v>
      </c>
      <c r="AI78" s="198">
        <v>0</v>
      </c>
      <c r="AJ78" s="198">
        <v>0</v>
      </c>
      <c r="AK78" s="198">
        <v>0</v>
      </c>
      <c r="AL78" s="198">
        <v>0</v>
      </c>
      <c r="AM78" s="198">
        <v>0</v>
      </c>
      <c r="AN78" s="198">
        <v>0</v>
      </c>
      <c r="AO78" s="198">
        <v>0</v>
      </c>
      <c r="AP78" s="198">
        <v>0</v>
      </c>
      <c r="AQ78" s="198">
        <v>0</v>
      </c>
      <c r="AR78" s="198">
        <v>0</v>
      </c>
      <c r="AS78" s="198">
        <v>0</v>
      </c>
      <c r="AT78" s="198">
        <v>0</v>
      </c>
      <c r="AU78" s="198">
        <v>0</v>
      </c>
      <c r="AV78" s="198">
        <v>0</v>
      </c>
      <c r="AW78" s="198">
        <v>0</v>
      </c>
      <c r="AX78" s="198">
        <v>0</v>
      </c>
      <c r="AY78" s="198">
        <v>0</v>
      </c>
      <c r="AZ78" s="198">
        <v>0</v>
      </c>
      <c r="BA78" s="198">
        <v>0</v>
      </c>
      <c r="BB78" s="198">
        <v>0</v>
      </c>
      <c r="BC78" s="198">
        <v>0</v>
      </c>
      <c r="BD78" s="198">
        <v>5789</v>
      </c>
      <c r="BE78" s="198">
        <v>0</v>
      </c>
      <c r="BF78" s="198">
        <v>0</v>
      </c>
      <c r="BG78" s="198">
        <v>733.1</v>
      </c>
      <c r="BH78" s="198">
        <v>353.2</v>
      </c>
      <c r="BI78" s="198">
        <v>0</v>
      </c>
      <c r="BJ78" s="198">
        <v>0</v>
      </c>
      <c r="BK78" s="198">
        <v>0</v>
      </c>
      <c r="BL78" s="198">
        <v>0</v>
      </c>
      <c r="BM78" s="198">
        <v>0</v>
      </c>
      <c r="BN78" s="198">
        <v>0</v>
      </c>
      <c r="BO78" s="198">
        <v>0</v>
      </c>
      <c r="BP78" s="198">
        <v>0</v>
      </c>
      <c r="BQ78" s="198">
        <v>0</v>
      </c>
      <c r="BR78" s="198">
        <v>0</v>
      </c>
      <c r="BS78" s="198">
        <v>0</v>
      </c>
      <c r="BT78" s="198">
        <v>0</v>
      </c>
      <c r="BU78" s="198">
        <v>0</v>
      </c>
      <c r="BV78" s="198">
        <v>0</v>
      </c>
      <c r="BW78" s="198">
        <v>0</v>
      </c>
      <c r="BX78" s="198">
        <v>0</v>
      </c>
      <c r="BY78" s="198">
        <v>0</v>
      </c>
      <c r="BZ78" s="198">
        <v>0</v>
      </c>
      <c r="CA78" s="198">
        <v>0</v>
      </c>
      <c r="CB78" s="198">
        <v>0</v>
      </c>
      <c r="CC78" s="198">
        <v>0</v>
      </c>
      <c r="CD78" s="198">
        <v>0</v>
      </c>
      <c r="CE78" s="198">
        <v>0</v>
      </c>
      <c r="CF78" s="198">
        <v>0</v>
      </c>
      <c r="CG78" s="198">
        <v>0</v>
      </c>
      <c r="CH78" s="198">
        <v>0</v>
      </c>
      <c r="CI78" s="198">
        <v>0</v>
      </c>
      <c r="CJ78" s="198">
        <v>0</v>
      </c>
      <c r="CK78" s="88"/>
    </row>
    <row r="79" spans="1:89" x14ac:dyDescent="0.3">
      <c r="A79" s="173"/>
      <c r="B79" s="197" t="s">
        <v>368</v>
      </c>
      <c r="C79" s="198">
        <v>0</v>
      </c>
      <c r="D79" s="198">
        <v>0</v>
      </c>
      <c r="E79" s="198">
        <v>0</v>
      </c>
      <c r="F79" s="198">
        <v>0</v>
      </c>
      <c r="G79" s="198">
        <v>0</v>
      </c>
      <c r="H79" s="198">
        <v>0</v>
      </c>
      <c r="I79" s="198">
        <v>0</v>
      </c>
      <c r="J79" s="198">
        <v>0</v>
      </c>
      <c r="K79" s="198">
        <v>0</v>
      </c>
      <c r="L79" s="198">
        <v>0</v>
      </c>
      <c r="M79" s="198">
        <v>0</v>
      </c>
      <c r="N79" s="198">
        <v>0</v>
      </c>
      <c r="O79" s="198">
        <v>0</v>
      </c>
      <c r="P79" s="198">
        <v>0</v>
      </c>
      <c r="Q79" s="198">
        <v>0</v>
      </c>
      <c r="R79" s="198">
        <v>0</v>
      </c>
      <c r="S79" s="198">
        <v>0</v>
      </c>
      <c r="T79" s="198">
        <v>0</v>
      </c>
      <c r="U79" s="198">
        <v>0</v>
      </c>
      <c r="V79" s="198">
        <v>0</v>
      </c>
      <c r="W79" s="198">
        <v>0</v>
      </c>
      <c r="X79" s="198">
        <v>0</v>
      </c>
      <c r="Y79" s="198">
        <v>0</v>
      </c>
      <c r="Z79" s="198">
        <v>0</v>
      </c>
      <c r="AA79" s="198">
        <v>0</v>
      </c>
      <c r="AB79" s="198">
        <v>0</v>
      </c>
      <c r="AC79" s="198">
        <v>0</v>
      </c>
      <c r="AD79" s="198">
        <v>0</v>
      </c>
      <c r="AE79" s="198">
        <v>0</v>
      </c>
      <c r="AF79" s="198">
        <v>0</v>
      </c>
      <c r="AG79" s="198">
        <v>0</v>
      </c>
      <c r="AH79" s="198">
        <v>0</v>
      </c>
      <c r="AI79" s="198">
        <v>0</v>
      </c>
      <c r="AJ79" s="198">
        <v>0</v>
      </c>
      <c r="AK79" s="198">
        <v>0</v>
      </c>
      <c r="AL79" s="198">
        <v>0</v>
      </c>
      <c r="AM79" s="198">
        <v>0</v>
      </c>
      <c r="AN79" s="198">
        <v>0</v>
      </c>
      <c r="AO79" s="198">
        <v>0</v>
      </c>
      <c r="AP79" s="198">
        <v>0</v>
      </c>
      <c r="AQ79" s="198">
        <v>0</v>
      </c>
      <c r="AR79" s="198">
        <v>0</v>
      </c>
      <c r="AS79" s="198">
        <v>0</v>
      </c>
      <c r="AT79" s="198">
        <v>0</v>
      </c>
      <c r="AU79" s="198">
        <v>0</v>
      </c>
      <c r="AV79" s="198">
        <v>0</v>
      </c>
      <c r="AW79" s="198">
        <v>0</v>
      </c>
      <c r="AX79" s="198">
        <v>0</v>
      </c>
      <c r="AY79" s="198">
        <v>0</v>
      </c>
      <c r="AZ79" s="198">
        <v>0</v>
      </c>
      <c r="BA79" s="198">
        <v>0</v>
      </c>
      <c r="BB79" s="198">
        <v>0</v>
      </c>
      <c r="BC79" s="198">
        <v>0</v>
      </c>
      <c r="BD79" s="198">
        <v>11058.5</v>
      </c>
      <c r="BE79" s="198">
        <v>0</v>
      </c>
      <c r="BF79" s="198">
        <v>0</v>
      </c>
      <c r="BG79" s="198">
        <v>0</v>
      </c>
      <c r="BH79" s="198">
        <v>0</v>
      </c>
      <c r="BI79" s="198">
        <v>0</v>
      </c>
      <c r="BJ79" s="198">
        <v>0</v>
      </c>
      <c r="BK79" s="198">
        <v>0</v>
      </c>
      <c r="BL79" s="198">
        <v>0</v>
      </c>
      <c r="BM79" s="198">
        <v>0</v>
      </c>
      <c r="BN79" s="198">
        <v>0</v>
      </c>
      <c r="BO79" s="198">
        <v>0</v>
      </c>
      <c r="BP79" s="198">
        <v>0</v>
      </c>
      <c r="BQ79" s="198">
        <v>0</v>
      </c>
      <c r="BR79" s="198">
        <v>0</v>
      </c>
      <c r="BS79" s="198">
        <v>0</v>
      </c>
      <c r="BT79" s="198">
        <v>0</v>
      </c>
      <c r="BU79" s="198">
        <v>0</v>
      </c>
      <c r="BV79" s="198">
        <v>0</v>
      </c>
      <c r="BW79" s="198">
        <v>0</v>
      </c>
      <c r="BX79" s="198">
        <v>0</v>
      </c>
      <c r="BY79" s="198">
        <v>0</v>
      </c>
      <c r="BZ79" s="198">
        <v>0</v>
      </c>
      <c r="CA79" s="198">
        <v>0</v>
      </c>
      <c r="CB79" s="198">
        <v>0</v>
      </c>
      <c r="CC79" s="198">
        <v>0</v>
      </c>
      <c r="CD79" s="198">
        <v>0</v>
      </c>
      <c r="CE79" s="198">
        <v>0</v>
      </c>
      <c r="CF79" s="198">
        <v>0</v>
      </c>
      <c r="CG79" s="198">
        <v>0</v>
      </c>
      <c r="CH79" s="198">
        <v>0</v>
      </c>
      <c r="CI79" s="198">
        <v>0</v>
      </c>
      <c r="CJ79" s="198">
        <v>0</v>
      </c>
      <c r="CK79" s="88"/>
    </row>
    <row r="80" spans="1:89" x14ac:dyDescent="0.3">
      <c r="A80" s="173"/>
      <c r="B80" s="197" t="s">
        <v>369</v>
      </c>
      <c r="C80" s="198">
        <v>0</v>
      </c>
      <c r="D80" s="198">
        <v>0</v>
      </c>
      <c r="E80" s="198">
        <v>0</v>
      </c>
      <c r="F80" s="198">
        <v>0</v>
      </c>
      <c r="G80" s="198">
        <v>0</v>
      </c>
      <c r="H80" s="198">
        <v>0</v>
      </c>
      <c r="I80" s="198">
        <v>0</v>
      </c>
      <c r="J80" s="198">
        <v>0</v>
      </c>
      <c r="K80" s="198">
        <v>0</v>
      </c>
      <c r="L80" s="198">
        <v>0</v>
      </c>
      <c r="M80" s="198">
        <v>0</v>
      </c>
      <c r="N80" s="198">
        <v>0</v>
      </c>
      <c r="O80" s="198">
        <v>0</v>
      </c>
      <c r="P80" s="198">
        <v>0</v>
      </c>
      <c r="Q80" s="198">
        <v>0</v>
      </c>
      <c r="R80" s="198">
        <v>0</v>
      </c>
      <c r="S80" s="198">
        <v>0</v>
      </c>
      <c r="T80" s="198">
        <v>0</v>
      </c>
      <c r="U80" s="198">
        <v>0</v>
      </c>
      <c r="V80" s="198">
        <v>0</v>
      </c>
      <c r="W80" s="198">
        <v>0</v>
      </c>
      <c r="X80" s="198">
        <v>0</v>
      </c>
      <c r="Y80" s="198">
        <v>0</v>
      </c>
      <c r="Z80" s="198">
        <v>0</v>
      </c>
      <c r="AA80" s="198">
        <v>0</v>
      </c>
      <c r="AB80" s="198">
        <v>0</v>
      </c>
      <c r="AC80" s="198">
        <v>0</v>
      </c>
      <c r="AD80" s="198">
        <v>0</v>
      </c>
      <c r="AE80" s="198">
        <v>0</v>
      </c>
      <c r="AF80" s="198">
        <v>0</v>
      </c>
      <c r="AG80" s="198">
        <v>0</v>
      </c>
      <c r="AH80" s="198">
        <v>0</v>
      </c>
      <c r="AI80" s="198">
        <v>0</v>
      </c>
      <c r="AJ80" s="198">
        <v>0</v>
      </c>
      <c r="AK80" s="198">
        <v>0</v>
      </c>
      <c r="AL80" s="198">
        <v>0</v>
      </c>
      <c r="AM80" s="198">
        <v>0</v>
      </c>
      <c r="AN80" s="198">
        <v>0</v>
      </c>
      <c r="AO80" s="198">
        <v>0</v>
      </c>
      <c r="AP80" s="198">
        <v>0</v>
      </c>
      <c r="AQ80" s="198">
        <v>0</v>
      </c>
      <c r="AR80" s="198">
        <v>0</v>
      </c>
      <c r="AS80" s="198">
        <v>0</v>
      </c>
      <c r="AT80" s="198">
        <v>0</v>
      </c>
      <c r="AU80" s="198">
        <v>0</v>
      </c>
      <c r="AV80" s="198">
        <v>0</v>
      </c>
      <c r="AW80" s="198">
        <v>0</v>
      </c>
      <c r="AX80" s="198">
        <v>0</v>
      </c>
      <c r="AY80" s="198">
        <v>0</v>
      </c>
      <c r="AZ80" s="198">
        <v>0</v>
      </c>
      <c r="BA80" s="198">
        <v>0</v>
      </c>
      <c r="BB80" s="198">
        <v>0</v>
      </c>
      <c r="BC80" s="198">
        <v>0</v>
      </c>
      <c r="BD80" s="198">
        <v>7948.4</v>
      </c>
      <c r="BE80" s="198">
        <v>0</v>
      </c>
      <c r="BF80" s="198">
        <v>0</v>
      </c>
      <c r="BG80" s="198">
        <v>0</v>
      </c>
      <c r="BH80" s="198">
        <v>0</v>
      </c>
      <c r="BI80" s="198">
        <v>648</v>
      </c>
      <c r="BJ80" s="198">
        <v>0</v>
      </c>
      <c r="BK80" s="198">
        <v>0</v>
      </c>
      <c r="BL80" s="198">
        <v>0</v>
      </c>
      <c r="BM80" s="198">
        <v>0</v>
      </c>
      <c r="BN80" s="198">
        <v>0</v>
      </c>
      <c r="BO80" s="198">
        <v>0</v>
      </c>
      <c r="BP80" s="198">
        <v>0</v>
      </c>
      <c r="BQ80" s="198">
        <v>0</v>
      </c>
      <c r="BR80" s="198">
        <v>0</v>
      </c>
      <c r="BS80" s="198">
        <v>0</v>
      </c>
      <c r="BT80" s="198">
        <v>0</v>
      </c>
      <c r="BU80" s="198">
        <v>0</v>
      </c>
      <c r="BV80" s="198">
        <v>0</v>
      </c>
      <c r="BW80" s="198">
        <v>0</v>
      </c>
      <c r="BX80" s="198">
        <v>0</v>
      </c>
      <c r="BY80" s="198">
        <v>0</v>
      </c>
      <c r="BZ80" s="198">
        <v>0</v>
      </c>
      <c r="CA80" s="198">
        <v>0</v>
      </c>
      <c r="CB80" s="198">
        <v>0</v>
      </c>
      <c r="CC80" s="198">
        <v>0</v>
      </c>
      <c r="CD80" s="198">
        <v>0</v>
      </c>
      <c r="CE80" s="198">
        <v>0</v>
      </c>
      <c r="CF80" s="198">
        <v>0</v>
      </c>
      <c r="CG80" s="198">
        <v>0</v>
      </c>
      <c r="CH80" s="198">
        <v>0</v>
      </c>
      <c r="CI80" s="198">
        <v>0</v>
      </c>
      <c r="CJ80" s="198">
        <v>0</v>
      </c>
      <c r="CK80" s="88"/>
    </row>
    <row r="81" spans="1:89" x14ac:dyDescent="0.3">
      <c r="A81" s="173"/>
      <c r="B81" s="197" t="s">
        <v>375</v>
      </c>
      <c r="C81" s="198">
        <v>0</v>
      </c>
      <c r="D81" s="198">
        <v>0</v>
      </c>
      <c r="E81" s="198">
        <v>0</v>
      </c>
      <c r="F81" s="198">
        <v>0</v>
      </c>
      <c r="G81" s="198">
        <v>0</v>
      </c>
      <c r="H81" s="198">
        <v>0</v>
      </c>
      <c r="I81" s="198">
        <v>0</v>
      </c>
      <c r="J81" s="198">
        <v>0</v>
      </c>
      <c r="K81" s="198">
        <v>0</v>
      </c>
      <c r="L81" s="198">
        <v>0</v>
      </c>
      <c r="M81" s="198">
        <v>0</v>
      </c>
      <c r="N81" s="198">
        <v>0</v>
      </c>
      <c r="O81" s="198">
        <v>0</v>
      </c>
      <c r="P81" s="198">
        <v>0</v>
      </c>
      <c r="Q81" s="198">
        <v>0</v>
      </c>
      <c r="R81" s="198">
        <v>0</v>
      </c>
      <c r="S81" s="198">
        <v>0</v>
      </c>
      <c r="T81" s="198">
        <v>0</v>
      </c>
      <c r="U81" s="198">
        <v>0</v>
      </c>
      <c r="V81" s="198">
        <v>0</v>
      </c>
      <c r="W81" s="198">
        <v>0</v>
      </c>
      <c r="X81" s="198">
        <v>0</v>
      </c>
      <c r="Y81" s="198">
        <v>0</v>
      </c>
      <c r="Z81" s="198">
        <v>0</v>
      </c>
      <c r="AA81" s="198">
        <v>0</v>
      </c>
      <c r="AB81" s="198">
        <v>0</v>
      </c>
      <c r="AC81" s="198">
        <v>0</v>
      </c>
      <c r="AD81" s="198">
        <v>0</v>
      </c>
      <c r="AE81" s="198">
        <v>0</v>
      </c>
      <c r="AF81" s="198">
        <v>0</v>
      </c>
      <c r="AG81" s="198">
        <v>0</v>
      </c>
      <c r="AH81" s="198">
        <v>0</v>
      </c>
      <c r="AI81" s="198">
        <v>0</v>
      </c>
      <c r="AJ81" s="198">
        <v>0</v>
      </c>
      <c r="AK81" s="198">
        <v>0</v>
      </c>
      <c r="AL81" s="198">
        <v>0</v>
      </c>
      <c r="AM81" s="198">
        <v>0</v>
      </c>
      <c r="AN81" s="198">
        <v>0</v>
      </c>
      <c r="AO81" s="198">
        <v>0</v>
      </c>
      <c r="AP81" s="198">
        <v>0</v>
      </c>
      <c r="AQ81" s="198">
        <v>0</v>
      </c>
      <c r="AR81" s="198">
        <v>0</v>
      </c>
      <c r="AS81" s="198">
        <v>0</v>
      </c>
      <c r="AT81" s="198">
        <v>0</v>
      </c>
      <c r="AU81" s="198">
        <v>0</v>
      </c>
      <c r="AV81" s="198">
        <v>0</v>
      </c>
      <c r="AW81" s="198">
        <v>0</v>
      </c>
      <c r="AX81" s="198">
        <v>0</v>
      </c>
      <c r="AY81" s="198">
        <v>0</v>
      </c>
      <c r="AZ81" s="198">
        <v>0</v>
      </c>
      <c r="BA81" s="198">
        <v>0</v>
      </c>
      <c r="BB81" s="198">
        <v>0</v>
      </c>
      <c r="BC81" s="198">
        <v>0</v>
      </c>
      <c r="BD81" s="198">
        <v>0</v>
      </c>
      <c r="BE81" s="198">
        <v>0</v>
      </c>
      <c r="BF81" s="198">
        <v>0</v>
      </c>
      <c r="BG81" s="198">
        <v>0</v>
      </c>
      <c r="BH81" s="198">
        <v>384.2</v>
      </c>
      <c r="BI81" s="198">
        <v>256.7</v>
      </c>
      <c r="BJ81" s="198">
        <v>0</v>
      </c>
      <c r="BK81" s="198">
        <v>0</v>
      </c>
      <c r="BL81" s="198">
        <v>0</v>
      </c>
      <c r="BM81" s="198">
        <v>0</v>
      </c>
      <c r="BN81" s="198">
        <v>0</v>
      </c>
      <c r="BO81" s="198">
        <v>0</v>
      </c>
      <c r="BP81" s="198">
        <v>0</v>
      </c>
      <c r="BQ81" s="198">
        <v>0</v>
      </c>
      <c r="BR81" s="198">
        <v>0</v>
      </c>
      <c r="BS81" s="198">
        <v>0</v>
      </c>
      <c r="BT81" s="198">
        <v>0</v>
      </c>
      <c r="BU81" s="198">
        <v>0</v>
      </c>
      <c r="BV81" s="198">
        <v>0</v>
      </c>
      <c r="BW81" s="198">
        <v>0</v>
      </c>
      <c r="BX81" s="198">
        <v>0</v>
      </c>
      <c r="BY81" s="198">
        <v>0</v>
      </c>
      <c r="BZ81" s="198">
        <v>0</v>
      </c>
      <c r="CA81" s="198">
        <v>0</v>
      </c>
      <c r="CB81" s="198">
        <v>0</v>
      </c>
      <c r="CC81" s="198">
        <v>0</v>
      </c>
      <c r="CD81" s="198">
        <v>0</v>
      </c>
      <c r="CE81" s="198">
        <v>0</v>
      </c>
      <c r="CF81" s="198">
        <v>0</v>
      </c>
      <c r="CG81" s="198">
        <v>0</v>
      </c>
      <c r="CH81" s="198">
        <v>0</v>
      </c>
      <c r="CI81" s="198">
        <v>0</v>
      </c>
      <c r="CJ81" s="198">
        <v>0</v>
      </c>
      <c r="CK81" s="88"/>
    </row>
    <row r="82" spans="1:89" x14ac:dyDescent="0.3">
      <c r="A82" s="173"/>
      <c r="B82" s="197" t="s">
        <v>305</v>
      </c>
      <c r="C82" s="198">
        <v>0</v>
      </c>
      <c r="D82" s="198">
        <v>0</v>
      </c>
      <c r="E82" s="198">
        <v>0</v>
      </c>
      <c r="F82" s="198">
        <v>0</v>
      </c>
      <c r="G82" s="198">
        <v>0</v>
      </c>
      <c r="H82" s="198">
        <v>0</v>
      </c>
      <c r="I82" s="198">
        <v>0</v>
      </c>
      <c r="J82" s="198">
        <v>0</v>
      </c>
      <c r="K82" s="198">
        <v>0</v>
      </c>
      <c r="L82" s="198">
        <v>0</v>
      </c>
      <c r="M82" s="198">
        <v>0</v>
      </c>
      <c r="N82" s="198">
        <v>0</v>
      </c>
      <c r="O82" s="198">
        <v>0</v>
      </c>
      <c r="P82" s="198">
        <v>0</v>
      </c>
      <c r="Q82" s="198">
        <v>0</v>
      </c>
      <c r="R82" s="198">
        <v>0</v>
      </c>
      <c r="S82" s="198">
        <v>0</v>
      </c>
      <c r="T82" s="198">
        <v>0</v>
      </c>
      <c r="U82" s="198">
        <v>0</v>
      </c>
      <c r="V82" s="198">
        <v>0</v>
      </c>
      <c r="W82" s="198">
        <v>0</v>
      </c>
      <c r="X82" s="198">
        <v>0</v>
      </c>
      <c r="Y82" s="198">
        <v>0</v>
      </c>
      <c r="Z82" s="198">
        <v>0</v>
      </c>
      <c r="AA82" s="198">
        <v>0</v>
      </c>
      <c r="AB82" s="198">
        <v>0</v>
      </c>
      <c r="AC82" s="198">
        <v>0</v>
      </c>
      <c r="AD82" s="198">
        <v>0</v>
      </c>
      <c r="AE82" s="198">
        <v>0</v>
      </c>
      <c r="AF82" s="198">
        <v>0</v>
      </c>
      <c r="AG82" s="198">
        <v>0</v>
      </c>
      <c r="AH82" s="198">
        <v>163.30000000000001</v>
      </c>
      <c r="AI82" s="198">
        <v>0</v>
      </c>
      <c r="AJ82" s="198">
        <v>0</v>
      </c>
      <c r="AK82" s="198">
        <v>0</v>
      </c>
      <c r="AL82" s="198">
        <v>0</v>
      </c>
      <c r="AM82" s="198">
        <v>0</v>
      </c>
      <c r="AN82" s="198">
        <v>0</v>
      </c>
      <c r="AO82" s="198">
        <v>0</v>
      </c>
      <c r="AP82" s="198">
        <v>0</v>
      </c>
      <c r="AQ82" s="198">
        <v>0</v>
      </c>
      <c r="AR82" s="198">
        <v>0</v>
      </c>
      <c r="AS82" s="198">
        <v>0</v>
      </c>
      <c r="AT82" s="198">
        <v>0</v>
      </c>
      <c r="AU82" s="198">
        <v>0</v>
      </c>
      <c r="AV82" s="198">
        <v>0</v>
      </c>
      <c r="AW82" s="198">
        <v>0</v>
      </c>
      <c r="AX82" s="198">
        <v>0</v>
      </c>
      <c r="AY82" s="198">
        <v>0</v>
      </c>
      <c r="AZ82" s="198">
        <v>0</v>
      </c>
      <c r="BA82" s="198">
        <v>0</v>
      </c>
      <c r="BB82" s="198">
        <v>0</v>
      </c>
      <c r="BC82" s="198">
        <v>0</v>
      </c>
      <c r="BD82" s="198">
        <v>0</v>
      </c>
      <c r="BE82" s="198">
        <v>0</v>
      </c>
      <c r="BF82" s="198">
        <v>0</v>
      </c>
      <c r="BG82" s="198">
        <v>0</v>
      </c>
      <c r="BH82" s="198">
        <v>0</v>
      </c>
      <c r="BI82" s="198">
        <v>0</v>
      </c>
      <c r="BJ82" s="198">
        <v>0</v>
      </c>
      <c r="BK82" s="198">
        <v>0</v>
      </c>
      <c r="BL82" s="198">
        <v>0</v>
      </c>
      <c r="BM82" s="198">
        <v>0</v>
      </c>
      <c r="BN82" s="198">
        <v>0</v>
      </c>
      <c r="BO82" s="198">
        <v>0</v>
      </c>
      <c r="BP82" s="198">
        <v>0</v>
      </c>
      <c r="BQ82" s="198">
        <v>0</v>
      </c>
      <c r="BR82" s="198">
        <v>0</v>
      </c>
      <c r="BS82" s="198">
        <v>0</v>
      </c>
      <c r="BT82" s="198">
        <v>0</v>
      </c>
      <c r="BU82" s="198">
        <v>0</v>
      </c>
      <c r="BV82" s="198">
        <v>0</v>
      </c>
      <c r="BW82" s="198">
        <v>0</v>
      </c>
      <c r="BX82" s="198">
        <v>0</v>
      </c>
      <c r="BY82" s="198">
        <v>0</v>
      </c>
      <c r="BZ82" s="198">
        <v>0</v>
      </c>
      <c r="CA82" s="198">
        <v>0</v>
      </c>
      <c r="CB82" s="198">
        <v>0</v>
      </c>
      <c r="CC82" s="198">
        <v>0</v>
      </c>
      <c r="CD82" s="198">
        <v>0</v>
      </c>
      <c r="CE82" s="198">
        <v>0</v>
      </c>
      <c r="CF82" s="198">
        <v>0</v>
      </c>
      <c r="CG82" s="198">
        <v>0</v>
      </c>
      <c r="CH82" s="198">
        <v>0</v>
      </c>
      <c r="CI82" s="198">
        <v>0</v>
      </c>
      <c r="CJ82" s="198">
        <v>0</v>
      </c>
      <c r="CK82" s="88"/>
    </row>
    <row r="83" spans="1:89" x14ac:dyDescent="0.3">
      <c r="A83" s="173"/>
      <c r="B83" s="197" t="s">
        <v>76</v>
      </c>
      <c r="C83" s="198">
        <v>0</v>
      </c>
      <c r="D83" s="198">
        <v>1080.0999999999999</v>
      </c>
      <c r="E83" s="198">
        <v>0</v>
      </c>
      <c r="F83" s="198">
        <v>0</v>
      </c>
      <c r="G83" s="198">
        <v>0</v>
      </c>
      <c r="H83" s="198">
        <v>0</v>
      </c>
      <c r="I83" s="198">
        <v>0</v>
      </c>
      <c r="J83" s="198">
        <v>0</v>
      </c>
      <c r="K83" s="198">
        <v>0</v>
      </c>
      <c r="L83" s="198">
        <v>0</v>
      </c>
      <c r="M83" s="198">
        <v>0</v>
      </c>
      <c r="N83" s="198">
        <v>0</v>
      </c>
      <c r="O83" s="198">
        <v>0</v>
      </c>
      <c r="P83" s="198">
        <v>0</v>
      </c>
      <c r="Q83" s="198">
        <v>0</v>
      </c>
      <c r="R83" s="198">
        <v>0</v>
      </c>
      <c r="S83" s="198">
        <v>0</v>
      </c>
      <c r="T83" s="198">
        <v>0</v>
      </c>
      <c r="U83" s="198">
        <v>0</v>
      </c>
      <c r="V83" s="198">
        <v>0</v>
      </c>
      <c r="W83" s="198">
        <v>0</v>
      </c>
      <c r="X83" s="198">
        <v>0</v>
      </c>
      <c r="Y83" s="198">
        <v>0</v>
      </c>
      <c r="Z83" s="198">
        <v>0</v>
      </c>
      <c r="AA83" s="198">
        <v>0</v>
      </c>
      <c r="AB83" s="198">
        <v>0</v>
      </c>
      <c r="AC83" s="198">
        <v>0</v>
      </c>
      <c r="AD83" s="198">
        <v>0</v>
      </c>
      <c r="AE83" s="198">
        <v>0</v>
      </c>
      <c r="AF83" s="198">
        <v>0</v>
      </c>
      <c r="AG83" s="198">
        <v>0</v>
      </c>
      <c r="AH83" s="198">
        <v>0</v>
      </c>
      <c r="AI83" s="198">
        <v>0</v>
      </c>
      <c r="AJ83" s="198">
        <v>0</v>
      </c>
      <c r="AK83" s="198">
        <v>0</v>
      </c>
      <c r="AL83" s="198">
        <v>0</v>
      </c>
      <c r="AM83" s="198">
        <v>0</v>
      </c>
      <c r="AN83" s="198">
        <v>0</v>
      </c>
      <c r="AO83" s="198">
        <v>0</v>
      </c>
      <c r="AP83" s="198">
        <v>0</v>
      </c>
      <c r="AQ83" s="198">
        <v>0</v>
      </c>
      <c r="AR83" s="198">
        <v>0</v>
      </c>
      <c r="AS83" s="198">
        <v>0</v>
      </c>
      <c r="AT83" s="198">
        <v>0</v>
      </c>
      <c r="AU83" s="198">
        <v>0</v>
      </c>
      <c r="AV83" s="198">
        <v>0</v>
      </c>
      <c r="AW83" s="198">
        <v>0</v>
      </c>
      <c r="AX83" s="198">
        <v>0</v>
      </c>
      <c r="AY83" s="198">
        <v>0</v>
      </c>
      <c r="AZ83" s="198">
        <v>0</v>
      </c>
      <c r="BA83" s="198">
        <v>0</v>
      </c>
      <c r="BB83" s="198">
        <v>0</v>
      </c>
      <c r="BC83" s="198">
        <v>0</v>
      </c>
      <c r="BD83" s="198">
        <v>0</v>
      </c>
      <c r="BE83" s="198">
        <v>0</v>
      </c>
      <c r="BF83" s="198">
        <v>0</v>
      </c>
      <c r="BG83" s="198">
        <v>0</v>
      </c>
      <c r="BH83" s="198">
        <v>0</v>
      </c>
      <c r="BI83" s="198">
        <v>0</v>
      </c>
      <c r="BJ83" s="198">
        <v>0</v>
      </c>
      <c r="BK83" s="198">
        <v>0</v>
      </c>
      <c r="BL83" s="198">
        <v>0</v>
      </c>
      <c r="BM83" s="198">
        <v>0</v>
      </c>
      <c r="BN83" s="198">
        <v>0</v>
      </c>
      <c r="BO83" s="198">
        <v>0</v>
      </c>
      <c r="BP83" s="198">
        <v>0</v>
      </c>
      <c r="BQ83" s="198">
        <v>0</v>
      </c>
      <c r="BR83" s="198">
        <v>0</v>
      </c>
      <c r="BS83" s="198">
        <v>0</v>
      </c>
      <c r="BT83" s="198">
        <v>0</v>
      </c>
      <c r="BU83" s="198">
        <v>0</v>
      </c>
      <c r="BV83" s="198">
        <v>0</v>
      </c>
      <c r="BW83" s="198">
        <v>0</v>
      </c>
      <c r="BX83" s="198">
        <v>0</v>
      </c>
      <c r="BY83" s="198">
        <v>0</v>
      </c>
      <c r="BZ83" s="198">
        <v>0</v>
      </c>
      <c r="CA83" s="198">
        <v>0</v>
      </c>
      <c r="CB83" s="198">
        <v>0</v>
      </c>
      <c r="CC83" s="198">
        <v>0</v>
      </c>
      <c r="CD83" s="198">
        <v>0</v>
      </c>
      <c r="CE83" s="198">
        <v>0</v>
      </c>
      <c r="CF83" s="198">
        <v>0</v>
      </c>
      <c r="CG83" s="198">
        <v>0</v>
      </c>
      <c r="CH83" s="198">
        <v>0</v>
      </c>
      <c r="CI83" s="198">
        <v>0</v>
      </c>
      <c r="CJ83" s="198">
        <v>0</v>
      </c>
      <c r="CK83" s="88"/>
    </row>
    <row r="84" spans="1:89" x14ac:dyDescent="0.3">
      <c r="A84" s="173"/>
      <c r="B84" s="197" t="s">
        <v>77</v>
      </c>
      <c r="C84" s="198">
        <v>0</v>
      </c>
      <c r="D84" s="198">
        <v>2841.6</v>
      </c>
      <c r="E84" s="198">
        <v>0</v>
      </c>
      <c r="F84" s="198">
        <v>0</v>
      </c>
      <c r="G84" s="198">
        <v>0</v>
      </c>
      <c r="H84" s="198">
        <v>0</v>
      </c>
      <c r="I84" s="198">
        <v>0</v>
      </c>
      <c r="J84" s="198">
        <v>0</v>
      </c>
      <c r="K84" s="198">
        <v>0</v>
      </c>
      <c r="L84" s="198">
        <v>0</v>
      </c>
      <c r="M84" s="198">
        <v>0</v>
      </c>
      <c r="N84" s="198">
        <v>0</v>
      </c>
      <c r="O84" s="198">
        <v>0</v>
      </c>
      <c r="P84" s="198">
        <v>0</v>
      </c>
      <c r="Q84" s="198">
        <v>0</v>
      </c>
      <c r="R84" s="198">
        <v>0</v>
      </c>
      <c r="S84" s="198">
        <v>0</v>
      </c>
      <c r="T84" s="198">
        <v>0</v>
      </c>
      <c r="U84" s="198">
        <v>0</v>
      </c>
      <c r="V84" s="198">
        <v>0</v>
      </c>
      <c r="W84" s="198">
        <v>0</v>
      </c>
      <c r="X84" s="198">
        <v>0</v>
      </c>
      <c r="Y84" s="198">
        <v>0</v>
      </c>
      <c r="Z84" s="198">
        <v>0</v>
      </c>
      <c r="AA84" s="198">
        <v>0</v>
      </c>
      <c r="AB84" s="198">
        <v>0</v>
      </c>
      <c r="AC84" s="198">
        <v>0</v>
      </c>
      <c r="AD84" s="198">
        <v>0</v>
      </c>
      <c r="AE84" s="198">
        <v>0</v>
      </c>
      <c r="AF84" s="198">
        <v>0</v>
      </c>
      <c r="AG84" s="198">
        <v>0</v>
      </c>
      <c r="AH84" s="198">
        <v>0</v>
      </c>
      <c r="AI84" s="198">
        <v>0</v>
      </c>
      <c r="AJ84" s="198">
        <v>0</v>
      </c>
      <c r="AK84" s="198">
        <v>0</v>
      </c>
      <c r="AL84" s="198">
        <v>0</v>
      </c>
      <c r="AM84" s="198">
        <v>0</v>
      </c>
      <c r="AN84" s="198">
        <v>0</v>
      </c>
      <c r="AO84" s="198">
        <v>0</v>
      </c>
      <c r="AP84" s="198">
        <v>0</v>
      </c>
      <c r="AQ84" s="198">
        <v>0</v>
      </c>
      <c r="AR84" s="198">
        <v>0</v>
      </c>
      <c r="AS84" s="198">
        <v>0</v>
      </c>
      <c r="AT84" s="198">
        <v>0</v>
      </c>
      <c r="AU84" s="198">
        <v>0</v>
      </c>
      <c r="AV84" s="198">
        <v>0</v>
      </c>
      <c r="AW84" s="198">
        <v>0</v>
      </c>
      <c r="AX84" s="198">
        <v>0</v>
      </c>
      <c r="AY84" s="198">
        <v>0</v>
      </c>
      <c r="AZ84" s="198">
        <v>0</v>
      </c>
      <c r="BA84" s="198">
        <v>0</v>
      </c>
      <c r="BB84" s="198">
        <v>0</v>
      </c>
      <c r="BC84" s="198">
        <v>0</v>
      </c>
      <c r="BD84" s="198">
        <v>0</v>
      </c>
      <c r="BE84" s="198">
        <v>0</v>
      </c>
      <c r="BF84" s="198">
        <v>0</v>
      </c>
      <c r="BG84" s="198">
        <v>0</v>
      </c>
      <c r="BH84" s="198">
        <v>0</v>
      </c>
      <c r="BI84" s="198">
        <v>0</v>
      </c>
      <c r="BJ84" s="198">
        <v>0</v>
      </c>
      <c r="BK84" s="198">
        <v>0</v>
      </c>
      <c r="BL84" s="198">
        <v>0</v>
      </c>
      <c r="BM84" s="198">
        <v>0</v>
      </c>
      <c r="BN84" s="198">
        <v>0</v>
      </c>
      <c r="BO84" s="198">
        <v>0</v>
      </c>
      <c r="BP84" s="198">
        <v>0</v>
      </c>
      <c r="BQ84" s="198">
        <v>0</v>
      </c>
      <c r="BR84" s="198">
        <v>0</v>
      </c>
      <c r="BS84" s="198">
        <v>0</v>
      </c>
      <c r="BT84" s="198">
        <v>0</v>
      </c>
      <c r="BU84" s="198">
        <v>0</v>
      </c>
      <c r="BV84" s="198">
        <v>0</v>
      </c>
      <c r="BW84" s="198">
        <v>0</v>
      </c>
      <c r="BX84" s="198">
        <v>0</v>
      </c>
      <c r="BY84" s="198">
        <v>0</v>
      </c>
      <c r="BZ84" s="198">
        <v>0</v>
      </c>
      <c r="CA84" s="198">
        <v>0</v>
      </c>
      <c r="CB84" s="198">
        <v>0</v>
      </c>
      <c r="CC84" s="198">
        <v>0</v>
      </c>
      <c r="CD84" s="198">
        <v>0</v>
      </c>
      <c r="CE84" s="198">
        <v>0</v>
      </c>
      <c r="CF84" s="198">
        <v>0</v>
      </c>
      <c r="CG84" s="198">
        <v>0</v>
      </c>
      <c r="CH84" s="198">
        <v>0</v>
      </c>
      <c r="CI84" s="198">
        <v>0</v>
      </c>
      <c r="CJ84" s="198">
        <v>0</v>
      </c>
      <c r="CK84" s="88"/>
    </row>
    <row r="85" spans="1:89" x14ac:dyDescent="0.3">
      <c r="A85" s="173"/>
      <c r="B85" s="197" t="s">
        <v>74</v>
      </c>
      <c r="C85" s="198">
        <v>1029.4000000000001</v>
      </c>
      <c r="D85" s="198">
        <v>1273.5999999999999</v>
      </c>
      <c r="E85" s="198">
        <v>0</v>
      </c>
      <c r="F85" s="198">
        <v>239</v>
      </c>
      <c r="G85" s="198">
        <v>0</v>
      </c>
      <c r="H85" s="198">
        <v>0</v>
      </c>
      <c r="I85" s="198">
        <v>0</v>
      </c>
      <c r="J85" s="198">
        <v>0</v>
      </c>
      <c r="K85" s="198">
        <v>0</v>
      </c>
      <c r="L85" s="198">
        <v>0</v>
      </c>
      <c r="M85" s="198">
        <v>0</v>
      </c>
      <c r="N85" s="198">
        <v>0</v>
      </c>
      <c r="O85" s="198">
        <v>0</v>
      </c>
      <c r="P85" s="198">
        <v>0</v>
      </c>
      <c r="Q85" s="198">
        <v>0</v>
      </c>
      <c r="R85" s="198">
        <v>0</v>
      </c>
      <c r="S85" s="198">
        <v>0</v>
      </c>
      <c r="T85" s="198">
        <v>0</v>
      </c>
      <c r="U85" s="198">
        <v>0</v>
      </c>
      <c r="V85" s="198">
        <v>0</v>
      </c>
      <c r="W85" s="198">
        <v>0</v>
      </c>
      <c r="X85" s="198">
        <v>0</v>
      </c>
      <c r="Y85" s="198">
        <v>0</v>
      </c>
      <c r="Z85" s="198">
        <v>0</v>
      </c>
      <c r="AA85" s="198">
        <v>0</v>
      </c>
      <c r="AB85" s="198">
        <v>0</v>
      </c>
      <c r="AC85" s="198">
        <v>0</v>
      </c>
      <c r="AD85" s="198">
        <v>0</v>
      </c>
      <c r="AE85" s="198">
        <v>0</v>
      </c>
      <c r="AF85" s="198">
        <v>0</v>
      </c>
      <c r="AG85" s="198">
        <v>0</v>
      </c>
      <c r="AH85" s="198">
        <v>0</v>
      </c>
      <c r="AI85" s="198">
        <v>0</v>
      </c>
      <c r="AJ85" s="198">
        <v>0</v>
      </c>
      <c r="AK85" s="198">
        <v>0</v>
      </c>
      <c r="AL85" s="198">
        <v>0</v>
      </c>
      <c r="AM85" s="198">
        <v>0</v>
      </c>
      <c r="AN85" s="198">
        <v>0</v>
      </c>
      <c r="AO85" s="198">
        <v>0</v>
      </c>
      <c r="AP85" s="198">
        <v>0</v>
      </c>
      <c r="AQ85" s="198">
        <v>0</v>
      </c>
      <c r="AR85" s="198">
        <v>0</v>
      </c>
      <c r="AS85" s="198">
        <v>0</v>
      </c>
      <c r="AT85" s="198">
        <v>0</v>
      </c>
      <c r="AU85" s="198">
        <v>0</v>
      </c>
      <c r="AV85" s="198">
        <v>0</v>
      </c>
      <c r="AW85" s="198">
        <v>0</v>
      </c>
      <c r="AX85" s="198">
        <v>0</v>
      </c>
      <c r="AY85" s="198">
        <v>0</v>
      </c>
      <c r="AZ85" s="198">
        <v>0</v>
      </c>
      <c r="BA85" s="198">
        <v>0</v>
      </c>
      <c r="BB85" s="198">
        <v>0</v>
      </c>
      <c r="BC85" s="198">
        <v>0</v>
      </c>
      <c r="BD85" s="198">
        <v>0</v>
      </c>
      <c r="BE85" s="198">
        <v>0</v>
      </c>
      <c r="BF85" s="198">
        <v>0</v>
      </c>
      <c r="BG85" s="198">
        <v>0</v>
      </c>
      <c r="BH85" s="198">
        <v>0</v>
      </c>
      <c r="BI85" s="198">
        <v>0</v>
      </c>
      <c r="BJ85" s="198">
        <v>0</v>
      </c>
      <c r="BK85" s="198">
        <v>0</v>
      </c>
      <c r="BL85" s="198">
        <v>0</v>
      </c>
      <c r="BM85" s="198">
        <v>0</v>
      </c>
      <c r="BN85" s="198">
        <v>0</v>
      </c>
      <c r="BO85" s="198">
        <v>0</v>
      </c>
      <c r="BP85" s="198">
        <v>0</v>
      </c>
      <c r="BQ85" s="198">
        <v>0</v>
      </c>
      <c r="BR85" s="198">
        <v>0</v>
      </c>
      <c r="BS85" s="198">
        <v>0</v>
      </c>
      <c r="BT85" s="198">
        <v>0</v>
      </c>
      <c r="BU85" s="198">
        <v>0</v>
      </c>
      <c r="BV85" s="198">
        <v>0</v>
      </c>
      <c r="BW85" s="198">
        <v>0</v>
      </c>
      <c r="BX85" s="198">
        <v>0</v>
      </c>
      <c r="BY85" s="198">
        <v>0</v>
      </c>
      <c r="BZ85" s="198">
        <v>0</v>
      </c>
      <c r="CA85" s="198">
        <v>0</v>
      </c>
      <c r="CB85" s="198">
        <v>0</v>
      </c>
      <c r="CC85" s="198">
        <v>0</v>
      </c>
      <c r="CD85" s="198">
        <v>0</v>
      </c>
      <c r="CE85" s="198">
        <v>0</v>
      </c>
      <c r="CF85" s="198">
        <v>0</v>
      </c>
      <c r="CG85" s="198">
        <v>0</v>
      </c>
      <c r="CH85" s="198">
        <v>0</v>
      </c>
      <c r="CI85" s="198">
        <v>0</v>
      </c>
      <c r="CJ85" s="198">
        <v>0</v>
      </c>
      <c r="CK85" s="88"/>
    </row>
    <row r="86" spans="1:89" x14ac:dyDescent="0.3">
      <c r="A86" s="173"/>
      <c r="B86" s="197" t="s">
        <v>432</v>
      </c>
      <c r="C86" s="198">
        <v>0</v>
      </c>
      <c r="D86" s="198">
        <v>0</v>
      </c>
      <c r="E86" s="198">
        <v>0</v>
      </c>
      <c r="F86" s="198">
        <v>0</v>
      </c>
      <c r="G86" s="198">
        <v>0</v>
      </c>
      <c r="H86" s="198">
        <v>0</v>
      </c>
      <c r="I86" s="198">
        <v>0</v>
      </c>
      <c r="J86" s="198">
        <v>0</v>
      </c>
      <c r="K86" s="198">
        <v>0</v>
      </c>
      <c r="L86" s="198">
        <v>0</v>
      </c>
      <c r="M86" s="198">
        <v>0</v>
      </c>
      <c r="N86" s="198">
        <v>0</v>
      </c>
      <c r="O86" s="198">
        <v>0</v>
      </c>
      <c r="P86" s="198">
        <v>0</v>
      </c>
      <c r="Q86" s="198">
        <v>0</v>
      </c>
      <c r="R86" s="198">
        <v>0</v>
      </c>
      <c r="S86" s="198">
        <v>0</v>
      </c>
      <c r="T86" s="198">
        <v>0</v>
      </c>
      <c r="U86" s="198">
        <v>0</v>
      </c>
      <c r="V86" s="198">
        <v>0</v>
      </c>
      <c r="W86" s="198">
        <v>0</v>
      </c>
      <c r="X86" s="198">
        <v>0</v>
      </c>
      <c r="Y86" s="198">
        <v>0</v>
      </c>
      <c r="Z86" s="198">
        <v>0</v>
      </c>
      <c r="AA86" s="198">
        <v>0</v>
      </c>
      <c r="AB86" s="198">
        <v>0</v>
      </c>
      <c r="AC86" s="198">
        <v>0</v>
      </c>
      <c r="AD86" s="198">
        <v>0</v>
      </c>
      <c r="AE86" s="198">
        <v>0</v>
      </c>
      <c r="AF86" s="198">
        <v>0</v>
      </c>
      <c r="AG86" s="198">
        <v>0</v>
      </c>
      <c r="AH86" s="198">
        <v>0</v>
      </c>
      <c r="AI86" s="198">
        <v>0</v>
      </c>
      <c r="AJ86" s="198">
        <v>0</v>
      </c>
      <c r="AK86" s="198">
        <v>0</v>
      </c>
      <c r="AL86" s="198">
        <v>0</v>
      </c>
      <c r="AM86" s="198">
        <v>0</v>
      </c>
      <c r="AN86" s="198">
        <v>0</v>
      </c>
      <c r="AO86" s="198">
        <v>0</v>
      </c>
      <c r="AP86" s="198">
        <v>0</v>
      </c>
      <c r="AQ86" s="198">
        <v>0</v>
      </c>
      <c r="AR86" s="198">
        <v>0</v>
      </c>
      <c r="AS86" s="198">
        <v>0</v>
      </c>
      <c r="AT86" s="198">
        <v>0</v>
      </c>
      <c r="AU86" s="198">
        <v>0</v>
      </c>
      <c r="AV86" s="198">
        <v>0</v>
      </c>
      <c r="AW86" s="198">
        <v>0</v>
      </c>
      <c r="AX86" s="198">
        <v>0</v>
      </c>
      <c r="AY86" s="198">
        <v>0</v>
      </c>
      <c r="AZ86" s="198">
        <v>0</v>
      </c>
      <c r="BA86" s="198">
        <v>0</v>
      </c>
      <c r="BB86" s="198">
        <v>0</v>
      </c>
      <c r="BC86" s="198">
        <v>0</v>
      </c>
      <c r="BD86" s="198">
        <v>0</v>
      </c>
      <c r="BE86" s="198">
        <v>0</v>
      </c>
      <c r="BF86" s="198">
        <v>0</v>
      </c>
      <c r="BG86" s="198">
        <v>0</v>
      </c>
      <c r="BH86" s="198">
        <v>0</v>
      </c>
      <c r="BI86" s="198">
        <v>0</v>
      </c>
      <c r="BJ86" s="198">
        <v>0</v>
      </c>
      <c r="BK86" s="198">
        <v>0</v>
      </c>
      <c r="BL86" s="198">
        <v>0</v>
      </c>
      <c r="BM86" s="198">
        <v>0</v>
      </c>
      <c r="BN86" s="198">
        <v>0</v>
      </c>
      <c r="BO86" s="198">
        <v>0</v>
      </c>
      <c r="BP86" s="198">
        <v>0</v>
      </c>
      <c r="BQ86" s="198">
        <v>0</v>
      </c>
      <c r="BR86" s="198">
        <v>0</v>
      </c>
      <c r="BS86" s="198">
        <v>0</v>
      </c>
      <c r="BT86" s="198">
        <v>0</v>
      </c>
      <c r="BU86" s="198">
        <v>0</v>
      </c>
      <c r="BV86" s="198">
        <v>0</v>
      </c>
      <c r="BW86" s="198">
        <v>0</v>
      </c>
      <c r="BX86" s="198">
        <v>0</v>
      </c>
      <c r="BY86" s="198">
        <v>0</v>
      </c>
      <c r="BZ86" s="198">
        <v>0</v>
      </c>
      <c r="CA86" s="198">
        <v>0</v>
      </c>
      <c r="CB86" s="198">
        <v>0</v>
      </c>
      <c r="CC86" s="198">
        <v>0</v>
      </c>
      <c r="CD86" s="198">
        <v>0</v>
      </c>
      <c r="CE86" s="198">
        <v>0</v>
      </c>
      <c r="CF86" s="198">
        <v>0</v>
      </c>
      <c r="CG86" s="198">
        <v>0</v>
      </c>
      <c r="CH86" s="198">
        <v>0</v>
      </c>
      <c r="CI86" s="198">
        <v>0</v>
      </c>
      <c r="CJ86" s="198">
        <v>250</v>
      </c>
      <c r="CK86" s="88"/>
    </row>
    <row r="87" spans="1:89" x14ac:dyDescent="0.3">
      <c r="A87" s="173"/>
      <c r="B87" s="197" t="s">
        <v>398</v>
      </c>
      <c r="C87" s="198">
        <v>0</v>
      </c>
      <c r="D87" s="198">
        <v>0</v>
      </c>
      <c r="E87" s="198">
        <v>0</v>
      </c>
      <c r="F87" s="198">
        <v>0</v>
      </c>
      <c r="G87" s="198">
        <v>0</v>
      </c>
      <c r="H87" s="198">
        <v>0</v>
      </c>
      <c r="I87" s="198">
        <v>0</v>
      </c>
      <c r="J87" s="198">
        <v>0</v>
      </c>
      <c r="K87" s="198">
        <v>0</v>
      </c>
      <c r="L87" s="198">
        <v>0</v>
      </c>
      <c r="M87" s="198">
        <v>0</v>
      </c>
      <c r="N87" s="198">
        <v>0</v>
      </c>
      <c r="O87" s="198">
        <v>0</v>
      </c>
      <c r="P87" s="198">
        <v>0</v>
      </c>
      <c r="Q87" s="198">
        <v>0</v>
      </c>
      <c r="R87" s="198">
        <v>0</v>
      </c>
      <c r="S87" s="198">
        <v>0</v>
      </c>
      <c r="T87" s="198">
        <v>0</v>
      </c>
      <c r="U87" s="198">
        <v>0</v>
      </c>
      <c r="V87" s="198">
        <v>0</v>
      </c>
      <c r="W87" s="198">
        <v>0</v>
      </c>
      <c r="X87" s="198">
        <v>0</v>
      </c>
      <c r="Y87" s="198">
        <v>0</v>
      </c>
      <c r="Z87" s="198">
        <v>0</v>
      </c>
      <c r="AA87" s="198">
        <v>0</v>
      </c>
      <c r="AB87" s="198">
        <v>0</v>
      </c>
      <c r="AC87" s="198">
        <v>0</v>
      </c>
      <c r="AD87" s="198">
        <v>0</v>
      </c>
      <c r="AE87" s="198">
        <v>0</v>
      </c>
      <c r="AF87" s="198">
        <v>0</v>
      </c>
      <c r="AG87" s="198">
        <v>0</v>
      </c>
      <c r="AH87" s="198">
        <v>0</v>
      </c>
      <c r="AI87" s="198">
        <v>0</v>
      </c>
      <c r="AJ87" s="198">
        <v>0</v>
      </c>
      <c r="AK87" s="198">
        <v>0</v>
      </c>
      <c r="AL87" s="198">
        <v>0</v>
      </c>
      <c r="AM87" s="198">
        <v>0</v>
      </c>
      <c r="AN87" s="198">
        <v>0</v>
      </c>
      <c r="AO87" s="198">
        <v>0</v>
      </c>
      <c r="AP87" s="198">
        <v>0</v>
      </c>
      <c r="AQ87" s="198">
        <v>0</v>
      </c>
      <c r="AR87" s="198">
        <v>0</v>
      </c>
      <c r="AS87" s="198">
        <v>0</v>
      </c>
      <c r="AT87" s="198">
        <v>0</v>
      </c>
      <c r="AU87" s="198">
        <v>0</v>
      </c>
      <c r="AV87" s="198">
        <v>0</v>
      </c>
      <c r="AW87" s="198">
        <v>0</v>
      </c>
      <c r="AX87" s="198">
        <v>0</v>
      </c>
      <c r="AY87" s="198">
        <v>0</v>
      </c>
      <c r="AZ87" s="198">
        <v>0</v>
      </c>
      <c r="BA87" s="198">
        <v>0</v>
      </c>
      <c r="BB87" s="198">
        <v>0</v>
      </c>
      <c r="BC87" s="198">
        <v>0</v>
      </c>
      <c r="BD87" s="198">
        <v>0</v>
      </c>
      <c r="BE87" s="198">
        <v>0</v>
      </c>
      <c r="BF87" s="198">
        <v>0</v>
      </c>
      <c r="BG87" s="198">
        <v>0</v>
      </c>
      <c r="BH87" s="198">
        <v>0</v>
      </c>
      <c r="BI87" s="198">
        <v>0</v>
      </c>
      <c r="BJ87" s="198">
        <v>0</v>
      </c>
      <c r="BK87" s="198">
        <v>0</v>
      </c>
      <c r="BL87" s="198">
        <v>0</v>
      </c>
      <c r="BM87" s="198">
        <v>0</v>
      </c>
      <c r="BN87" s="198">
        <v>0</v>
      </c>
      <c r="BO87" s="198">
        <v>0</v>
      </c>
      <c r="BP87" s="198">
        <v>0</v>
      </c>
      <c r="BQ87" s="198">
        <v>0</v>
      </c>
      <c r="BR87" s="198">
        <v>0</v>
      </c>
      <c r="BS87" s="198">
        <v>0</v>
      </c>
      <c r="BT87" s="198">
        <v>694.5</v>
      </c>
      <c r="BU87" s="198">
        <v>717.6</v>
      </c>
      <c r="BV87" s="198">
        <v>0</v>
      </c>
      <c r="BW87" s="198">
        <v>0</v>
      </c>
      <c r="BX87" s="198">
        <v>0</v>
      </c>
      <c r="BY87" s="198">
        <v>0</v>
      </c>
      <c r="BZ87" s="198">
        <v>721.4</v>
      </c>
      <c r="CA87" s="198">
        <v>0</v>
      </c>
      <c r="CB87" s="198">
        <v>0</v>
      </c>
      <c r="CC87" s="198">
        <v>6434.3</v>
      </c>
      <c r="CD87" s="198">
        <v>0</v>
      </c>
      <c r="CE87" s="198">
        <v>0</v>
      </c>
      <c r="CF87" s="198">
        <v>0</v>
      </c>
      <c r="CG87" s="198">
        <v>0</v>
      </c>
      <c r="CH87" s="198">
        <v>0</v>
      </c>
      <c r="CI87" s="198">
        <v>0</v>
      </c>
      <c r="CJ87" s="198">
        <v>0</v>
      </c>
      <c r="CK87" s="88"/>
    </row>
    <row r="88" spans="1:89" x14ac:dyDescent="0.3">
      <c r="A88" s="173"/>
      <c r="B88" s="197" t="s">
        <v>399</v>
      </c>
      <c r="C88" s="198">
        <v>0</v>
      </c>
      <c r="D88" s="198">
        <v>0</v>
      </c>
      <c r="E88" s="198">
        <v>0</v>
      </c>
      <c r="F88" s="198">
        <v>0</v>
      </c>
      <c r="G88" s="198">
        <v>0</v>
      </c>
      <c r="H88" s="198">
        <v>0</v>
      </c>
      <c r="I88" s="198">
        <v>0</v>
      </c>
      <c r="J88" s="198">
        <v>0</v>
      </c>
      <c r="K88" s="198">
        <v>0</v>
      </c>
      <c r="L88" s="198">
        <v>0</v>
      </c>
      <c r="M88" s="198">
        <v>0</v>
      </c>
      <c r="N88" s="198">
        <v>0</v>
      </c>
      <c r="O88" s="198">
        <v>0</v>
      </c>
      <c r="P88" s="198">
        <v>0</v>
      </c>
      <c r="Q88" s="198">
        <v>0</v>
      </c>
      <c r="R88" s="198">
        <v>0</v>
      </c>
      <c r="S88" s="198">
        <v>0</v>
      </c>
      <c r="T88" s="198">
        <v>0</v>
      </c>
      <c r="U88" s="198">
        <v>0</v>
      </c>
      <c r="V88" s="198">
        <v>0</v>
      </c>
      <c r="W88" s="198">
        <v>0</v>
      </c>
      <c r="X88" s="198">
        <v>0</v>
      </c>
      <c r="Y88" s="198">
        <v>0</v>
      </c>
      <c r="Z88" s="198">
        <v>0</v>
      </c>
      <c r="AA88" s="198">
        <v>0</v>
      </c>
      <c r="AB88" s="198">
        <v>0</v>
      </c>
      <c r="AC88" s="198">
        <v>0</v>
      </c>
      <c r="AD88" s="198">
        <v>0</v>
      </c>
      <c r="AE88" s="198">
        <v>0</v>
      </c>
      <c r="AF88" s="198">
        <v>0</v>
      </c>
      <c r="AG88" s="198">
        <v>0</v>
      </c>
      <c r="AH88" s="198">
        <v>0</v>
      </c>
      <c r="AI88" s="198">
        <v>0</v>
      </c>
      <c r="AJ88" s="198">
        <v>0</v>
      </c>
      <c r="AK88" s="198">
        <v>0</v>
      </c>
      <c r="AL88" s="198">
        <v>0</v>
      </c>
      <c r="AM88" s="198">
        <v>0</v>
      </c>
      <c r="AN88" s="198">
        <v>0</v>
      </c>
      <c r="AO88" s="198">
        <v>0</v>
      </c>
      <c r="AP88" s="198">
        <v>0</v>
      </c>
      <c r="AQ88" s="198">
        <v>0</v>
      </c>
      <c r="AR88" s="198">
        <v>0</v>
      </c>
      <c r="AS88" s="198">
        <v>0</v>
      </c>
      <c r="AT88" s="198">
        <v>0</v>
      </c>
      <c r="AU88" s="198">
        <v>0</v>
      </c>
      <c r="AV88" s="198">
        <v>0</v>
      </c>
      <c r="AW88" s="198">
        <v>0</v>
      </c>
      <c r="AX88" s="198">
        <v>0</v>
      </c>
      <c r="AY88" s="198">
        <v>0</v>
      </c>
      <c r="AZ88" s="198">
        <v>0</v>
      </c>
      <c r="BA88" s="198">
        <v>0</v>
      </c>
      <c r="BB88" s="198">
        <v>0</v>
      </c>
      <c r="BC88" s="198">
        <v>0</v>
      </c>
      <c r="BD88" s="198">
        <v>0</v>
      </c>
      <c r="BE88" s="198">
        <v>0</v>
      </c>
      <c r="BF88" s="198">
        <v>0</v>
      </c>
      <c r="BG88" s="198">
        <v>0</v>
      </c>
      <c r="BH88" s="198">
        <v>0</v>
      </c>
      <c r="BI88" s="198">
        <v>0</v>
      </c>
      <c r="BJ88" s="198">
        <v>0</v>
      </c>
      <c r="BK88" s="198">
        <v>0</v>
      </c>
      <c r="BL88" s="198">
        <v>0</v>
      </c>
      <c r="BM88" s="198">
        <v>0</v>
      </c>
      <c r="BN88" s="198">
        <v>0</v>
      </c>
      <c r="BO88" s="198">
        <v>0</v>
      </c>
      <c r="BP88" s="198">
        <v>0</v>
      </c>
      <c r="BQ88" s="198">
        <v>0</v>
      </c>
      <c r="BR88" s="198">
        <v>0</v>
      </c>
      <c r="BS88" s="198">
        <v>0</v>
      </c>
      <c r="BT88" s="198">
        <v>1116.9000000000001</v>
      </c>
      <c r="BU88" s="198">
        <v>0</v>
      </c>
      <c r="BV88" s="198">
        <v>0</v>
      </c>
      <c r="BW88" s="198">
        <v>0</v>
      </c>
      <c r="BX88" s="198">
        <v>0</v>
      </c>
      <c r="BY88" s="198">
        <v>0</v>
      </c>
      <c r="BZ88" s="198">
        <v>0</v>
      </c>
      <c r="CA88" s="198">
        <v>0</v>
      </c>
      <c r="CB88" s="198">
        <v>0</v>
      </c>
      <c r="CC88" s="198">
        <v>0</v>
      </c>
      <c r="CD88" s="198">
        <v>6712.8</v>
      </c>
      <c r="CE88" s="198">
        <v>0</v>
      </c>
      <c r="CF88" s="198">
        <v>0</v>
      </c>
      <c r="CG88" s="198">
        <v>0</v>
      </c>
      <c r="CH88" s="198">
        <v>0</v>
      </c>
      <c r="CI88" s="198">
        <v>0</v>
      </c>
      <c r="CJ88" s="198">
        <v>0</v>
      </c>
      <c r="CK88" s="88"/>
    </row>
    <row r="89" spans="1:89" x14ac:dyDescent="0.3">
      <c r="A89" s="173"/>
      <c r="B89" s="197" t="s">
        <v>401</v>
      </c>
      <c r="C89" s="198">
        <v>0</v>
      </c>
      <c r="D89" s="198">
        <v>0</v>
      </c>
      <c r="E89" s="198">
        <v>0</v>
      </c>
      <c r="F89" s="198">
        <v>0</v>
      </c>
      <c r="G89" s="198">
        <v>0</v>
      </c>
      <c r="H89" s="198">
        <v>0</v>
      </c>
      <c r="I89" s="198">
        <v>0</v>
      </c>
      <c r="J89" s="198">
        <v>0</v>
      </c>
      <c r="K89" s="198">
        <v>0</v>
      </c>
      <c r="L89" s="198">
        <v>0</v>
      </c>
      <c r="M89" s="198">
        <v>0</v>
      </c>
      <c r="N89" s="198">
        <v>0</v>
      </c>
      <c r="O89" s="198">
        <v>0</v>
      </c>
      <c r="P89" s="198">
        <v>0</v>
      </c>
      <c r="Q89" s="198">
        <v>0</v>
      </c>
      <c r="R89" s="198">
        <v>0</v>
      </c>
      <c r="S89" s="198">
        <v>0</v>
      </c>
      <c r="T89" s="198">
        <v>0</v>
      </c>
      <c r="U89" s="198">
        <v>0</v>
      </c>
      <c r="V89" s="198">
        <v>0</v>
      </c>
      <c r="W89" s="198">
        <v>0</v>
      </c>
      <c r="X89" s="198">
        <v>0</v>
      </c>
      <c r="Y89" s="198">
        <v>0</v>
      </c>
      <c r="Z89" s="198">
        <v>0</v>
      </c>
      <c r="AA89" s="198">
        <v>0</v>
      </c>
      <c r="AB89" s="198">
        <v>0</v>
      </c>
      <c r="AC89" s="198">
        <v>0</v>
      </c>
      <c r="AD89" s="198">
        <v>0</v>
      </c>
      <c r="AE89" s="198">
        <v>0</v>
      </c>
      <c r="AF89" s="198">
        <v>0</v>
      </c>
      <c r="AG89" s="198">
        <v>0</v>
      </c>
      <c r="AH89" s="198">
        <v>0</v>
      </c>
      <c r="AI89" s="198">
        <v>0</v>
      </c>
      <c r="AJ89" s="198">
        <v>0</v>
      </c>
      <c r="AK89" s="198">
        <v>0</v>
      </c>
      <c r="AL89" s="198">
        <v>0</v>
      </c>
      <c r="AM89" s="198">
        <v>0</v>
      </c>
      <c r="AN89" s="198">
        <v>0</v>
      </c>
      <c r="AO89" s="198">
        <v>0</v>
      </c>
      <c r="AP89" s="198">
        <v>0</v>
      </c>
      <c r="AQ89" s="198">
        <v>0</v>
      </c>
      <c r="AR89" s="198">
        <v>0</v>
      </c>
      <c r="AS89" s="198">
        <v>0</v>
      </c>
      <c r="AT89" s="198">
        <v>0</v>
      </c>
      <c r="AU89" s="198">
        <v>0</v>
      </c>
      <c r="AV89" s="198">
        <v>0</v>
      </c>
      <c r="AW89" s="198">
        <v>0</v>
      </c>
      <c r="AX89" s="198">
        <v>0</v>
      </c>
      <c r="AY89" s="198">
        <v>0</v>
      </c>
      <c r="AZ89" s="198">
        <v>0</v>
      </c>
      <c r="BA89" s="198">
        <v>0</v>
      </c>
      <c r="BB89" s="198">
        <v>0</v>
      </c>
      <c r="BC89" s="198">
        <v>0</v>
      </c>
      <c r="BD89" s="198">
        <v>0</v>
      </c>
      <c r="BE89" s="198">
        <v>0</v>
      </c>
      <c r="BF89" s="198">
        <v>0</v>
      </c>
      <c r="BG89" s="198">
        <v>0</v>
      </c>
      <c r="BH89" s="198">
        <v>0</v>
      </c>
      <c r="BI89" s="198">
        <v>0</v>
      </c>
      <c r="BJ89" s="198">
        <v>0</v>
      </c>
      <c r="BK89" s="198">
        <v>0</v>
      </c>
      <c r="BL89" s="198">
        <v>0</v>
      </c>
      <c r="BM89" s="198">
        <v>0</v>
      </c>
      <c r="BN89" s="198">
        <v>0</v>
      </c>
      <c r="BO89" s="198">
        <v>0</v>
      </c>
      <c r="BP89" s="198">
        <v>0</v>
      </c>
      <c r="BQ89" s="198">
        <v>0</v>
      </c>
      <c r="BR89" s="198">
        <v>0</v>
      </c>
      <c r="BS89" s="198">
        <v>0</v>
      </c>
      <c r="BT89" s="198">
        <v>0</v>
      </c>
      <c r="BU89" s="198">
        <v>0</v>
      </c>
      <c r="BV89" s="198">
        <v>111.2</v>
      </c>
      <c r="BW89" s="198">
        <v>0</v>
      </c>
      <c r="BX89" s="198">
        <v>0</v>
      </c>
      <c r="BY89" s="198">
        <v>125.7</v>
      </c>
      <c r="BZ89" s="198">
        <v>752.2</v>
      </c>
      <c r="CA89" s="198">
        <v>964</v>
      </c>
      <c r="CB89" s="198">
        <v>265.60000000000002</v>
      </c>
      <c r="CC89" s="198">
        <v>281</v>
      </c>
      <c r="CD89" s="198">
        <v>0</v>
      </c>
      <c r="CE89" s="198">
        <v>930.7</v>
      </c>
      <c r="CF89" s="386">
        <v>1131.9000000000001</v>
      </c>
      <c r="CG89" s="386">
        <v>35.799999999999997</v>
      </c>
      <c r="CH89" s="198">
        <v>0</v>
      </c>
      <c r="CI89" s="198">
        <v>0</v>
      </c>
      <c r="CJ89" s="198">
        <v>0</v>
      </c>
      <c r="CK89" s="88"/>
    </row>
    <row r="90" spans="1:89" x14ac:dyDescent="0.3">
      <c r="A90" s="173"/>
      <c r="B90" s="197" t="s">
        <v>400</v>
      </c>
      <c r="C90" s="198">
        <v>0</v>
      </c>
      <c r="D90" s="198">
        <v>0</v>
      </c>
      <c r="E90" s="198">
        <v>0</v>
      </c>
      <c r="F90" s="198">
        <v>0</v>
      </c>
      <c r="G90" s="198">
        <v>0</v>
      </c>
      <c r="H90" s="198">
        <v>0</v>
      </c>
      <c r="I90" s="198">
        <v>0</v>
      </c>
      <c r="J90" s="198">
        <v>0</v>
      </c>
      <c r="K90" s="198">
        <v>0</v>
      </c>
      <c r="L90" s="198">
        <v>0</v>
      </c>
      <c r="M90" s="198">
        <v>0</v>
      </c>
      <c r="N90" s="198">
        <v>0</v>
      </c>
      <c r="O90" s="198">
        <v>0</v>
      </c>
      <c r="P90" s="198">
        <v>0</v>
      </c>
      <c r="Q90" s="198">
        <v>0</v>
      </c>
      <c r="R90" s="198">
        <v>0</v>
      </c>
      <c r="S90" s="198">
        <v>0</v>
      </c>
      <c r="T90" s="198">
        <v>0</v>
      </c>
      <c r="U90" s="198">
        <v>0</v>
      </c>
      <c r="V90" s="198">
        <v>0</v>
      </c>
      <c r="W90" s="198">
        <v>0</v>
      </c>
      <c r="X90" s="198">
        <v>0</v>
      </c>
      <c r="Y90" s="198">
        <v>0</v>
      </c>
      <c r="Z90" s="198">
        <v>0</v>
      </c>
      <c r="AA90" s="198">
        <v>0</v>
      </c>
      <c r="AB90" s="198">
        <v>0</v>
      </c>
      <c r="AC90" s="198">
        <v>0</v>
      </c>
      <c r="AD90" s="198">
        <v>0</v>
      </c>
      <c r="AE90" s="198">
        <v>0</v>
      </c>
      <c r="AF90" s="198">
        <v>0</v>
      </c>
      <c r="AG90" s="198">
        <v>0</v>
      </c>
      <c r="AH90" s="198">
        <v>0</v>
      </c>
      <c r="AI90" s="198">
        <v>0</v>
      </c>
      <c r="AJ90" s="198">
        <v>0</v>
      </c>
      <c r="AK90" s="198">
        <v>0</v>
      </c>
      <c r="AL90" s="198">
        <v>0</v>
      </c>
      <c r="AM90" s="198">
        <v>0</v>
      </c>
      <c r="AN90" s="198">
        <v>0</v>
      </c>
      <c r="AO90" s="198">
        <v>0</v>
      </c>
      <c r="AP90" s="198">
        <v>0</v>
      </c>
      <c r="AQ90" s="198">
        <v>0</v>
      </c>
      <c r="AR90" s="198">
        <v>0</v>
      </c>
      <c r="AS90" s="198">
        <v>0</v>
      </c>
      <c r="AT90" s="198">
        <v>0</v>
      </c>
      <c r="AU90" s="198">
        <v>0</v>
      </c>
      <c r="AV90" s="198">
        <v>0</v>
      </c>
      <c r="AW90" s="198">
        <v>0</v>
      </c>
      <c r="AX90" s="198">
        <v>0</v>
      </c>
      <c r="AY90" s="198">
        <v>0</v>
      </c>
      <c r="AZ90" s="198">
        <v>0</v>
      </c>
      <c r="BA90" s="198">
        <v>0</v>
      </c>
      <c r="BB90" s="198">
        <v>0</v>
      </c>
      <c r="BC90" s="198">
        <v>0</v>
      </c>
      <c r="BD90" s="198">
        <v>0</v>
      </c>
      <c r="BE90" s="198">
        <v>0</v>
      </c>
      <c r="BF90" s="198">
        <v>0</v>
      </c>
      <c r="BG90" s="198">
        <v>0</v>
      </c>
      <c r="BH90" s="198">
        <v>0</v>
      </c>
      <c r="BI90" s="198">
        <v>0</v>
      </c>
      <c r="BJ90" s="198">
        <v>0</v>
      </c>
      <c r="BK90" s="198">
        <v>0</v>
      </c>
      <c r="BL90" s="198">
        <v>0</v>
      </c>
      <c r="BM90" s="198">
        <v>0</v>
      </c>
      <c r="BN90" s="198">
        <v>0</v>
      </c>
      <c r="BO90" s="198">
        <v>0</v>
      </c>
      <c r="BP90" s="198">
        <v>0</v>
      </c>
      <c r="BQ90" s="198">
        <v>0</v>
      </c>
      <c r="BR90" s="198">
        <v>0</v>
      </c>
      <c r="BS90" s="198">
        <v>0</v>
      </c>
      <c r="BT90" s="198">
        <v>0</v>
      </c>
      <c r="BU90" s="198">
        <v>1350.7</v>
      </c>
      <c r="BV90" s="198">
        <v>1153.4000000000001</v>
      </c>
      <c r="BW90" s="198">
        <v>0</v>
      </c>
      <c r="BX90" s="198">
        <v>240.8</v>
      </c>
      <c r="BY90" s="198">
        <v>0</v>
      </c>
      <c r="BZ90" s="198">
        <v>0</v>
      </c>
      <c r="CA90" s="198">
        <v>0</v>
      </c>
      <c r="CB90" s="198">
        <v>0</v>
      </c>
      <c r="CC90" s="198">
        <v>0</v>
      </c>
      <c r="CD90" s="198">
        <v>327.2</v>
      </c>
      <c r="CE90" s="198">
        <v>0</v>
      </c>
      <c r="CF90" s="198">
        <v>0</v>
      </c>
      <c r="CG90" s="198">
        <v>2574.8000000000002</v>
      </c>
      <c r="CH90" s="198">
        <v>0</v>
      </c>
      <c r="CI90" s="198">
        <v>0</v>
      </c>
      <c r="CJ90" s="198">
        <v>0</v>
      </c>
      <c r="CK90" s="88"/>
    </row>
    <row r="91" spans="1:89" x14ac:dyDescent="0.3">
      <c r="A91" s="173"/>
      <c r="B91" s="197" t="s">
        <v>402</v>
      </c>
      <c r="C91" s="198">
        <v>0</v>
      </c>
      <c r="D91" s="198">
        <v>0</v>
      </c>
      <c r="E91" s="198">
        <v>0</v>
      </c>
      <c r="F91" s="198">
        <v>0</v>
      </c>
      <c r="G91" s="198">
        <v>0</v>
      </c>
      <c r="H91" s="198">
        <v>0</v>
      </c>
      <c r="I91" s="198">
        <v>0</v>
      </c>
      <c r="J91" s="198">
        <v>0</v>
      </c>
      <c r="K91" s="198">
        <v>0</v>
      </c>
      <c r="L91" s="198">
        <v>0</v>
      </c>
      <c r="M91" s="198">
        <v>0</v>
      </c>
      <c r="N91" s="198">
        <v>0</v>
      </c>
      <c r="O91" s="198">
        <v>0</v>
      </c>
      <c r="P91" s="198">
        <v>0</v>
      </c>
      <c r="Q91" s="198">
        <v>0</v>
      </c>
      <c r="R91" s="198">
        <v>0</v>
      </c>
      <c r="S91" s="198">
        <v>0</v>
      </c>
      <c r="T91" s="198">
        <v>0</v>
      </c>
      <c r="U91" s="198">
        <v>0</v>
      </c>
      <c r="V91" s="198">
        <v>0</v>
      </c>
      <c r="W91" s="198">
        <v>0</v>
      </c>
      <c r="X91" s="198">
        <v>0</v>
      </c>
      <c r="Y91" s="198">
        <v>0</v>
      </c>
      <c r="Z91" s="198">
        <v>0</v>
      </c>
      <c r="AA91" s="198">
        <v>0</v>
      </c>
      <c r="AB91" s="198">
        <v>0</v>
      </c>
      <c r="AC91" s="198">
        <v>0</v>
      </c>
      <c r="AD91" s="198">
        <v>0</v>
      </c>
      <c r="AE91" s="198">
        <v>0</v>
      </c>
      <c r="AF91" s="198">
        <v>0</v>
      </c>
      <c r="AG91" s="198">
        <v>0</v>
      </c>
      <c r="AH91" s="198">
        <v>0</v>
      </c>
      <c r="AI91" s="198">
        <v>0</v>
      </c>
      <c r="AJ91" s="198">
        <v>0</v>
      </c>
      <c r="AK91" s="198">
        <v>0</v>
      </c>
      <c r="AL91" s="198">
        <v>0</v>
      </c>
      <c r="AM91" s="198">
        <v>0</v>
      </c>
      <c r="AN91" s="198">
        <v>0</v>
      </c>
      <c r="AO91" s="198">
        <v>0</v>
      </c>
      <c r="AP91" s="198">
        <v>0</v>
      </c>
      <c r="AQ91" s="198">
        <v>0</v>
      </c>
      <c r="AR91" s="198">
        <v>0</v>
      </c>
      <c r="AS91" s="198">
        <v>0</v>
      </c>
      <c r="AT91" s="198">
        <v>0</v>
      </c>
      <c r="AU91" s="198">
        <v>0</v>
      </c>
      <c r="AV91" s="198">
        <v>0</v>
      </c>
      <c r="AW91" s="198">
        <v>0</v>
      </c>
      <c r="AX91" s="198">
        <v>0</v>
      </c>
      <c r="AY91" s="198">
        <v>0</v>
      </c>
      <c r="AZ91" s="198">
        <v>0</v>
      </c>
      <c r="BA91" s="198">
        <v>0</v>
      </c>
      <c r="BB91" s="198">
        <v>0</v>
      </c>
      <c r="BC91" s="198">
        <v>0</v>
      </c>
      <c r="BD91" s="198">
        <v>0</v>
      </c>
      <c r="BE91" s="198">
        <v>0</v>
      </c>
      <c r="BF91" s="198">
        <v>0</v>
      </c>
      <c r="BG91" s="198">
        <v>0</v>
      </c>
      <c r="BH91" s="198">
        <v>0</v>
      </c>
      <c r="BI91" s="198">
        <v>0</v>
      </c>
      <c r="BJ91" s="198">
        <v>0</v>
      </c>
      <c r="BK91" s="198">
        <v>0</v>
      </c>
      <c r="BL91" s="198">
        <v>0</v>
      </c>
      <c r="BM91" s="198">
        <v>0</v>
      </c>
      <c r="BN91" s="198">
        <v>0</v>
      </c>
      <c r="BO91" s="198">
        <v>0</v>
      </c>
      <c r="BP91" s="198">
        <v>0</v>
      </c>
      <c r="BQ91" s="198">
        <v>0</v>
      </c>
      <c r="BR91" s="198">
        <v>0</v>
      </c>
      <c r="BS91" s="198">
        <v>0</v>
      </c>
      <c r="BT91" s="198">
        <v>0</v>
      </c>
      <c r="BU91" s="198">
        <v>0</v>
      </c>
      <c r="BV91" s="198">
        <v>0</v>
      </c>
      <c r="BW91" s="198">
        <v>1461.6</v>
      </c>
      <c r="BX91" s="198">
        <v>0</v>
      </c>
      <c r="BY91" s="198">
        <v>0</v>
      </c>
      <c r="BZ91" s="198">
        <v>0</v>
      </c>
      <c r="CA91" s="198">
        <v>0</v>
      </c>
      <c r="CB91" s="198">
        <v>262.3</v>
      </c>
      <c r="CC91" s="198">
        <v>17.7</v>
      </c>
      <c r="CD91" s="198">
        <v>0</v>
      </c>
      <c r="CE91" s="198">
        <v>0</v>
      </c>
      <c r="CF91" s="198">
        <v>0</v>
      </c>
      <c r="CG91" s="198">
        <v>0</v>
      </c>
      <c r="CH91" s="198">
        <v>0</v>
      </c>
      <c r="CI91" s="198">
        <v>0</v>
      </c>
      <c r="CJ91" s="198">
        <v>0</v>
      </c>
      <c r="CK91" s="88"/>
    </row>
    <row r="92" spans="1:89" x14ac:dyDescent="0.3">
      <c r="A92" s="173"/>
      <c r="B92" s="197" t="s">
        <v>403</v>
      </c>
      <c r="C92" s="198">
        <v>0</v>
      </c>
      <c r="D92" s="198">
        <v>0</v>
      </c>
      <c r="E92" s="198">
        <v>0</v>
      </c>
      <c r="F92" s="198">
        <v>0</v>
      </c>
      <c r="G92" s="198">
        <v>0</v>
      </c>
      <c r="H92" s="198">
        <v>0</v>
      </c>
      <c r="I92" s="198">
        <v>0</v>
      </c>
      <c r="J92" s="198">
        <v>0</v>
      </c>
      <c r="K92" s="198">
        <v>0</v>
      </c>
      <c r="L92" s="198">
        <v>0</v>
      </c>
      <c r="M92" s="198">
        <v>0</v>
      </c>
      <c r="N92" s="198">
        <v>0</v>
      </c>
      <c r="O92" s="198">
        <v>0</v>
      </c>
      <c r="P92" s="198">
        <v>0</v>
      </c>
      <c r="Q92" s="198">
        <v>0</v>
      </c>
      <c r="R92" s="198">
        <v>0</v>
      </c>
      <c r="S92" s="198">
        <v>0</v>
      </c>
      <c r="T92" s="198">
        <v>0</v>
      </c>
      <c r="U92" s="198">
        <v>0</v>
      </c>
      <c r="V92" s="198">
        <v>0</v>
      </c>
      <c r="W92" s="198">
        <v>0</v>
      </c>
      <c r="X92" s="198">
        <v>0</v>
      </c>
      <c r="Y92" s="198">
        <v>0</v>
      </c>
      <c r="Z92" s="198">
        <v>0</v>
      </c>
      <c r="AA92" s="198">
        <v>0</v>
      </c>
      <c r="AB92" s="198">
        <v>0</v>
      </c>
      <c r="AC92" s="198">
        <v>0</v>
      </c>
      <c r="AD92" s="198">
        <v>0</v>
      </c>
      <c r="AE92" s="198">
        <v>0</v>
      </c>
      <c r="AF92" s="198">
        <v>0</v>
      </c>
      <c r="AG92" s="198">
        <v>0</v>
      </c>
      <c r="AH92" s="198">
        <v>0</v>
      </c>
      <c r="AI92" s="198">
        <v>0</v>
      </c>
      <c r="AJ92" s="198">
        <v>0</v>
      </c>
      <c r="AK92" s="198">
        <v>0</v>
      </c>
      <c r="AL92" s="198">
        <v>0</v>
      </c>
      <c r="AM92" s="198">
        <v>0</v>
      </c>
      <c r="AN92" s="198">
        <v>0</v>
      </c>
      <c r="AO92" s="198">
        <v>0</v>
      </c>
      <c r="AP92" s="198">
        <v>0</v>
      </c>
      <c r="AQ92" s="198">
        <v>0</v>
      </c>
      <c r="AR92" s="198">
        <v>0</v>
      </c>
      <c r="AS92" s="198">
        <v>0</v>
      </c>
      <c r="AT92" s="198">
        <v>0</v>
      </c>
      <c r="AU92" s="198">
        <v>0</v>
      </c>
      <c r="AV92" s="198">
        <v>0</v>
      </c>
      <c r="AW92" s="198">
        <v>0</v>
      </c>
      <c r="AX92" s="198">
        <v>0</v>
      </c>
      <c r="AY92" s="198">
        <v>0</v>
      </c>
      <c r="AZ92" s="198">
        <v>0</v>
      </c>
      <c r="BA92" s="198">
        <v>0</v>
      </c>
      <c r="BB92" s="198">
        <v>0</v>
      </c>
      <c r="BC92" s="198">
        <v>0</v>
      </c>
      <c r="BD92" s="198">
        <v>0</v>
      </c>
      <c r="BE92" s="198">
        <v>0</v>
      </c>
      <c r="BF92" s="198">
        <v>0</v>
      </c>
      <c r="BG92" s="198">
        <v>0</v>
      </c>
      <c r="BH92" s="198">
        <v>0</v>
      </c>
      <c r="BI92" s="198">
        <v>0</v>
      </c>
      <c r="BJ92" s="198">
        <v>0</v>
      </c>
      <c r="BK92" s="198">
        <v>0</v>
      </c>
      <c r="BL92" s="198">
        <v>0</v>
      </c>
      <c r="BM92" s="198">
        <v>0</v>
      </c>
      <c r="BN92" s="198">
        <v>0</v>
      </c>
      <c r="BO92" s="198">
        <v>0</v>
      </c>
      <c r="BP92" s="198">
        <v>0</v>
      </c>
      <c r="BQ92" s="198">
        <v>0</v>
      </c>
      <c r="BR92" s="198">
        <v>0</v>
      </c>
      <c r="BS92" s="198">
        <v>0</v>
      </c>
      <c r="BT92" s="198">
        <v>0</v>
      </c>
      <c r="BU92" s="198">
        <v>0</v>
      </c>
      <c r="BV92" s="198">
        <v>0</v>
      </c>
      <c r="BW92" s="198">
        <v>4224.7</v>
      </c>
      <c r="BX92" s="198">
        <v>0</v>
      </c>
      <c r="BY92" s="198">
        <v>0</v>
      </c>
      <c r="BZ92" s="198">
        <v>4</v>
      </c>
      <c r="CA92" s="198">
        <v>0</v>
      </c>
      <c r="CB92" s="198">
        <v>14.7</v>
      </c>
      <c r="CC92" s="198">
        <v>1.1000000000000001</v>
      </c>
      <c r="CD92" s="198">
        <v>0</v>
      </c>
      <c r="CE92" s="198">
        <v>0</v>
      </c>
      <c r="CF92" s="198">
        <v>0</v>
      </c>
      <c r="CG92" s="198">
        <v>0</v>
      </c>
      <c r="CH92" s="198">
        <v>0</v>
      </c>
      <c r="CI92" s="198">
        <v>105.3</v>
      </c>
      <c r="CJ92" s="198">
        <v>293.10000000000002</v>
      </c>
      <c r="CK92" s="88"/>
    </row>
    <row r="93" spans="1:89" x14ac:dyDescent="0.3">
      <c r="A93" s="173"/>
      <c r="B93" s="197" t="s">
        <v>415</v>
      </c>
      <c r="C93" s="198">
        <v>0</v>
      </c>
      <c r="D93" s="198">
        <v>0</v>
      </c>
      <c r="E93" s="198">
        <v>0</v>
      </c>
      <c r="F93" s="198">
        <v>0</v>
      </c>
      <c r="G93" s="198">
        <v>0</v>
      </c>
      <c r="H93" s="198">
        <v>0</v>
      </c>
      <c r="I93" s="198">
        <v>0</v>
      </c>
      <c r="J93" s="198">
        <v>0</v>
      </c>
      <c r="K93" s="198">
        <v>0</v>
      </c>
      <c r="L93" s="198">
        <v>0</v>
      </c>
      <c r="M93" s="198">
        <v>0</v>
      </c>
      <c r="N93" s="198">
        <v>0</v>
      </c>
      <c r="O93" s="198">
        <v>0</v>
      </c>
      <c r="P93" s="198">
        <v>0</v>
      </c>
      <c r="Q93" s="198">
        <v>0</v>
      </c>
      <c r="R93" s="198">
        <v>0</v>
      </c>
      <c r="S93" s="198">
        <v>0</v>
      </c>
      <c r="T93" s="198">
        <v>0</v>
      </c>
      <c r="U93" s="198">
        <v>0</v>
      </c>
      <c r="V93" s="198">
        <v>0</v>
      </c>
      <c r="W93" s="198">
        <v>0</v>
      </c>
      <c r="X93" s="198">
        <v>0</v>
      </c>
      <c r="Y93" s="198">
        <v>0</v>
      </c>
      <c r="Z93" s="198">
        <v>0</v>
      </c>
      <c r="AA93" s="198">
        <v>0</v>
      </c>
      <c r="AB93" s="198">
        <v>0</v>
      </c>
      <c r="AC93" s="198">
        <v>0</v>
      </c>
      <c r="AD93" s="198">
        <v>0</v>
      </c>
      <c r="AE93" s="198">
        <v>0</v>
      </c>
      <c r="AF93" s="198">
        <v>0</v>
      </c>
      <c r="AG93" s="198">
        <v>0</v>
      </c>
      <c r="AH93" s="198">
        <v>0</v>
      </c>
      <c r="AI93" s="198">
        <v>0</v>
      </c>
      <c r="AJ93" s="198">
        <v>0</v>
      </c>
      <c r="AK93" s="198">
        <v>0</v>
      </c>
      <c r="AL93" s="198">
        <v>0</v>
      </c>
      <c r="AM93" s="198">
        <v>0</v>
      </c>
      <c r="AN93" s="198">
        <v>0</v>
      </c>
      <c r="AO93" s="198">
        <v>0</v>
      </c>
      <c r="AP93" s="198">
        <v>0</v>
      </c>
      <c r="AQ93" s="198">
        <v>0</v>
      </c>
      <c r="AR93" s="198">
        <v>0</v>
      </c>
      <c r="AS93" s="198">
        <v>0</v>
      </c>
      <c r="AT93" s="198">
        <v>0</v>
      </c>
      <c r="AU93" s="198">
        <v>0</v>
      </c>
      <c r="AV93" s="198">
        <v>0</v>
      </c>
      <c r="AW93" s="198">
        <v>0</v>
      </c>
      <c r="AX93" s="198">
        <v>0</v>
      </c>
      <c r="AY93" s="198">
        <v>0</v>
      </c>
      <c r="AZ93" s="198">
        <v>0</v>
      </c>
      <c r="BA93" s="198">
        <v>0</v>
      </c>
      <c r="BB93" s="198">
        <v>0</v>
      </c>
      <c r="BC93" s="198">
        <v>0</v>
      </c>
      <c r="BD93" s="198">
        <v>0</v>
      </c>
      <c r="BE93" s="198">
        <v>0</v>
      </c>
      <c r="BF93" s="198">
        <v>0</v>
      </c>
      <c r="BG93" s="198">
        <v>0</v>
      </c>
      <c r="BH93" s="198">
        <v>0</v>
      </c>
      <c r="BI93" s="198">
        <v>0</v>
      </c>
      <c r="BJ93" s="198">
        <v>0</v>
      </c>
      <c r="BK93" s="198">
        <v>0</v>
      </c>
      <c r="BL93" s="198">
        <v>0</v>
      </c>
      <c r="BM93" s="198">
        <v>0</v>
      </c>
      <c r="BN93" s="198">
        <v>0</v>
      </c>
      <c r="BO93" s="198">
        <v>0</v>
      </c>
      <c r="BP93" s="198">
        <v>0</v>
      </c>
      <c r="BQ93" s="198">
        <v>0</v>
      </c>
      <c r="BR93" s="198">
        <v>0</v>
      </c>
      <c r="BS93" s="198">
        <v>0</v>
      </c>
      <c r="BT93" s="198">
        <v>0</v>
      </c>
      <c r="BU93" s="198">
        <v>0</v>
      </c>
      <c r="BV93" s="198">
        <v>0</v>
      </c>
      <c r="BW93" s="198">
        <v>0</v>
      </c>
      <c r="BX93" s="198">
        <v>0</v>
      </c>
      <c r="BY93" s="198">
        <v>0</v>
      </c>
      <c r="BZ93" s="198">
        <v>0</v>
      </c>
      <c r="CA93" s="198">
        <v>0</v>
      </c>
      <c r="CB93" s="198">
        <v>0</v>
      </c>
      <c r="CC93" s="198">
        <v>0</v>
      </c>
      <c r="CD93" s="198">
        <v>0</v>
      </c>
      <c r="CE93" s="198">
        <v>0</v>
      </c>
      <c r="CF93" s="386">
        <v>253.3</v>
      </c>
      <c r="CG93" s="386">
        <v>1607.7</v>
      </c>
      <c r="CH93" s="198">
        <v>0</v>
      </c>
      <c r="CI93" s="198">
        <v>369.6</v>
      </c>
      <c r="CJ93" s="198">
        <v>4618.5</v>
      </c>
      <c r="CK93" s="88"/>
    </row>
    <row r="94" spans="1:89" x14ac:dyDescent="0.3">
      <c r="A94" s="173"/>
      <c r="B94" s="197" t="s">
        <v>421</v>
      </c>
      <c r="C94" s="198">
        <v>0</v>
      </c>
      <c r="D94" s="198">
        <v>0</v>
      </c>
      <c r="E94" s="198">
        <v>0</v>
      </c>
      <c r="F94" s="198">
        <v>0</v>
      </c>
      <c r="G94" s="198">
        <v>0</v>
      </c>
      <c r="H94" s="198">
        <v>0</v>
      </c>
      <c r="I94" s="198">
        <v>0</v>
      </c>
      <c r="J94" s="198">
        <v>0</v>
      </c>
      <c r="K94" s="198">
        <v>0</v>
      </c>
      <c r="L94" s="198">
        <v>0</v>
      </c>
      <c r="M94" s="198">
        <v>0</v>
      </c>
      <c r="N94" s="198">
        <v>0</v>
      </c>
      <c r="O94" s="198">
        <v>0</v>
      </c>
      <c r="P94" s="198">
        <v>0</v>
      </c>
      <c r="Q94" s="198">
        <v>0</v>
      </c>
      <c r="R94" s="198">
        <v>0</v>
      </c>
      <c r="S94" s="198">
        <v>0</v>
      </c>
      <c r="T94" s="198">
        <v>0</v>
      </c>
      <c r="U94" s="198">
        <v>0</v>
      </c>
      <c r="V94" s="198">
        <v>0</v>
      </c>
      <c r="W94" s="198">
        <v>0</v>
      </c>
      <c r="X94" s="198">
        <v>0</v>
      </c>
      <c r="Y94" s="198">
        <v>0</v>
      </c>
      <c r="Z94" s="198">
        <v>0</v>
      </c>
      <c r="AA94" s="198">
        <v>0</v>
      </c>
      <c r="AB94" s="198">
        <v>0</v>
      </c>
      <c r="AC94" s="198">
        <v>0</v>
      </c>
      <c r="AD94" s="198">
        <v>0</v>
      </c>
      <c r="AE94" s="198">
        <v>0</v>
      </c>
      <c r="AF94" s="198">
        <v>0</v>
      </c>
      <c r="AG94" s="198">
        <v>0</v>
      </c>
      <c r="AH94" s="198">
        <v>0</v>
      </c>
      <c r="AI94" s="198">
        <v>0</v>
      </c>
      <c r="AJ94" s="198">
        <v>0</v>
      </c>
      <c r="AK94" s="198">
        <v>0</v>
      </c>
      <c r="AL94" s="198">
        <v>0</v>
      </c>
      <c r="AM94" s="198">
        <v>0</v>
      </c>
      <c r="AN94" s="198">
        <v>0</v>
      </c>
      <c r="AO94" s="198">
        <v>0</v>
      </c>
      <c r="AP94" s="198">
        <v>0</v>
      </c>
      <c r="AQ94" s="198">
        <v>0</v>
      </c>
      <c r="AR94" s="198">
        <v>0</v>
      </c>
      <c r="AS94" s="198">
        <v>0</v>
      </c>
      <c r="AT94" s="198">
        <v>0</v>
      </c>
      <c r="AU94" s="198">
        <v>0</v>
      </c>
      <c r="AV94" s="198">
        <v>0</v>
      </c>
      <c r="AW94" s="198">
        <v>0</v>
      </c>
      <c r="AX94" s="198">
        <v>0</v>
      </c>
      <c r="AY94" s="198">
        <v>0</v>
      </c>
      <c r="AZ94" s="198">
        <v>0</v>
      </c>
      <c r="BA94" s="198">
        <v>0</v>
      </c>
      <c r="BB94" s="198">
        <v>0</v>
      </c>
      <c r="BC94" s="198">
        <v>0</v>
      </c>
      <c r="BD94" s="198">
        <v>0</v>
      </c>
      <c r="BE94" s="198">
        <v>0</v>
      </c>
      <c r="BF94" s="198">
        <v>0</v>
      </c>
      <c r="BG94" s="198">
        <v>0</v>
      </c>
      <c r="BH94" s="198">
        <v>0</v>
      </c>
      <c r="BI94" s="198">
        <v>0</v>
      </c>
      <c r="BJ94" s="198">
        <v>0</v>
      </c>
      <c r="BK94" s="198">
        <v>0</v>
      </c>
      <c r="BL94" s="198">
        <v>0</v>
      </c>
      <c r="BM94" s="198">
        <v>0</v>
      </c>
      <c r="BN94" s="198">
        <v>0</v>
      </c>
      <c r="BO94" s="198">
        <v>0</v>
      </c>
      <c r="BP94" s="198">
        <v>0</v>
      </c>
      <c r="BQ94" s="198">
        <v>0</v>
      </c>
      <c r="BR94" s="198">
        <v>0</v>
      </c>
      <c r="BS94" s="198">
        <v>0</v>
      </c>
      <c r="BT94" s="198">
        <v>0</v>
      </c>
      <c r="BU94" s="198">
        <v>0</v>
      </c>
      <c r="BV94" s="198">
        <v>0</v>
      </c>
      <c r="BW94" s="198">
        <v>0</v>
      </c>
      <c r="BX94" s="198">
        <v>0</v>
      </c>
      <c r="BY94" s="198">
        <v>0</v>
      </c>
      <c r="BZ94" s="198">
        <v>0</v>
      </c>
      <c r="CA94" s="198">
        <v>0</v>
      </c>
      <c r="CB94" s="198">
        <v>0</v>
      </c>
      <c r="CC94" s="198">
        <v>0</v>
      </c>
      <c r="CD94" s="198">
        <v>0</v>
      </c>
      <c r="CE94" s="198">
        <v>0</v>
      </c>
      <c r="CF94" s="198">
        <v>0</v>
      </c>
      <c r="CG94" s="198">
        <v>0</v>
      </c>
      <c r="CH94" s="198">
        <v>932.5</v>
      </c>
      <c r="CI94" s="198">
        <v>0</v>
      </c>
      <c r="CJ94" s="198">
        <v>0</v>
      </c>
      <c r="CK94" s="88"/>
    </row>
    <row r="95" spans="1:89" x14ac:dyDescent="0.3">
      <c r="A95" s="173"/>
      <c r="B95" s="197" t="s">
        <v>425</v>
      </c>
      <c r="C95" s="198">
        <v>0</v>
      </c>
      <c r="D95" s="198">
        <v>0</v>
      </c>
      <c r="E95" s="198">
        <v>0</v>
      </c>
      <c r="F95" s="198">
        <v>0</v>
      </c>
      <c r="G95" s="198">
        <v>0</v>
      </c>
      <c r="H95" s="198">
        <v>0</v>
      </c>
      <c r="I95" s="198">
        <v>0</v>
      </c>
      <c r="J95" s="198">
        <v>0</v>
      </c>
      <c r="K95" s="198">
        <v>0</v>
      </c>
      <c r="L95" s="198">
        <v>0</v>
      </c>
      <c r="M95" s="198">
        <v>0</v>
      </c>
      <c r="N95" s="198">
        <v>0</v>
      </c>
      <c r="O95" s="198">
        <v>0</v>
      </c>
      <c r="P95" s="198">
        <v>0</v>
      </c>
      <c r="Q95" s="198">
        <v>0</v>
      </c>
      <c r="R95" s="198">
        <v>0</v>
      </c>
      <c r="S95" s="198">
        <v>0</v>
      </c>
      <c r="T95" s="198">
        <v>0</v>
      </c>
      <c r="U95" s="198">
        <v>0</v>
      </c>
      <c r="V95" s="198">
        <v>0</v>
      </c>
      <c r="W95" s="198">
        <v>0</v>
      </c>
      <c r="X95" s="198">
        <v>0</v>
      </c>
      <c r="Y95" s="198">
        <v>0</v>
      </c>
      <c r="Z95" s="198">
        <v>0</v>
      </c>
      <c r="AA95" s="198">
        <v>0</v>
      </c>
      <c r="AB95" s="198">
        <v>0</v>
      </c>
      <c r="AC95" s="198">
        <v>0</v>
      </c>
      <c r="AD95" s="198">
        <v>0</v>
      </c>
      <c r="AE95" s="198">
        <v>0</v>
      </c>
      <c r="AF95" s="198">
        <v>0</v>
      </c>
      <c r="AG95" s="198">
        <v>0</v>
      </c>
      <c r="AH95" s="198">
        <v>0</v>
      </c>
      <c r="AI95" s="198">
        <v>0</v>
      </c>
      <c r="AJ95" s="198">
        <v>0</v>
      </c>
      <c r="AK95" s="198">
        <v>0</v>
      </c>
      <c r="AL95" s="198">
        <v>0</v>
      </c>
      <c r="AM95" s="198">
        <v>0</v>
      </c>
      <c r="AN95" s="198">
        <v>0</v>
      </c>
      <c r="AO95" s="198">
        <v>0</v>
      </c>
      <c r="AP95" s="198">
        <v>0</v>
      </c>
      <c r="AQ95" s="198">
        <v>0</v>
      </c>
      <c r="AR95" s="198">
        <v>0</v>
      </c>
      <c r="AS95" s="198">
        <v>0</v>
      </c>
      <c r="AT95" s="198">
        <v>0</v>
      </c>
      <c r="AU95" s="198">
        <v>0</v>
      </c>
      <c r="AV95" s="198">
        <v>0</v>
      </c>
      <c r="AW95" s="198">
        <v>0</v>
      </c>
      <c r="AX95" s="198">
        <v>0</v>
      </c>
      <c r="AY95" s="198">
        <v>0</v>
      </c>
      <c r="AZ95" s="198">
        <v>0</v>
      </c>
      <c r="BA95" s="198">
        <v>0</v>
      </c>
      <c r="BB95" s="198">
        <v>0</v>
      </c>
      <c r="BC95" s="198">
        <v>0</v>
      </c>
      <c r="BD95" s="198">
        <v>0</v>
      </c>
      <c r="BE95" s="198">
        <v>0</v>
      </c>
      <c r="BF95" s="198">
        <v>0</v>
      </c>
      <c r="BG95" s="198">
        <v>0</v>
      </c>
      <c r="BH95" s="198">
        <v>0</v>
      </c>
      <c r="BI95" s="198">
        <v>0</v>
      </c>
      <c r="BJ95" s="198">
        <v>0</v>
      </c>
      <c r="BK95" s="198">
        <v>0</v>
      </c>
      <c r="BL95" s="198">
        <v>0</v>
      </c>
      <c r="BM95" s="198">
        <v>0</v>
      </c>
      <c r="BN95" s="198">
        <v>0</v>
      </c>
      <c r="BO95" s="198">
        <v>0</v>
      </c>
      <c r="BP95" s="198">
        <v>0</v>
      </c>
      <c r="BQ95" s="198">
        <v>0</v>
      </c>
      <c r="BR95" s="198">
        <v>0</v>
      </c>
      <c r="BS95" s="198">
        <v>0</v>
      </c>
      <c r="BT95" s="198">
        <v>0</v>
      </c>
      <c r="BU95" s="198">
        <v>0</v>
      </c>
      <c r="BV95" s="198">
        <v>0</v>
      </c>
      <c r="BW95" s="198">
        <v>0</v>
      </c>
      <c r="BX95" s="198">
        <v>0</v>
      </c>
      <c r="BY95" s="198">
        <v>0</v>
      </c>
      <c r="BZ95" s="198">
        <v>0</v>
      </c>
      <c r="CA95" s="198">
        <v>0</v>
      </c>
      <c r="CB95" s="198">
        <v>0</v>
      </c>
      <c r="CC95" s="198">
        <v>0</v>
      </c>
      <c r="CD95" s="198">
        <v>0</v>
      </c>
      <c r="CE95" s="198">
        <v>0</v>
      </c>
      <c r="CF95" s="198">
        <v>0</v>
      </c>
      <c r="CG95" s="198">
        <v>0</v>
      </c>
      <c r="CH95" s="198">
        <v>0</v>
      </c>
      <c r="CI95" s="198">
        <v>632.9</v>
      </c>
      <c r="CJ95" s="198">
        <v>4618.5</v>
      </c>
      <c r="CK95" s="88"/>
    </row>
    <row r="96" spans="1:89" x14ac:dyDescent="0.3">
      <c r="A96" s="173"/>
      <c r="B96" s="197" t="s">
        <v>430</v>
      </c>
      <c r="C96" s="198">
        <v>0</v>
      </c>
      <c r="D96" s="198">
        <v>0</v>
      </c>
      <c r="E96" s="198">
        <v>0</v>
      </c>
      <c r="F96" s="198">
        <v>0</v>
      </c>
      <c r="G96" s="198">
        <v>0</v>
      </c>
      <c r="H96" s="198">
        <v>0</v>
      </c>
      <c r="I96" s="198">
        <v>0</v>
      </c>
      <c r="J96" s="198">
        <v>0</v>
      </c>
      <c r="K96" s="198">
        <v>0</v>
      </c>
      <c r="L96" s="198">
        <v>0</v>
      </c>
      <c r="M96" s="198">
        <v>0</v>
      </c>
      <c r="N96" s="198">
        <v>0</v>
      </c>
      <c r="O96" s="198">
        <v>0</v>
      </c>
      <c r="P96" s="198">
        <v>0</v>
      </c>
      <c r="Q96" s="198">
        <v>0</v>
      </c>
      <c r="R96" s="198">
        <v>0</v>
      </c>
      <c r="S96" s="198">
        <v>0</v>
      </c>
      <c r="T96" s="198">
        <v>0</v>
      </c>
      <c r="U96" s="198">
        <v>0</v>
      </c>
      <c r="V96" s="198">
        <v>0</v>
      </c>
      <c r="W96" s="198">
        <v>0</v>
      </c>
      <c r="X96" s="198">
        <v>0</v>
      </c>
      <c r="Y96" s="198">
        <v>0</v>
      </c>
      <c r="Z96" s="198">
        <v>0</v>
      </c>
      <c r="AA96" s="198">
        <v>0</v>
      </c>
      <c r="AB96" s="198">
        <v>0</v>
      </c>
      <c r="AC96" s="198">
        <v>0</v>
      </c>
      <c r="AD96" s="198">
        <v>0</v>
      </c>
      <c r="AE96" s="198">
        <v>0</v>
      </c>
      <c r="AF96" s="198">
        <v>0</v>
      </c>
      <c r="AG96" s="198">
        <v>0</v>
      </c>
      <c r="AH96" s="198">
        <v>0</v>
      </c>
      <c r="AI96" s="198">
        <v>0</v>
      </c>
      <c r="AJ96" s="198">
        <v>0</v>
      </c>
      <c r="AK96" s="198">
        <v>0</v>
      </c>
      <c r="AL96" s="198">
        <v>0</v>
      </c>
      <c r="AM96" s="198">
        <v>0</v>
      </c>
      <c r="AN96" s="198">
        <v>0</v>
      </c>
      <c r="AO96" s="198">
        <v>0</v>
      </c>
      <c r="AP96" s="198">
        <v>0</v>
      </c>
      <c r="AQ96" s="198">
        <v>0</v>
      </c>
      <c r="AR96" s="198">
        <v>0</v>
      </c>
      <c r="AS96" s="198">
        <v>0</v>
      </c>
      <c r="AT96" s="198">
        <v>0</v>
      </c>
      <c r="AU96" s="198">
        <v>0</v>
      </c>
      <c r="AV96" s="198">
        <v>0</v>
      </c>
      <c r="AW96" s="198">
        <v>0</v>
      </c>
      <c r="AX96" s="198">
        <v>0</v>
      </c>
      <c r="AY96" s="198">
        <v>0</v>
      </c>
      <c r="AZ96" s="198">
        <v>0</v>
      </c>
      <c r="BA96" s="198">
        <v>0</v>
      </c>
      <c r="BB96" s="198">
        <v>0</v>
      </c>
      <c r="BC96" s="198">
        <v>0</v>
      </c>
      <c r="BD96" s="198">
        <v>0</v>
      </c>
      <c r="BE96" s="198">
        <v>0</v>
      </c>
      <c r="BF96" s="198">
        <v>0</v>
      </c>
      <c r="BG96" s="198">
        <v>0</v>
      </c>
      <c r="BH96" s="198">
        <v>0</v>
      </c>
      <c r="BI96" s="198">
        <v>0</v>
      </c>
      <c r="BJ96" s="198">
        <v>0</v>
      </c>
      <c r="BK96" s="198">
        <v>0</v>
      </c>
      <c r="BL96" s="198">
        <v>0</v>
      </c>
      <c r="BM96" s="198">
        <v>0</v>
      </c>
      <c r="BN96" s="198">
        <v>0</v>
      </c>
      <c r="BO96" s="198">
        <v>0</v>
      </c>
      <c r="BP96" s="198">
        <v>0</v>
      </c>
      <c r="BQ96" s="198">
        <v>0</v>
      </c>
      <c r="BR96" s="198">
        <v>0</v>
      </c>
      <c r="BS96" s="198">
        <v>0</v>
      </c>
      <c r="BT96" s="198">
        <v>0</v>
      </c>
      <c r="BU96" s="198">
        <v>0</v>
      </c>
      <c r="BV96" s="198">
        <v>0</v>
      </c>
      <c r="BW96" s="198">
        <v>0</v>
      </c>
      <c r="BX96" s="198">
        <v>0</v>
      </c>
      <c r="BY96" s="198">
        <v>0</v>
      </c>
      <c r="BZ96" s="198">
        <v>0</v>
      </c>
      <c r="CA96" s="198">
        <v>0</v>
      </c>
      <c r="CB96" s="198">
        <v>0</v>
      </c>
      <c r="CC96" s="198">
        <v>0</v>
      </c>
      <c r="CD96" s="198">
        <v>0</v>
      </c>
      <c r="CE96" s="198">
        <v>0</v>
      </c>
      <c r="CF96" s="198">
        <v>0</v>
      </c>
      <c r="CG96" s="198">
        <v>0</v>
      </c>
      <c r="CH96" s="198">
        <v>0</v>
      </c>
      <c r="CI96" s="198">
        <v>0</v>
      </c>
      <c r="CJ96" s="198">
        <v>125.7</v>
      </c>
      <c r="CK96" s="88"/>
    </row>
    <row r="97" spans="1:89" x14ac:dyDescent="0.3">
      <c r="A97" s="173"/>
      <c r="B97" s="197" t="s">
        <v>404</v>
      </c>
      <c r="C97" s="198">
        <v>0</v>
      </c>
      <c r="D97" s="198">
        <v>0</v>
      </c>
      <c r="E97" s="198">
        <v>0</v>
      </c>
      <c r="F97" s="198">
        <v>0</v>
      </c>
      <c r="G97" s="198">
        <v>0</v>
      </c>
      <c r="H97" s="198">
        <v>0</v>
      </c>
      <c r="I97" s="198">
        <v>0</v>
      </c>
      <c r="J97" s="198">
        <v>0</v>
      </c>
      <c r="K97" s="198">
        <v>0</v>
      </c>
      <c r="L97" s="198">
        <v>0</v>
      </c>
      <c r="M97" s="198">
        <v>0</v>
      </c>
      <c r="N97" s="198">
        <v>0</v>
      </c>
      <c r="O97" s="198">
        <v>0</v>
      </c>
      <c r="P97" s="198">
        <v>0</v>
      </c>
      <c r="Q97" s="198">
        <v>0</v>
      </c>
      <c r="R97" s="198">
        <v>0</v>
      </c>
      <c r="S97" s="198">
        <v>0</v>
      </c>
      <c r="T97" s="198">
        <v>0</v>
      </c>
      <c r="U97" s="198">
        <v>0</v>
      </c>
      <c r="V97" s="198">
        <v>0</v>
      </c>
      <c r="W97" s="198">
        <v>0</v>
      </c>
      <c r="X97" s="198">
        <v>0</v>
      </c>
      <c r="Y97" s="198">
        <v>0</v>
      </c>
      <c r="Z97" s="198">
        <v>0</v>
      </c>
      <c r="AA97" s="198">
        <v>0</v>
      </c>
      <c r="AB97" s="198">
        <v>0</v>
      </c>
      <c r="AC97" s="198">
        <v>0</v>
      </c>
      <c r="AD97" s="198">
        <v>0</v>
      </c>
      <c r="AE97" s="198">
        <v>0</v>
      </c>
      <c r="AF97" s="198">
        <v>0</v>
      </c>
      <c r="AG97" s="198">
        <v>0</v>
      </c>
      <c r="AH97" s="198">
        <v>0</v>
      </c>
      <c r="AI97" s="198">
        <v>0</v>
      </c>
      <c r="AJ97" s="198">
        <v>0</v>
      </c>
      <c r="AK97" s="198">
        <v>0</v>
      </c>
      <c r="AL97" s="198">
        <v>0</v>
      </c>
      <c r="AM97" s="198">
        <v>0</v>
      </c>
      <c r="AN97" s="198">
        <v>0</v>
      </c>
      <c r="AO97" s="198">
        <v>0</v>
      </c>
      <c r="AP97" s="198">
        <v>0</v>
      </c>
      <c r="AQ97" s="198">
        <v>0</v>
      </c>
      <c r="AR97" s="198">
        <v>0</v>
      </c>
      <c r="AS97" s="198">
        <v>0</v>
      </c>
      <c r="AT97" s="198">
        <v>0</v>
      </c>
      <c r="AU97" s="198">
        <v>0</v>
      </c>
      <c r="AV97" s="198">
        <v>0</v>
      </c>
      <c r="AW97" s="198">
        <v>0</v>
      </c>
      <c r="AX97" s="198">
        <v>0</v>
      </c>
      <c r="AY97" s="198">
        <v>0</v>
      </c>
      <c r="AZ97" s="198">
        <v>0</v>
      </c>
      <c r="BA97" s="198">
        <v>0</v>
      </c>
      <c r="BB97" s="198">
        <v>0</v>
      </c>
      <c r="BC97" s="198">
        <v>0</v>
      </c>
      <c r="BD97" s="198">
        <v>0</v>
      </c>
      <c r="BE97" s="198">
        <v>0</v>
      </c>
      <c r="BF97" s="198">
        <v>0</v>
      </c>
      <c r="BG97" s="198">
        <v>0</v>
      </c>
      <c r="BH97" s="198">
        <v>0</v>
      </c>
      <c r="BI97" s="198">
        <v>0</v>
      </c>
      <c r="BJ97" s="198">
        <v>0</v>
      </c>
      <c r="BK97" s="198">
        <v>0</v>
      </c>
      <c r="BL97" s="198">
        <v>0</v>
      </c>
      <c r="BM97" s="198">
        <v>0</v>
      </c>
      <c r="BN97" s="198">
        <v>0</v>
      </c>
      <c r="BO97" s="198">
        <v>0</v>
      </c>
      <c r="BP97" s="198">
        <v>0</v>
      </c>
      <c r="BQ97" s="198">
        <v>0</v>
      </c>
      <c r="BR97" s="198">
        <v>0</v>
      </c>
      <c r="BS97" s="198">
        <v>0</v>
      </c>
      <c r="BT97" s="198">
        <v>0</v>
      </c>
      <c r="BU97" s="198">
        <v>0</v>
      </c>
      <c r="BV97" s="198">
        <v>0</v>
      </c>
      <c r="BW97" s="198">
        <v>3390.4</v>
      </c>
      <c r="BX97" s="198">
        <v>0</v>
      </c>
      <c r="BY97" s="198">
        <v>0</v>
      </c>
      <c r="BZ97" s="198">
        <v>0</v>
      </c>
      <c r="CA97" s="198">
        <v>0</v>
      </c>
      <c r="CB97" s="198">
        <v>0</v>
      </c>
      <c r="CC97" s="198">
        <v>0</v>
      </c>
      <c r="CD97" s="198">
        <v>0</v>
      </c>
      <c r="CE97" s="198">
        <v>0</v>
      </c>
      <c r="CF97" s="198">
        <v>0</v>
      </c>
      <c r="CG97" s="198">
        <v>0</v>
      </c>
      <c r="CH97" s="198">
        <v>0</v>
      </c>
      <c r="CI97" s="198">
        <v>0</v>
      </c>
      <c r="CJ97" s="198">
        <v>0</v>
      </c>
      <c r="CK97" s="88"/>
    </row>
    <row r="98" spans="1:89" x14ac:dyDescent="0.3">
      <c r="A98" s="173"/>
      <c r="B98" s="197" t="s">
        <v>405</v>
      </c>
      <c r="C98" s="198">
        <v>0</v>
      </c>
      <c r="D98" s="198">
        <v>0</v>
      </c>
      <c r="E98" s="198">
        <v>0</v>
      </c>
      <c r="F98" s="198">
        <v>0</v>
      </c>
      <c r="G98" s="198">
        <v>0</v>
      </c>
      <c r="H98" s="198">
        <v>0</v>
      </c>
      <c r="I98" s="198">
        <v>0</v>
      </c>
      <c r="J98" s="198">
        <v>0</v>
      </c>
      <c r="K98" s="198">
        <v>0</v>
      </c>
      <c r="L98" s="198">
        <v>0</v>
      </c>
      <c r="M98" s="198">
        <v>0</v>
      </c>
      <c r="N98" s="198">
        <v>0</v>
      </c>
      <c r="O98" s="198">
        <v>0</v>
      </c>
      <c r="P98" s="198">
        <v>0</v>
      </c>
      <c r="Q98" s="198">
        <v>0</v>
      </c>
      <c r="R98" s="198">
        <v>0</v>
      </c>
      <c r="S98" s="198">
        <v>0</v>
      </c>
      <c r="T98" s="198">
        <v>0</v>
      </c>
      <c r="U98" s="198">
        <v>0</v>
      </c>
      <c r="V98" s="198">
        <v>0</v>
      </c>
      <c r="W98" s="198">
        <v>0</v>
      </c>
      <c r="X98" s="198">
        <v>0</v>
      </c>
      <c r="Y98" s="198">
        <v>0</v>
      </c>
      <c r="Z98" s="198">
        <v>0</v>
      </c>
      <c r="AA98" s="198">
        <v>0</v>
      </c>
      <c r="AB98" s="198">
        <v>0</v>
      </c>
      <c r="AC98" s="198">
        <v>0</v>
      </c>
      <c r="AD98" s="198">
        <v>0</v>
      </c>
      <c r="AE98" s="198">
        <v>0</v>
      </c>
      <c r="AF98" s="198">
        <v>0</v>
      </c>
      <c r="AG98" s="198">
        <v>0</v>
      </c>
      <c r="AH98" s="198">
        <v>0</v>
      </c>
      <c r="AI98" s="198">
        <v>0</v>
      </c>
      <c r="AJ98" s="198">
        <v>0</v>
      </c>
      <c r="AK98" s="198">
        <v>0</v>
      </c>
      <c r="AL98" s="198">
        <v>0</v>
      </c>
      <c r="AM98" s="198">
        <v>0</v>
      </c>
      <c r="AN98" s="198">
        <v>0</v>
      </c>
      <c r="AO98" s="198">
        <v>0</v>
      </c>
      <c r="AP98" s="198">
        <v>0</v>
      </c>
      <c r="AQ98" s="198">
        <v>0</v>
      </c>
      <c r="AR98" s="198">
        <v>0</v>
      </c>
      <c r="AS98" s="198">
        <v>0</v>
      </c>
      <c r="AT98" s="198">
        <v>0</v>
      </c>
      <c r="AU98" s="198">
        <v>0</v>
      </c>
      <c r="AV98" s="198">
        <v>0</v>
      </c>
      <c r="AW98" s="198">
        <v>0</v>
      </c>
      <c r="AX98" s="198">
        <v>0</v>
      </c>
      <c r="AY98" s="198">
        <v>0</v>
      </c>
      <c r="AZ98" s="198">
        <v>0</v>
      </c>
      <c r="BA98" s="198">
        <v>0</v>
      </c>
      <c r="BB98" s="198">
        <v>0</v>
      </c>
      <c r="BC98" s="198">
        <v>0</v>
      </c>
      <c r="BD98" s="198">
        <v>0</v>
      </c>
      <c r="BE98" s="198">
        <v>0</v>
      </c>
      <c r="BF98" s="198">
        <v>0</v>
      </c>
      <c r="BG98" s="198">
        <v>0</v>
      </c>
      <c r="BH98" s="198">
        <v>0</v>
      </c>
      <c r="BI98" s="198">
        <v>0</v>
      </c>
      <c r="BJ98" s="198">
        <v>0</v>
      </c>
      <c r="BK98" s="198">
        <v>0</v>
      </c>
      <c r="BL98" s="198">
        <v>0</v>
      </c>
      <c r="BM98" s="198">
        <v>0</v>
      </c>
      <c r="BN98" s="198">
        <v>0</v>
      </c>
      <c r="BO98" s="198">
        <v>0</v>
      </c>
      <c r="BP98" s="198">
        <v>0</v>
      </c>
      <c r="BQ98" s="198">
        <v>0</v>
      </c>
      <c r="BR98" s="198">
        <v>0</v>
      </c>
      <c r="BS98" s="198">
        <v>0</v>
      </c>
      <c r="BT98" s="198">
        <v>0</v>
      </c>
      <c r="BU98" s="198">
        <v>0</v>
      </c>
      <c r="BV98" s="198">
        <v>0</v>
      </c>
      <c r="BW98" s="198">
        <v>3390.4</v>
      </c>
      <c r="BX98" s="198">
        <v>0</v>
      </c>
      <c r="BY98" s="198">
        <v>0</v>
      </c>
      <c r="BZ98" s="198">
        <v>0</v>
      </c>
      <c r="CA98" s="198">
        <v>0</v>
      </c>
      <c r="CB98" s="198">
        <v>0</v>
      </c>
      <c r="CC98" s="198">
        <v>0</v>
      </c>
      <c r="CD98" s="198">
        <v>0</v>
      </c>
      <c r="CE98" s="198">
        <v>0</v>
      </c>
      <c r="CF98" s="198">
        <v>0</v>
      </c>
      <c r="CG98" s="198">
        <v>0</v>
      </c>
      <c r="CH98" s="198">
        <v>0</v>
      </c>
      <c r="CI98" s="198">
        <v>0</v>
      </c>
      <c r="CJ98" s="198">
        <v>0</v>
      </c>
      <c r="CK98" s="88"/>
    </row>
    <row r="99" spans="1:89" x14ac:dyDescent="0.3">
      <c r="A99" s="173"/>
      <c r="B99" s="197" t="s">
        <v>406</v>
      </c>
      <c r="C99" s="198">
        <v>0</v>
      </c>
      <c r="D99" s="198">
        <v>0</v>
      </c>
      <c r="E99" s="198">
        <v>0</v>
      </c>
      <c r="F99" s="198">
        <v>0</v>
      </c>
      <c r="G99" s="198">
        <v>0</v>
      </c>
      <c r="H99" s="198">
        <v>0</v>
      </c>
      <c r="I99" s="198">
        <v>0</v>
      </c>
      <c r="J99" s="198">
        <v>0</v>
      </c>
      <c r="K99" s="198">
        <v>0</v>
      </c>
      <c r="L99" s="198">
        <v>0</v>
      </c>
      <c r="M99" s="198">
        <v>0</v>
      </c>
      <c r="N99" s="198">
        <v>0</v>
      </c>
      <c r="O99" s="198">
        <v>0</v>
      </c>
      <c r="P99" s="198">
        <v>0</v>
      </c>
      <c r="Q99" s="198">
        <v>0</v>
      </c>
      <c r="R99" s="198">
        <v>0</v>
      </c>
      <c r="S99" s="198">
        <v>0</v>
      </c>
      <c r="T99" s="198">
        <v>0</v>
      </c>
      <c r="U99" s="198">
        <v>0</v>
      </c>
      <c r="V99" s="198">
        <v>0</v>
      </c>
      <c r="W99" s="198">
        <v>0</v>
      </c>
      <c r="X99" s="198">
        <v>0</v>
      </c>
      <c r="Y99" s="198">
        <v>0</v>
      </c>
      <c r="Z99" s="198">
        <v>0</v>
      </c>
      <c r="AA99" s="198">
        <v>0</v>
      </c>
      <c r="AB99" s="198">
        <v>0</v>
      </c>
      <c r="AC99" s="198">
        <v>0</v>
      </c>
      <c r="AD99" s="198">
        <v>0</v>
      </c>
      <c r="AE99" s="198">
        <v>0</v>
      </c>
      <c r="AF99" s="198">
        <v>0</v>
      </c>
      <c r="AG99" s="198">
        <v>0</v>
      </c>
      <c r="AH99" s="198">
        <v>0</v>
      </c>
      <c r="AI99" s="198">
        <v>0</v>
      </c>
      <c r="AJ99" s="198">
        <v>0</v>
      </c>
      <c r="AK99" s="198">
        <v>0</v>
      </c>
      <c r="AL99" s="198">
        <v>0</v>
      </c>
      <c r="AM99" s="198">
        <v>0</v>
      </c>
      <c r="AN99" s="198">
        <v>0</v>
      </c>
      <c r="AO99" s="198">
        <v>0</v>
      </c>
      <c r="AP99" s="198">
        <v>0</v>
      </c>
      <c r="AQ99" s="198">
        <v>0</v>
      </c>
      <c r="AR99" s="198">
        <v>0</v>
      </c>
      <c r="AS99" s="198">
        <v>0</v>
      </c>
      <c r="AT99" s="198">
        <v>0</v>
      </c>
      <c r="AU99" s="198">
        <v>0</v>
      </c>
      <c r="AV99" s="198">
        <v>0</v>
      </c>
      <c r="AW99" s="198">
        <v>0</v>
      </c>
      <c r="AX99" s="198">
        <v>0</v>
      </c>
      <c r="AY99" s="198">
        <v>0</v>
      </c>
      <c r="AZ99" s="198">
        <v>0</v>
      </c>
      <c r="BA99" s="198">
        <v>0</v>
      </c>
      <c r="BB99" s="198">
        <v>0</v>
      </c>
      <c r="BC99" s="198">
        <v>0</v>
      </c>
      <c r="BD99" s="198">
        <v>0</v>
      </c>
      <c r="BE99" s="198">
        <v>0</v>
      </c>
      <c r="BF99" s="198">
        <v>0</v>
      </c>
      <c r="BG99" s="198">
        <v>0</v>
      </c>
      <c r="BH99" s="198">
        <v>0</v>
      </c>
      <c r="BI99" s="198">
        <v>0</v>
      </c>
      <c r="BJ99" s="198">
        <v>0</v>
      </c>
      <c r="BK99" s="198">
        <v>0</v>
      </c>
      <c r="BL99" s="198">
        <v>0</v>
      </c>
      <c r="BM99" s="198">
        <v>0</v>
      </c>
      <c r="BN99" s="198">
        <v>0</v>
      </c>
      <c r="BO99" s="198">
        <v>0</v>
      </c>
      <c r="BP99" s="198">
        <v>0</v>
      </c>
      <c r="BQ99" s="198">
        <v>0</v>
      </c>
      <c r="BR99" s="198">
        <v>0</v>
      </c>
      <c r="BS99" s="198">
        <v>0</v>
      </c>
      <c r="BT99" s="198">
        <v>0</v>
      </c>
      <c r="BU99" s="198">
        <v>0</v>
      </c>
      <c r="BV99" s="198">
        <v>0</v>
      </c>
      <c r="BW99" s="198">
        <v>3390.4</v>
      </c>
      <c r="BX99" s="198">
        <v>0</v>
      </c>
      <c r="BY99" s="198">
        <v>0</v>
      </c>
      <c r="BZ99" s="198">
        <v>0</v>
      </c>
      <c r="CA99" s="198">
        <v>0</v>
      </c>
      <c r="CB99" s="198">
        <v>0</v>
      </c>
      <c r="CC99" s="198">
        <v>0</v>
      </c>
      <c r="CD99" s="198">
        <v>0</v>
      </c>
      <c r="CE99" s="198">
        <v>0</v>
      </c>
      <c r="CF99" s="198">
        <v>0</v>
      </c>
      <c r="CG99" s="198">
        <v>0</v>
      </c>
      <c r="CH99" s="198">
        <v>0</v>
      </c>
      <c r="CI99" s="198">
        <v>0</v>
      </c>
      <c r="CJ99" s="198">
        <v>0</v>
      </c>
      <c r="CK99" s="88"/>
    </row>
    <row r="100" spans="1:89" x14ac:dyDescent="0.3">
      <c r="A100" s="173"/>
      <c r="B100" s="197" t="s">
        <v>407</v>
      </c>
      <c r="C100" s="198">
        <v>0</v>
      </c>
      <c r="D100" s="198">
        <v>0</v>
      </c>
      <c r="E100" s="198">
        <v>0</v>
      </c>
      <c r="F100" s="198">
        <v>0</v>
      </c>
      <c r="G100" s="198">
        <v>0</v>
      </c>
      <c r="H100" s="198">
        <v>0</v>
      </c>
      <c r="I100" s="198">
        <v>0</v>
      </c>
      <c r="J100" s="198">
        <v>0</v>
      </c>
      <c r="K100" s="198">
        <v>0</v>
      </c>
      <c r="L100" s="198">
        <v>0</v>
      </c>
      <c r="M100" s="198">
        <v>0</v>
      </c>
      <c r="N100" s="198">
        <v>0</v>
      </c>
      <c r="O100" s="198">
        <v>0</v>
      </c>
      <c r="P100" s="198">
        <v>0</v>
      </c>
      <c r="Q100" s="198">
        <v>0</v>
      </c>
      <c r="R100" s="198">
        <v>0</v>
      </c>
      <c r="S100" s="198">
        <v>0</v>
      </c>
      <c r="T100" s="198">
        <v>0</v>
      </c>
      <c r="U100" s="198">
        <v>0</v>
      </c>
      <c r="V100" s="198">
        <v>0</v>
      </c>
      <c r="W100" s="198">
        <v>0</v>
      </c>
      <c r="X100" s="198">
        <v>0</v>
      </c>
      <c r="Y100" s="198">
        <v>0</v>
      </c>
      <c r="Z100" s="198">
        <v>0</v>
      </c>
      <c r="AA100" s="198">
        <v>0</v>
      </c>
      <c r="AB100" s="198">
        <v>0</v>
      </c>
      <c r="AC100" s="198">
        <v>0</v>
      </c>
      <c r="AD100" s="198">
        <v>0</v>
      </c>
      <c r="AE100" s="198">
        <v>0</v>
      </c>
      <c r="AF100" s="198">
        <v>0</v>
      </c>
      <c r="AG100" s="198">
        <v>0</v>
      </c>
      <c r="AH100" s="198">
        <v>0</v>
      </c>
      <c r="AI100" s="198">
        <v>0</v>
      </c>
      <c r="AJ100" s="198">
        <v>0</v>
      </c>
      <c r="AK100" s="198">
        <v>0</v>
      </c>
      <c r="AL100" s="198">
        <v>0</v>
      </c>
      <c r="AM100" s="198">
        <v>0</v>
      </c>
      <c r="AN100" s="198">
        <v>0</v>
      </c>
      <c r="AO100" s="198">
        <v>0</v>
      </c>
      <c r="AP100" s="198">
        <v>0</v>
      </c>
      <c r="AQ100" s="198">
        <v>0</v>
      </c>
      <c r="AR100" s="198">
        <v>0</v>
      </c>
      <c r="AS100" s="198">
        <v>0</v>
      </c>
      <c r="AT100" s="198">
        <v>0</v>
      </c>
      <c r="AU100" s="198">
        <v>0</v>
      </c>
      <c r="AV100" s="198">
        <v>0</v>
      </c>
      <c r="AW100" s="198">
        <v>0</v>
      </c>
      <c r="AX100" s="198">
        <v>0</v>
      </c>
      <c r="AY100" s="198">
        <v>0</v>
      </c>
      <c r="AZ100" s="198">
        <v>0</v>
      </c>
      <c r="BA100" s="198">
        <v>0</v>
      </c>
      <c r="BB100" s="198">
        <v>0</v>
      </c>
      <c r="BC100" s="198">
        <v>0</v>
      </c>
      <c r="BD100" s="198">
        <v>0</v>
      </c>
      <c r="BE100" s="198">
        <v>0</v>
      </c>
      <c r="BF100" s="198">
        <v>0</v>
      </c>
      <c r="BG100" s="198">
        <v>0</v>
      </c>
      <c r="BH100" s="198">
        <v>0</v>
      </c>
      <c r="BI100" s="198">
        <v>0</v>
      </c>
      <c r="BJ100" s="198">
        <v>0</v>
      </c>
      <c r="BK100" s="198">
        <v>0</v>
      </c>
      <c r="BL100" s="198">
        <v>0</v>
      </c>
      <c r="BM100" s="198">
        <v>0</v>
      </c>
      <c r="BN100" s="198">
        <v>0</v>
      </c>
      <c r="BO100" s="198">
        <v>0</v>
      </c>
      <c r="BP100" s="198">
        <v>0</v>
      </c>
      <c r="BQ100" s="198">
        <v>0</v>
      </c>
      <c r="BR100" s="198">
        <v>0</v>
      </c>
      <c r="BS100" s="198">
        <v>0</v>
      </c>
      <c r="BT100" s="198">
        <v>0</v>
      </c>
      <c r="BU100" s="198">
        <v>0</v>
      </c>
      <c r="BV100" s="198">
        <v>0</v>
      </c>
      <c r="BW100" s="198">
        <v>3390.4</v>
      </c>
      <c r="BX100" s="198">
        <v>0</v>
      </c>
      <c r="BY100" s="198">
        <v>0</v>
      </c>
      <c r="BZ100" s="198">
        <v>0</v>
      </c>
      <c r="CA100" s="198">
        <v>4863.8</v>
      </c>
      <c r="CB100" s="198">
        <v>0</v>
      </c>
      <c r="CC100" s="198">
        <v>0</v>
      </c>
      <c r="CD100" s="198">
        <v>0</v>
      </c>
      <c r="CE100" s="198">
        <v>0</v>
      </c>
      <c r="CF100" s="198">
        <v>0</v>
      </c>
      <c r="CG100" s="198">
        <v>0</v>
      </c>
      <c r="CH100" s="198">
        <v>0</v>
      </c>
      <c r="CI100" s="198">
        <v>0</v>
      </c>
      <c r="CJ100" s="198">
        <v>0</v>
      </c>
      <c r="CK100" s="88"/>
    </row>
    <row r="101" spans="1:89" x14ac:dyDescent="0.3">
      <c r="A101" s="173"/>
      <c r="B101" s="197" t="s">
        <v>379</v>
      </c>
      <c r="C101" s="198">
        <v>0</v>
      </c>
      <c r="D101" s="198">
        <v>0</v>
      </c>
      <c r="E101" s="198">
        <v>0</v>
      </c>
      <c r="F101" s="198">
        <v>0</v>
      </c>
      <c r="G101" s="198">
        <v>0</v>
      </c>
      <c r="H101" s="198">
        <v>0</v>
      </c>
      <c r="I101" s="198">
        <v>0</v>
      </c>
      <c r="J101" s="198">
        <v>0</v>
      </c>
      <c r="K101" s="198">
        <v>0</v>
      </c>
      <c r="L101" s="198">
        <v>0</v>
      </c>
      <c r="M101" s="198">
        <v>0</v>
      </c>
      <c r="N101" s="198">
        <v>0</v>
      </c>
      <c r="O101" s="198">
        <v>0</v>
      </c>
      <c r="P101" s="198">
        <v>0</v>
      </c>
      <c r="Q101" s="198">
        <v>0</v>
      </c>
      <c r="R101" s="198">
        <v>0</v>
      </c>
      <c r="S101" s="198">
        <v>0</v>
      </c>
      <c r="T101" s="198">
        <v>0</v>
      </c>
      <c r="U101" s="198">
        <v>0</v>
      </c>
      <c r="V101" s="198">
        <v>0</v>
      </c>
      <c r="W101" s="198">
        <v>0</v>
      </c>
      <c r="X101" s="198">
        <v>0</v>
      </c>
      <c r="Y101" s="198">
        <v>0</v>
      </c>
      <c r="Z101" s="198">
        <v>0</v>
      </c>
      <c r="AA101" s="198">
        <v>0</v>
      </c>
      <c r="AB101" s="198">
        <v>0</v>
      </c>
      <c r="AC101" s="198">
        <v>0</v>
      </c>
      <c r="AD101" s="198">
        <v>0</v>
      </c>
      <c r="AE101" s="198">
        <v>0</v>
      </c>
      <c r="AF101" s="198">
        <v>0</v>
      </c>
      <c r="AG101" s="198">
        <v>0</v>
      </c>
      <c r="AH101" s="198">
        <v>0</v>
      </c>
      <c r="AI101" s="198">
        <v>0</v>
      </c>
      <c r="AJ101" s="198">
        <v>0</v>
      </c>
      <c r="AK101" s="198">
        <v>0</v>
      </c>
      <c r="AL101" s="198">
        <v>0</v>
      </c>
      <c r="AM101" s="198">
        <v>0</v>
      </c>
      <c r="AN101" s="198">
        <v>0</v>
      </c>
      <c r="AO101" s="198">
        <v>0</v>
      </c>
      <c r="AP101" s="198">
        <v>0</v>
      </c>
      <c r="AQ101" s="198">
        <v>0</v>
      </c>
      <c r="AR101" s="198">
        <v>0</v>
      </c>
      <c r="AS101" s="198">
        <v>0</v>
      </c>
      <c r="AT101" s="198">
        <v>0</v>
      </c>
      <c r="AU101" s="198">
        <v>0</v>
      </c>
      <c r="AV101" s="198">
        <v>0</v>
      </c>
      <c r="AW101" s="198">
        <v>0</v>
      </c>
      <c r="AX101" s="198">
        <v>0</v>
      </c>
      <c r="AY101" s="198">
        <v>0</v>
      </c>
      <c r="AZ101" s="198">
        <v>0</v>
      </c>
      <c r="BA101" s="198">
        <v>0</v>
      </c>
      <c r="BB101" s="198">
        <v>0</v>
      </c>
      <c r="BC101" s="198">
        <v>0</v>
      </c>
      <c r="BD101" s="198">
        <v>0</v>
      </c>
      <c r="BE101" s="198">
        <v>0</v>
      </c>
      <c r="BF101" s="198">
        <v>0</v>
      </c>
      <c r="BG101" s="198">
        <v>0</v>
      </c>
      <c r="BH101" s="198">
        <v>0</v>
      </c>
      <c r="BI101" s="198">
        <v>0</v>
      </c>
      <c r="BJ101" s="198">
        <v>0</v>
      </c>
      <c r="BK101" s="198">
        <v>0</v>
      </c>
      <c r="BL101" s="198">
        <v>4020.4</v>
      </c>
      <c r="BM101" s="198">
        <v>0</v>
      </c>
      <c r="BN101" s="198">
        <v>0</v>
      </c>
      <c r="BO101" s="198">
        <v>0</v>
      </c>
      <c r="BP101" s="198">
        <v>0</v>
      </c>
      <c r="BQ101" s="198">
        <v>0</v>
      </c>
      <c r="BR101" s="198">
        <v>0</v>
      </c>
      <c r="BS101" s="198">
        <v>0</v>
      </c>
      <c r="BT101" s="198">
        <v>0</v>
      </c>
      <c r="BU101" s="198">
        <v>3675.5</v>
      </c>
      <c r="BV101" s="198">
        <v>0</v>
      </c>
      <c r="BW101" s="198">
        <v>0</v>
      </c>
      <c r="BX101" s="198">
        <v>0</v>
      </c>
      <c r="BY101" s="198">
        <v>0</v>
      </c>
      <c r="BZ101" s="198">
        <v>0</v>
      </c>
      <c r="CA101" s="198">
        <v>0</v>
      </c>
      <c r="CB101" s="198">
        <v>0</v>
      </c>
      <c r="CC101" s="198">
        <v>0</v>
      </c>
      <c r="CD101" s="198">
        <v>0</v>
      </c>
      <c r="CE101" s="198">
        <v>0</v>
      </c>
      <c r="CF101" s="198">
        <v>0</v>
      </c>
      <c r="CG101" s="198">
        <v>0</v>
      </c>
      <c r="CH101" s="198">
        <v>0</v>
      </c>
      <c r="CI101" s="198">
        <v>0</v>
      </c>
      <c r="CJ101" s="198">
        <v>636.29999999999995</v>
      </c>
      <c r="CK101" s="88"/>
    </row>
    <row r="102" spans="1:89" x14ac:dyDescent="0.3">
      <c r="A102" s="173"/>
      <c r="B102" s="197" t="s">
        <v>380</v>
      </c>
      <c r="C102" s="198">
        <v>0</v>
      </c>
      <c r="D102" s="198">
        <v>0</v>
      </c>
      <c r="E102" s="198">
        <v>0</v>
      </c>
      <c r="F102" s="198">
        <v>0</v>
      </c>
      <c r="G102" s="198">
        <v>0</v>
      </c>
      <c r="H102" s="198">
        <v>0</v>
      </c>
      <c r="I102" s="198">
        <v>0</v>
      </c>
      <c r="J102" s="198">
        <v>0</v>
      </c>
      <c r="K102" s="198">
        <v>0</v>
      </c>
      <c r="L102" s="198">
        <v>0</v>
      </c>
      <c r="M102" s="198">
        <v>0</v>
      </c>
      <c r="N102" s="198">
        <v>0</v>
      </c>
      <c r="O102" s="198">
        <v>0</v>
      </c>
      <c r="P102" s="198">
        <v>0</v>
      </c>
      <c r="Q102" s="198">
        <v>0</v>
      </c>
      <c r="R102" s="198">
        <v>0</v>
      </c>
      <c r="S102" s="198">
        <v>0</v>
      </c>
      <c r="T102" s="198">
        <v>0</v>
      </c>
      <c r="U102" s="198">
        <v>0</v>
      </c>
      <c r="V102" s="198">
        <v>0</v>
      </c>
      <c r="W102" s="198">
        <v>0</v>
      </c>
      <c r="X102" s="198">
        <v>0</v>
      </c>
      <c r="Y102" s="198">
        <v>0</v>
      </c>
      <c r="Z102" s="198">
        <v>0</v>
      </c>
      <c r="AA102" s="198">
        <v>0</v>
      </c>
      <c r="AB102" s="198">
        <v>0</v>
      </c>
      <c r="AC102" s="198">
        <v>0</v>
      </c>
      <c r="AD102" s="198">
        <v>0</v>
      </c>
      <c r="AE102" s="198">
        <v>0</v>
      </c>
      <c r="AF102" s="198">
        <v>0</v>
      </c>
      <c r="AG102" s="198">
        <v>0</v>
      </c>
      <c r="AH102" s="198">
        <v>0</v>
      </c>
      <c r="AI102" s="198">
        <v>0</v>
      </c>
      <c r="AJ102" s="198">
        <v>0</v>
      </c>
      <c r="AK102" s="198">
        <v>0</v>
      </c>
      <c r="AL102" s="198">
        <v>0</v>
      </c>
      <c r="AM102" s="198">
        <v>0</v>
      </c>
      <c r="AN102" s="198">
        <v>0</v>
      </c>
      <c r="AO102" s="198">
        <v>0</v>
      </c>
      <c r="AP102" s="198">
        <v>0</v>
      </c>
      <c r="AQ102" s="198">
        <v>0</v>
      </c>
      <c r="AR102" s="198">
        <v>0</v>
      </c>
      <c r="AS102" s="198">
        <v>0</v>
      </c>
      <c r="AT102" s="198">
        <v>0</v>
      </c>
      <c r="AU102" s="198">
        <v>0</v>
      </c>
      <c r="AV102" s="198">
        <v>0</v>
      </c>
      <c r="AW102" s="198">
        <v>0</v>
      </c>
      <c r="AX102" s="198">
        <v>0</v>
      </c>
      <c r="AY102" s="198">
        <v>0</v>
      </c>
      <c r="AZ102" s="198">
        <v>0</v>
      </c>
      <c r="BA102" s="198">
        <v>0</v>
      </c>
      <c r="BB102" s="198">
        <v>0</v>
      </c>
      <c r="BC102" s="198">
        <v>0</v>
      </c>
      <c r="BD102" s="198">
        <v>0</v>
      </c>
      <c r="BE102" s="198">
        <v>0</v>
      </c>
      <c r="BF102" s="198">
        <v>0</v>
      </c>
      <c r="BG102" s="198">
        <v>0</v>
      </c>
      <c r="BH102" s="198">
        <v>0</v>
      </c>
      <c r="BI102" s="198">
        <v>0</v>
      </c>
      <c r="BJ102" s="198">
        <v>0</v>
      </c>
      <c r="BK102" s="198">
        <v>0</v>
      </c>
      <c r="BL102" s="198">
        <v>3060.8</v>
      </c>
      <c r="BM102" s="198">
        <v>0</v>
      </c>
      <c r="BN102" s="198">
        <v>0</v>
      </c>
      <c r="BO102" s="198">
        <v>0</v>
      </c>
      <c r="BP102" s="198">
        <v>0</v>
      </c>
      <c r="BQ102" s="198">
        <v>32.700000000000003</v>
      </c>
      <c r="BR102" s="198">
        <v>0</v>
      </c>
      <c r="BS102" s="198">
        <v>0</v>
      </c>
      <c r="BT102" s="198">
        <v>0</v>
      </c>
      <c r="BU102" s="198">
        <v>0</v>
      </c>
      <c r="BV102" s="198">
        <v>0</v>
      </c>
      <c r="BW102" s="198">
        <v>0</v>
      </c>
      <c r="BX102" s="198">
        <v>0</v>
      </c>
      <c r="BY102" s="198">
        <v>0</v>
      </c>
      <c r="BZ102" s="198">
        <v>0</v>
      </c>
      <c r="CA102" s="198">
        <v>0</v>
      </c>
      <c r="CB102" s="198">
        <v>0</v>
      </c>
      <c r="CC102" s="198">
        <v>0</v>
      </c>
      <c r="CD102" s="198">
        <v>0</v>
      </c>
      <c r="CE102" s="198">
        <v>0</v>
      </c>
      <c r="CF102" s="198">
        <v>0</v>
      </c>
      <c r="CG102" s="198">
        <v>0</v>
      </c>
      <c r="CH102" s="198">
        <v>0</v>
      </c>
      <c r="CI102" s="198">
        <v>561.9</v>
      </c>
      <c r="CJ102" s="198">
        <v>531.5</v>
      </c>
      <c r="CK102" s="88"/>
    </row>
    <row r="103" spans="1:89" x14ac:dyDescent="0.3">
      <c r="A103" s="173"/>
      <c r="B103" s="197" t="s">
        <v>388</v>
      </c>
      <c r="C103" s="198">
        <v>0</v>
      </c>
      <c r="D103" s="198">
        <v>0</v>
      </c>
      <c r="E103" s="198">
        <v>0</v>
      </c>
      <c r="F103" s="198">
        <v>0</v>
      </c>
      <c r="G103" s="198">
        <v>0</v>
      </c>
      <c r="H103" s="198">
        <v>0</v>
      </c>
      <c r="I103" s="198">
        <v>0</v>
      </c>
      <c r="J103" s="198">
        <v>0</v>
      </c>
      <c r="K103" s="198">
        <v>0</v>
      </c>
      <c r="L103" s="198">
        <v>0</v>
      </c>
      <c r="M103" s="198">
        <v>0</v>
      </c>
      <c r="N103" s="198">
        <v>0</v>
      </c>
      <c r="O103" s="198">
        <v>0</v>
      </c>
      <c r="P103" s="198">
        <v>0</v>
      </c>
      <c r="Q103" s="198">
        <v>0</v>
      </c>
      <c r="R103" s="198">
        <v>0</v>
      </c>
      <c r="S103" s="198">
        <v>0</v>
      </c>
      <c r="T103" s="198">
        <v>0</v>
      </c>
      <c r="U103" s="198">
        <v>0</v>
      </c>
      <c r="V103" s="198">
        <v>0</v>
      </c>
      <c r="W103" s="198">
        <v>0</v>
      </c>
      <c r="X103" s="198">
        <v>0</v>
      </c>
      <c r="Y103" s="198">
        <v>0</v>
      </c>
      <c r="Z103" s="198">
        <v>0</v>
      </c>
      <c r="AA103" s="198">
        <v>0</v>
      </c>
      <c r="AB103" s="198">
        <v>0</v>
      </c>
      <c r="AC103" s="198">
        <v>0</v>
      </c>
      <c r="AD103" s="198">
        <v>0</v>
      </c>
      <c r="AE103" s="198">
        <v>0</v>
      </c>
      <c r="AF103" s="198">
        <v>0</v>
      </c>
      <c r="AG103" s="198">
        <v>0</v>
      </c>
      <c r="AH103" s="198">
        <v>0</v>
      </c>
      <c r="AI103" s="198">
        <v>0</v>
      </c>
      <c r="AJ103" s="198">
        <v>0</v>
      </c>
      <c r="AK103" s="198">
        <v>0</v>
      </c>
      <c r="AL103" s="198">
        <v>0</v>
      </c>
      <c r="AM103" s="198">
        <v>0</v>
      </c>
      <c r="AN103" s="198">
        <v>0</v>
      </c>
      <c r="AO103" s="198">
        <v>0</v>
      </c>
      <c r="AP103" s="198">
        <v>0</v>
      </c>
      <c r="AQ103" s="198">
        <v>0</v>
      </c>
      <c r="AR103" s="198">
        <v>0</v>
      </c>
      <c r="AS103" s="198">
        <v>0</v>
      </c>
      <c r="AT103" s="198">
        <v>0</v>
      </c>
      <c r="AU103" s="198">
        <v>0</v>
      </c>
      <c r="AV103" s="198">
        <v>0</v>
      </c>
      <c r="AW103" s="198">
        <v>0</v>
      </c>
      <c r="AX103" s="198">
        <v>0</v>
      </c>
      <c r="AY103" s="198">
        <v>0</v>
      </c>
      <c r="AZ103" s="198">
        <v>0</v>
      </c>
      <c r="BA103" s="198">
        <v>0</v>
      </c>
      <c r="BB103" s="198">
        <v>0</v>
      </c>
      <c r="BC103" s="198">
        <v>0</v>
      </c>
      <c r="BD103" s="198">
        <v>0</v>
      </c>
      <c r="BE103" s="198">
        <v>0</v>
      </c>
      <c r="BF103" s="198">
        <v>0</v>
      </c>
      <c r="BG103" s="198">
        <v>0</v>
      </c>
      <c r="BH103" s="198">
        <v>0</v>
      </c>
      <c r="BI103" s="198">
        <v>0</v>
      </c>
      <c r="BJ103" s="198">
        <v>0</v>
      </c>
      <c r="BK103" s="198">
        <v>0</v>
      </c>
      <c r="BL103" s="198">
        <v>0</v>
      </c>
      <c r="BM103" s="198">
        <v>0</v>
      </c>
      <c r="BN103" s="198">
        <v>0</v>
      </c>
      <c r="BO103" s="198">
        <v>318.8</v>
      </c>
      <c r="BP103" s="198">
        <v>0</v>
      </c>
      <c r="BQ103" s="198">
        <v>0</v>
      </c>
      <c r="BR103" s="198">
        <v>0</v>
      </c>
      <c r="BS103" s="198">
        <v>243.4</v>
      </c>
      <c r="BT103" s="198">
        <v>0</v>
      </c>
      <c r="BU103" s="198">
        <v>0</v>
      </c>
      <c r="BV103" s="198">
        <v>0</v>
      </c>
      <c r="BW103" s="198">
        <v>0</v>
      </c>
      <c r="BX103" s="198">
        <v>0</v>
      </c>
      <c r="BY103" s="198">
        <v>0</v>
      </c>
      <c r="BZ103" s="198">
        <v>0</v>
      </c>
      <c r="CA103" s="198">
        <v>0</v>
      </c>
      <c r="CB103" s="198">
        <v>0</v>
      </c>
      <c r="CC103" s="198">
        <v>0</v>
      </c>
      <c r="CD103" s="198">
        <v>0</v>
      </c>
      <c r="CE103" s="198">
        <v>0</v>
      </c>
      <c r="CF103" s="198">
        <v>0</v>
      </c>
      <c r="CG103" s="198">
        <v>0</v>
      </c>
      <c r="CH103" s="198">
        <v>0</v>
      </c>
      <c r="CI103" s="198">
        <v>0</v>
      </c>
      <c r="CJ103" s="198">
        <v>0</v>
      </c>
      <c r="CK103" s="88"/>
    </row>
    <row r="104" spans="1:89" x14ac:dyDescent="0.3">
      <c r="A104" s="173"/>
      <c r="B104" s="197" t="s">
        <v>395</v>
      </c>
      <c r="C104" s="198">
        <v>0</v>
      </c>
      <c r="D104" s="198">
        <v>0</v>
      </c>
      <c r="E104" s="198">
        <v>0</v>
      </c>
      <c r="F104" s="198">
        <v>0</v>
      </c>
      <c r="G104" s="198">
        <v>0</v>
      </c>
      <c r="H104" s="198">
        <v>0</v>
      </c>
      <c r="I104" s="198">
        <v>0</v>
      </c>
      <c r="J104" s="198">
        <v>0</v>
      </c>
      <c r="K104" s="198">
        <v>0</v>
      </c>
      <c r="L104" s="198">
        <v>0</v>
      </c>
      <c r="M104" s="198">
        <v>0</v>
      </c>
      <c r="N104" s="198">
        <v>0</v>
      </c>
      <c r="O104" s="198">
        <v>0</v>
      </c>
      <c r="P104" s="198">
        <v>0</v>
      </c>
      <c r="Q104" s="198">
        <v>0</v>
      </c>
      <c r="R104" s="198">
        <v>0</v>
      </c>
      <c r="S104" s="198">
        <v>0</v>
      </c>
      <c r="T104" s="198">
        <v>0</v>
      </c>
      <c r="U104" s="198">
        <v>0</v>
      </c>
      <c r="V104" s="198">
        <v>0</v>
      </c>
      <c r="W104" s="198">
        <v>0</v>
      </c>
      <c r="X104" s="198">
        <v>0</v>
      </c>
      <c r="Y104" s="198">
        <v>0</v>
      </c>
      <c r="Z104" s="198">
        <v>0</v>
      </c>
      <c r="AA104" s="198">
        <v>0</v>
      </c>
      <c r="AB104" s="198">
        <v>0</v>
      </c>
      <c r="AC104" s="198">
        <v>0</v>
      </c>
      <c r="AD104" s="198">
        <v>0</v>
      </c>
      <c r="AE104" s="198">
        <v>0</v>
      </c>
      <c r="AF104" s="198">
        <v>0</v>
      </c>
      <c r="AG104" s="198">
        <v>0</v>
      </c>
      <c r="AH104" s="198">
        <v>0</v>
      </c>
      <c r="AI104" s="198">
        <v>0</v>
      </c>
      <c r="AJ104" s="198">
        <v>0</v>
      </c>
      <c r="AK104" s="198">
        <v>0</v>
      </c>
      <c r="AL104" s="198">
        <v>0</v>
      </c>
      <c r="AM104" s="198">
        <v>0</v>
      </c>
      <c r="AN104" s="198">
        <v>0</v>
      </c>
      <c r="AO104" s="198">
        <v>0</v>
      </c>
      <c r="AP104" s="198">
        <v>0</v>
      </c>
      <c r="AQ104" s="198">
        <v>0</v>
      </c>
      <c r="AR104" s="198">
        <v>0</v>
      </c>
      <c r="AS104" s="198">
        <v>0</v>
      </c>
      <c r="AT104" s="198">
        <v>0</v>
      </c>
      <c r="AU104" s="198">
        <v>0</v>
      </c>
      <c r="AV104" s="198">
        <v>0</v>
      </c>
      <c r="AW104" s="198">
        <v>0</v>
      </c>
      <c r="AX104" s="198">
        <v>0</v>
      </c>
      <c r="AY104" s="198">
        <v>0</v>
      </c>
      <c r="AZ104" s="198">
        <v>0</v>
      </c>
      <c r="BA104" s="198">
        <v>0</v>
      </c>
      <c r="BB104" s="198">
        <v>0</v>
      </c>
      <c r="BC104" s="198">
        <v>0</v>
      </c>
      <c r="BD104" s="198">
        <v>0</v>
      </c>
      <c r="BE104" s="198">
        <v>0</v>
      </c>
      <c r="BF104" s="198">
        <v>0</v>
      </c>
      <c r="BG104" s="198">
        <v>0</v>
      </c>
      <c r="BH104" s="198">
        <v>0</v>
      </c>
      <c r="BI104" s="198">
        <v>0</v>
      </c>
      <c r="BJ104" s="198">
        <v>0</v>
      </c>
      <c r="BK104" s="198">
        <v>0</v>
      </c>
      <c r="BL104" s="198">
        <v>0</v>
      </c>
      <c r="BM104" s="198">
        <v>0</v>
      </c>
      <c r="BN104" s="198">
        <v>0</v>
      </c>
      <c r="BO104" s="198">
        <v>0</v>
      </c>
      <c r="BP104" s="198">
        <v>0</v>
      </c>
      <c r="BQ104" s="198">
        <v>0</v>
      </c>
      <c r="BR104" s="198">
        <v>0</v>
      </c>
      <c r="BS104" s="198">
        <v>0</v>
      </c>
      <c r="BT104" s="198">
        <v>362.7</v>
      </c>
      <c r="BU104" s="198">
        <v>140.19999999999999</v>
      </c>
      <c r="BV104" s="198">
        <v>0</v>
      </c>
      <c r="BW104" s="198">
        <v>0</v>
      </c>
      <c r="BX104" s="198">
        <v>897.5</v>
      </c>
      <c r="BY104" s="198">
        <v>0</v>
      </c>
      <c r="BZ104" s="198">
        <v>0</v>
      </c>
      <c r="CA104" s="198">
        <v>0</v>
      </c>
      <c r="CB104" s="198">
        <v>0</v>
      </c>
      <c r="CC104" s="198">
        <v>0</v>
      </c>
      <c r="CD104" s="198">
        <v>0</v>
      </c>
      <c r="CE104" s="198">
        <v>0</v>
      </c>
      <c r="CF104" s="198">
        <v>0</v>
      </c>
      <c r="CG104" s="198">
        <v>0</v>
      </c>
      <c r="CH104" s="198">
        <v>0</v>
      </c>
      <c r="CI104" s="198">
        <v>0</v>
      </c>
      <c r="CJ104" s="198">
        <v>0</v>
      </c>
      <c r="CK104" s="88"/>
    </row>
    <row r="105" spans="1:89" x14ac:dyDescent="0.3">
      <c r="A105" s="173"/>
      <c r="B105" s="197" t="s">
        <v>396</v>
      </c>
      <c r="C105" s="198">
        <v>0</v>
      </c>
      <c r="D105" s="198">
        <v>0</v>
      </c>
      <c r="E105" s="198">
        <v>0</v>
      </c>
      <c r="F105" s="198">
        <v>0</v>
      </c>
      <c r="G105" s="198">
        <v>0</v>
      </c>
      <c r="H105" s="198">
        <v>0</v>
      </c>
      <c r="I105" s="198">
        <v>0</v>
      </c>
      <c r="J105" s="198">
        <v>0</v>
      </c>
      <c r="K105" s="198">
        <v>0</v>
      </c>
      <c r="L105" s="198">
        <v>0</v>
      </c>
      <c r="M105" s="198">
        <v>0</v>
      </c>
      <c r="N105" s="198">
        <v>0</v>
      </c>
      <c r="O105" s="198">
        <v>0</v>
      </c>
      <c r="P105" s="198">
        <v>0</v>
      </c>
      <c r="Q105" s="198">
        <v>0</v>
      </c>
      <c r="R105" s="198">
        <v>0</v>
      </c>
      <c r="S105" s="198">
        <v>0</v>
      </c>
      <c r="T105" s="198">
        <v>0</v>
      </c>
      <c r="U105" s="198">
        <v>0</v>
      </c>
      <c r="V105" s="198">
        <v>0</v>
      </c>
      <c r="W105" s="198">
        <v>0</v>
      </c>
      <c r="X105" s="198">
        <v>0</v>
      </c>
      <c r="Y105" s="198">
        <v>0</v>
      </c>
      <c r="Z105" s="198">
        <v>0</v>
      </c>
      <c r="AA105" s="198">
        <v>0</v>
      </c>
      <c r="AB105" s="198">
        <v>0</v>
      </c>
      <c r="AC105" s="198">
        <v>0</v>
      </c>
      <c r="AD105" s="198">
        <v>0</v>
      </c>
      <c r="AE105" s="198">
        <v>0</v>
      </c>
      <c r="AF105" s="198">
        <v>0</v>
      </c>
      <c r="AG105" s="198">
        <v>0</v>
      </c>
      <c r="AH105" s="198">
        <v>0</v>
      </c>
      <c r="AI105" s="198">
        <v>0</v>
      </c>
      <c r="AJ105" s="198">
        <v>0</v>
      </c>
      <c r="AK105" s="198">
        <v>0</v>
      </c>
      <c r="AL105" s="198">
        <v>0</v>
      </c>
      <c r="AM105" s="198">
        <v>0</v>
      </c>
      <c r="AN105" s="198">
        <v>0</v>
      </c>
      <c r="AO105" s="198">
        <v>0</v>
      </c>
      <c r="AP105" s="198">
        <v>0</v>
      </c>
      <c r="AQ105" s="198">
        <v>0</v>
      </c>
      <c r="AR105" s="198">
        <v>0</v>
      </c>
      <c r="AS105" s="198">
        <v>0</v>
      </c>
      <c r="AT105" s="198">
        <v>0</v>
      </c>
      <c r="AU105" s="198">
        <v>0</v>
      </c>
      <c r="AV105" s="198">
        <v>0</v>
      </c>
      <c r="AW105" s="198">
        <v>0</v>
      </c>
      <c r="AX105" s="198">
        <v>0</v>
      </c>
      <c r="AY105" s="198">
        <v>0</v>
      </c>
      <c r="AZ105" s="198">
        <v>0</v>
      </c>
      <c r="BA105" s="198">
        <v>0</v>
      </c>
      <c r="BB105" s="198">
        <v>0</v>
      </c>
      <c r="BC105" s="198">
        <v>0</v>
      </c>
      <c r="BD105" s="198">
        <v>0</v>
      </c>
      <c r="BE105" s="198">
        <v>0</v>
      </c>
      <c r="BF105" s="198">
        <v>0</v>
      </c>
      <c r="BG105" s="198">
        <v>0</v>
      </c>
      <c r="BH105" s="198">
        <v>0</v>
      </c>
      <c r="BI105" s="198">
        <v>0</v>
      </c>
      <c r="BJ105" s="198">
        <v>0</v>
      </c>
      <c r="BK105" s="198">
        <v>0</v>
      </c>
      <c r="BL105" s="198">
        <v>0</v>
      </c>
      <c r="BM105" s="198">
        <v>0</v>
      </c>
      <c r="BN105" s="198">
        <v>0</v>
      </c>
      <c r="BO105" s="198">
        <v>0</v>
      </c>
      <c r="BP105" s="198">
        <v>0</v>
      </c>
      <c r="BQ105" s="198">
        <v>0</v>
      </c>
      <c r="BR105" s="198">
        <v>0</v>
      </c>
      <c r="BS105" s="198">
        <v>0</v>
      </c>
      <c r="BT105" s="198">
        <v>81.900000000000006</v>
      </c>
      <c r="BU105" s="198">
        <v>75.3</v>
      </c>
      <c r="BV105" s="198">
        <v>0</v>
      </c>
      <c r="BW105" s="198">
        <v>0</v>
      </c>
      <c r="BX105" s="198">
        <v>0</v>
      </c>
      <c r="BY105" s="198">
        <v>156.80000000000001</v>
      </c>
      <c r="BZ105" s="198">
        <v>370.6</v>
      </c>
      <c r="CA105" s="198">
        <v>0</v>
      </c>
      <c r="CB105" s="198">
        <v>0</v>
      </c>
      <c r="CC105" s="198">
        <v>0</v>
      </c>
      <c r="CD105" s="198">
        <v>0</v>
      </c>
      <c r="CE105" s="198">
        <v>0</v>
      </c>
      <c r="CF105" s="198">
        <v>0</v>
      </c>
      <c r="CG105" s="198">
        <v>0</v>
      </c>
      <c r="CH105" s="198">
        <v>0</v>
      </c>
      <c r="CI105" s="198">
        <v>0</v>
      </c>
      <c r="CJ105" s="198">
        <v>0</v>
      </c>
      <c r="CK105" s="88"/>
    </row>
    <row r="106" spans="1:89" x14ac:dyDescent="0.3">
      <c r="A106" s="173"/>
      <c r="B106" s="197" t="s">
        <v>397</v>
      </c>
      <c r="C106" s="198">
        <v>0</v>
      </c>
      <c r="D106" s="198">
        <v>0</v>
      </c>
      <c r="E106" s="198">
        <v>0</v>
      </c>
      <c r="F106" s="198">
        <v>0</v>
      </c>
      <c r="G106" s="198">
        <v>0</v>
      </c>
      <c r="H106" s="198">
        <v>0</v>
      </c>
      <c r="I106" s="198">
        <v>0</v>
      </c>
      <c r="J106" s="198">
        <v>0</v>
      </c>
      <c r="K106" s="198">
        <v>0</v>
      </c>
      <c r="L106" s="198">
        <v>0</v>
      </c>
      <c r="M106" s="198">
        <v>0</v>
      </c>
      <c r="N106" s="198">
        <v>0</v>
      </c>
      <c r="O106" s="198">
        <v>0</v>
      </c>
      <c r="P106" s="198">
        <v>0</v>
      </c>
      <c r="Q106" s="198">
        <v>0</v>
      </c>
      <c r="R106" s="198">
        <v>0</v>
      </c>
      <c r="S106" s="198">
        <v>0</v>
      </c>
      <c r="T106" s="198">
        <v>0</v>
      </c>
      <c r="U106" s="198">
        <v>0</v>
      </c>
      <c r="V106" s="198">
        <v>0</v>
      </c>
      <c r="W106" s="198">
        <v>0</v>
      </c>
      <c r="X106" s="198">
        <v>0</v>
      </c>
      <c r="Y106" s="198">
        <v>0</v>
      </c>
      <c r="Z106" s="198">
        <v>0</v>
      </c>
      <c r="AA106" s="198">
        <v>0</v>
      </c>
      <c r="AB106" s="198">
        <v>0</v>
      </c>
      <c r="AC106" s="198">
        <v>0</v>
      </c>
      <c r="AD106" s="198">
        <v>0</v>
      </c>
      <c r="AE106" s="198">
        <v>0</v>
      </c>
      <c r="AF106" s="198">
        <v>0</v>
      </c>
      <c r="AG106" s="198">
        <v>0</v>
      </c>
      <c r="AH106" s="198">
        <v>0</v>
      </c>
      <c r="AI106" s="198">
        <v>0</v>
      </c>
      <c r="AJ106" s="198">
        <v>0</v>
      </c>
      <c r="AK106" s="198">
        <v>0</v>
      </c>
      <c r="AL106" s="198">
        <v>0</v>
      </c>
      <c r="AM106" s="198">
        <v>0</v>
      </c>
      <c r="AN106" s="198">
        <v>0</v>
      </c>
      <c r="AO106" s="198">
        <v>0</v>
      </c>
      <c r="AP106" s="198">
        <v>0</v>
      </c>
      <c r="AQ106" s="198">
        <v>0</v>
      </c>
      <c r="AR106" s="198">
        <v>0</v>
      </c>
      <c r="AS106" s="198">
        <v>0</v>
      </c>
      <c r="AT106" s="198">
        <v>0</v>
      </c>
      <c r="AU106" s="198">
        <v>0</v>
      </c>
      <c r="AV106" s="198">
        <v>0</v>
      </c>
      <c r="AW106" s="198">
        <v>0</v>
      </c>
      <c r="AX106" s="198">
        <v>0</v>
      </c>
      <c r="AY106" s="198">
        <v>0</v>
      </c>
      <c r="AZ106" s="198">
        <v>0</v>
      </c>
      <c r="BA106" s="198">
        <v>0</v>
      </c>
      <c r="BB106" s="198">
        <v>0</v>
      </c>
      <c r="BC106" s="198">
        <v>0</v>
      </c>
      <c r="BD106" s="198">
        <v>0</v>
      </c>
      <c r="BE106" s="198">
        <v>0</v>
      </c>
      <c r="BF106" s="198">
        <v>0</v>
      </c>
      <c r="BG106" s="198">
        <v>0</v>
      </c>
      <c r="BH106" s="198">
        <v>0</v>
      </c>
      <c r="BI106" s="198">
        <v>0</v>
      </c>
      <c r="BJ106" s="198">
        <v>0</v>
      </c>
      <c r="BK106" s="198">
        <v>0</v>
      </c>
      <c r="BL106" s="198">
        <v>0</v>
      </c>
      <c r="BM106" s="198">
        <v>0</v>
      </c>
      <c r="BN106" s="198">
        <v>0</v>
      </c>
      <c r="BO106" s="198">
        <v>0</v>
      </c>
      <c r="BP106" s="198">
        <v>0</v>
      </c>
      <c r="BQ106" s="198">
        <v>0</v>
      </c>
      <c r="BR106" s="198">
        <v>0</v>
      </c>
      <c r="BS106" s="198">
        <v>0</v>
      </c>
      <c r="BT106" s="198">
        <v>427.2</v>
      </c>
      <c r="BU106" s="198">
        <v>1084.8</v>
      </c>
      <c r="BV106" s="198">
        <v>0</v>
      </c>
      <c r="BW106" s="198">
        <v>0</v>
      </c>
      <c r="BX106" s="198">
        <v>0</v>
      </c>
      <c r="BY106" s="198">
        <v>0</v>
      </c>
      <c r="BZ106" s="198">
        <v>295.2</v>
      </c>
      <c r="CA106" s="198">
        <v>690.6</v>
      </c>
      <c r="CB106" s="198">
        <v>0</v>
      </c>
      <c r="CC106" s="198">
        <v>115.2</v>
      </c>
      <c r="CD106" s="198">
        <v>0</v>
      </c>
      <c r="CE106" s="198">
        <v>0</v>
      </c>
      <c r="CF106" s="198">
        <v>0</v>
      </c>
      <c r="CG106" s="198">
        <v>903.8</v>
      </c>
      <c r="CH106" s="198">
        <v>0</v>
      </c>
      <c r="CI106" s="198">
        <v>0</v>
      </c>
      <c r="CJ106" s="198">
        <v>0</v>
      </c>
      <c r="CK106" s="88"/>
    </row>
    <row r="107" spans="1:89" x14ac:dyDescent="0.3">
      <c r="A107" s="173"/>
      <c r="B107" s="197" t="s">
        <v>389</v>
      </c>
      <c r="C107" s="198">
        <v>0</v>
      </c>
      <c r="D107" s="198">
        <v>0</v>
      </c>
      <c r="E107" s="198">
        <v>0</v>
      </c>
      <c r="F107" s="198">
        <v>0</v>
      </c>
      <c r="G107" s="198">
        <v>0</v>
      </c>
      <c r="H107" s="198">
        <v>0</v>
      </c>
      <c r="I107" s="198">
        <v>0</v>
      </c>
      <c r="J107" s="198">
        <v>0</v>
      </c>
      <c r="K107" s="198">
        <v>0</v>
      </c>
      <c r="L107" s="198">
        <v>0</v>
      </c>
      <c r="M107" s="198">
        <v>0</v>
      </c>
      <c r="N107" s="198">
        <v>0</v>
      </c>
      <c r="O107" s="198">
        <v>0</v>
      </c>
      <c r="P107" s="198">
        <v>0</v>
      </c>
      <c r="Q107" s="198">
        <v>0</v>
      </c>
      <c r="R107" s="198">
        <v>0</v>
      </c>
      <c r="S107" s="198">
        <v>0</v>
      </c>
      <c r="T107" s="198">
        <v>0</v>
      </c>
      <c r="U107" s="198">
        <v>0</v>
      </c>
      <c r="V107" s="198">
        <v>0</v>
      </c>
      <c r="W107" s="198">
        <v>0</v>
      </c>
      <c r="X107" s="198">
        <v>0</v>
      </c>
      <c r="Y107" s="198">
        <v>0</v>
      </c>
      <c r="Z107" s="198">
        <v>0</v>
      </c>
      <c r="AA107" s="198">
        <v>0</v>
      </c>
      <c r="AB107" s="198">
        <v>0</v>
      </c>
      <c r="AC107" s="198">
        <v>0</v>
      </c>
      <c r="AD107" s="198">
        <v>0</v>
      </c>
      <c r="AE107" s="198">
        <v>0</v>
      </c>
      <c r="AF107" s="198">
        <v>0</v>
      </c>
      <c r="AG107" s="198">
        <v>0</v>
      </c>
      <c r="AH107" s="198">
        <v>0</v>
      </c>
      <c r="AI107" s="198">
        <v>0</v>
      </c>
      <c r="AJ107" s="198">
        <v>0</v>
      </c>
      <c r="AK107" s="198">
        <v>0</v>
      </c>
      <c r="AL107" s="198">
        <v>0</v>
      </c>
      <c r="AM107" s="198">
        <v>0</v>
      </c>
      <c r="AN107" s="198">
        <v>0</v>
      </c>
      <c r="AO107" s="198">
        <v>0</v>
      </c>
      <c r="AP107" s="198">
        <v>0</v>
      </c>
      <c r="AQ107" s="198">
        <v>0</v>
      </c>
      <c r="AR107" s="198">
        <v>0</v>
      </c>
      <c r="AS107" s="198">
        <v>0</v>
      </c>
      <c r="AT107" s="198">
        <v>0</v>
      </c>
      <c r="AU107" s="198">
        <v>0</v>
      </c>
      <c r="AV107" s="198">
        <v>0</v>
      </c>
      <c r="AW107" s="198">
        <v>0</v>
      </c>
      <c r="AX107" s="198">
        <v>0</v>
      </c>
      <c r="AY107" s="198">
        <v>0</v>
      </c>
      <c r="AZ107" s="198">
        <v>0</v>
      </c>
      <c r="BA107" s="198">
        <v>0</v>
      </c>
      <c r="BB107" s="198">
        <v>0</v>
      </c>
      <c r="BC107" s="198">
        <v>0</v>
      </c>
      <c r="BD107" s="198">
        <v>0</v>
      </c>
      <c r="BE107" s="198">
        <v>0</v>
      </c>
      <c r="BF107" s="198">
        <v>0</v>
      </c>
      <c r="BG107" s="198">
        <v>0</v>
      </c>
      <c r="BH107" s="198">
        <v>0</v>
      </c>
      <c r="BI107" s="198">
        <v>0</v>
      </c>
      <c r="BJ107" s="198">
        <v>0</v>
      </c>
      <c r="BK107" s="198">
        <v>0</v>
      </c>
      <c r="BL107" s="198">
        <v>0</v>
      </c>
      <c r="BM107" s="198">
        <v>0</v>
      </c>
      <c r="BN107" s="198">
        <v>0</v>
      </c>
      <c r="BO107" s="198">
        <v>366.8</v>
      </c>
      <c r="BP107" s="198">
        <v>0</v>
      </c>
      <c r="BQ107" s="198">
        <v>0</v>
      </c>
      <c r="BR107" s="198">
        <v>0</v>
      </c>
      <c r="BS107" s="198">
        <v>29.9</v>
      </c>
      <c r="BT107" s="198">
        <v>0</v>
      </c>
      <c r="BU107" s="198">
        <v>0</v>
      </c>
      <c r="BV107" s="198">
        <v>0</v>
      </c>
      <c r="BW107" s="198">
        <v>798.6</v>
      </c>
      <c r="BX107" s="198">
        <v>468.3</v>
      </c>
      <c r="BY107" s="198">
        <v>269.7</v>
      </c>
      <c r="BZ107" s="198">
        <v>118.9</v>
      </c>
      <c r="CA107" s="198">
        <v>0</v>
      </c>
      <c r="CB107" s="198">
        <v>0</v>
      </c>
      <c r="CC107" s="198">
        <v>0</v>
      </c>
      <c r="CD107" s="198">
        <v>0</v>
      </c>
      <c r="CE107" s="198">
        <v>0</v>
      </c>
      <c r="CF107" s="198">
        <v>0</v>
      </c>
      <c r="CG107" s="198">
        <v>0</v>
      </c>
      <c r="CH107" s="198">
        <v>0</v>
      </c>
      <c r="CI107" s="198">
        <v>0</v>
      </c>
      <c r="CJ107" s="198">
        <v>0</v>
      </c>
      <c r="CK107" s="88"/>
    </row>
    <row r="108" spans="1:89" x14ac:dyDescent="0.3">
      <c r="A108" s="173"/>
      <c r="B108" s="204" t="s">
        <v>196</v>
      </c>
      <c r="C108" s="198">
        <v>0</v>
      </c>
      <c r="D108" s="198">
        <v>0</v>
      </c>
      <c r="E108" s="198">
        <v>0</v>
      </c>
      <c r="F108" s="198">
        <v>0</v>
      </c>
      <c r="G108" s="198">
        <v>0</v>
      </c>
      <c r="H108" s="198">
        <v>0</v>
      </c>
      <c r="I108" s="198">
        <v>0</v>
      </c>
      <c r="J108" s="198">
        <v>0</v>
      </c>
      <c r="K108" s="198">
        <v>0</v>
      </c>
      <c r="L108" s="198">
        <v>0</v>
      </c>
      <c r="M108" s="198">
        <v>0</v>
      </c>
      <c r="N108" s="198">
        <v>0</v>
      </c>
      <c r="O108" s="198">
        <v>0</v>
      </c>
      <c r="P108" s="198">
        <v>124.5</v>
      </c>
      <c r="Q108" s="198">
        <v>2531.6</v>
      </c>
      <c r="R108" s="198">
        <v>0</v>
      </c>
      <c r="S108" s="198">
        <v>0</v>
      </c>
      <c r="T108" s="198">
        <v>180.6</v>
      </c>
      <c r="U108" s="198">
        <v>0</v>
      </c>
      <c r="V108" s="198">
        <v>0</v>
      </c>
      <c r="W108" s="198">
        <v>168.5</v>
      </c>
      <c r="X108" s="198">
        <v>0</v>
      </c>
      <c r="Y108" s="198">
        <v>589.4</v>
      </c>
      <c r="Z108" s="198">
        <v>0</v>
      </c>
      <c r="AA108" s="198">
        <v>0</v>
      </c>
      <c r="AB108" s="198">
        <v>0</v>
      </c>
      <c r="AC108" s="198">
        <v>0</v>
      </c>
      <c r="AD108" s="198">
        <v>0</v>
      </c>
      <c r="AE108" s="198">
        <v>0</v>
      </c>
      <c r="AF108" s="198">
        <v>0</v>
      </c>
      <c r="AG108" s="198">
        <v>0</v>
      </c>
      <c r="AH108" s="198">
        <v>27.2</v>
      </c>
      <c r="AI108" s="198">
        <v>0</v>
      </c>
      <c r="AJ108" s="198">
        <v>0</v>
      </c>
      <c r="AK108" s="198">
        <v>0</v>
      </c>
      <c r="AL108" s="198">
        <v>0</v>
      </c>
      <c r="AM108" s="198">
        <v>0</v>
      </c>
      <c r="AN108" s="198">
        <v>0</v>
      </c>
      <c r="AO108" s="198">
        <v>0</v>
      </c>
      <c r="AP108" s="198">
        <v>0</v>
      </c>
      <c r="AQ108" s="198">
        <v>0</v>
      </c>
      <c r="AR108" s="198">
        <v>0</v>
      </c>
      <c r="AS108" s="198">
        <v>0</v>
      </c>
      <c r="AT108" s="198">
        <v>0</v>
      </c>
      <c r="AU108" s="198">
        <v>0</v>
      </c>
      <c r="AV108" s="198">
        <v>0</v>
      </c>
      <c r="AW108" s="198">
        <v>0</v>
      </c>
      <c r="AX108" s="198">
        <v>0</v>
      </c>
      <c r="AY108" s="198">
        <v>0</v>
      </c>
      <c r="AZ108" s="198">
        <v>0</v>
      </c>
      <c r="BA108" s="198">
        <v>0</v>
      </c>
      <c r="BB108" s="198">
        <v>0</v>
      </c>
      <c r="BC108" s="198">
        <v>0</v>
      </c>
      <c r="BD108" s="198">
        <v>0</v>
      </c>
      <c r="BE108" s="198">
        <v>0</v>
      </c>
      <c r="BF108" s="198">
        <v>0</v>
      </c>
      <c r="BG108" s="198">
        <v>0</v>
      </c>
      <c r="BH108" s="198">
        <v>0</v>
      </c>
      <c r="BI108" s="198">
        <v>0</v>
      </c>
      <c r="BJ108" s="198">
        <v>0</v>
      </c>
      <c r="BK108" s="198">
        <v>0</v>
      </c>
      <c r="BL108" s="198">
        <v>0</v>
      </c>
      <c r="BM108" s="198">
        <v>0</v>
      </c>
      <c r="BN108" s="198">
        <v>0</v>
      </c>
      <c r="BO108" s="198">
        <v>0</v>
      </c>
      <c r="BP108" s="198">
        <v>0</v>
      </c>
      <c r="BQ108" s="198">
        <v>0</v>
      </c>
      <c r="BR108" s="198">
        <v>0</v>
      </c>
      <c r="BS108" s="198">
        <v>0</v>
      </c>
      <c r="BT108" s="198">
        <v>0</v>
      </c>
      <c r="BU108" s="198">
        <v>0</v>
      </c>
      <c r="BV108" s="198">
        <v>0</v>
      </c>
      <c r="BW108" s="198">
        <v>0</v>
      </c>
      <c r="BX108" s="198">
        <v>0</v>
      </c>
      <c r="BY108" s="198">
        <v>0</v>
      </c>
      <c r="BZ108" s="198">
        <v>0</v>
      </c>
      <c r="CA108" s="198">
        <v>0</v>
      </c>
      <c r="CB108" s="198">
        <v>0</v>
      </c>
      <c r="CC108" s="198">
        <v>0</v>
      </c>
      <c r="CD108" s="198">
        <v>0</v>
      </c>
      <c r="CE108" s="198">
        <v>0</v>
      </c>
      <c r="CF108" s="198">
        <v>0</v>
      </c>
      <c r="CG108" s="198">
        <v>0</v>
      </c>
      <c r="CH108" s="198">
        <v>0</v>
      </c>
      <c r="CI108" s="198">
        <v>0</v>
      </c>
      <c r="CJ108" s="198">
        <v>0</v>
      </c>
      <c r="CK108" s="88"/>
    </row>
    <row r="109" spans="1:89" x14ac:dyDescent="0.3">
      <c r="A109" s="173"/>
      <c r="B109" s="204" t="s">
        <v>212</v>
      </c>
      <c r="C109" s="198">
        <v>0</v>
      </c>
      <c r="D109" s="198">
        <v>0</v>
      </c>
      <c r="E109" s="198">
        <v>0</v>
      </c>
      <c r="F109" s="198">
        <v>0</v>
      </c>
      <c r="G109" s="198">
        <v>0</v>
      </c>
      <c r="H109" s="198">
        <v>0</v>
      </c>
      <c r="I109" s="198">
        <v>0</v>
      </c>
      <c r="J109" s="198">
        <v>0</v>
      </c>
      <c r="K109" s="198">
        <v>0</v>
      </c>
      <c r="L109" s="198">
        <v>0</v>
      </c>
      <c r="M109" s="198">
        <v>0</v>
      </c>
      <c r="N109" s="198">
        <v>0</v>
      </c>
      <c r="O109" s="198">
        <v>0</v>
      </c>
      <c r="P109" s="198">
        <v>0</v>
      </c>
      <c r="Q109" s="198">
        <v>0</v>
      </c>
      <c r="R109" s="198">
        <v>2184.6</v>
      </c>
      <c r="S109" s="198">
        <v>115.4</v>
      </c>
      <c r="T109" s="198">
        <v>115.7</v>
      </c>
      <c r="U109" s="198">
        <v>285.8</v>
      </c>
      <c r="V109" s="198">
        <v>0</v>
      </c>
      <c r="W109" s="198">
        <v>0</v>
      </c>
      <c r="X109" s="198">
        <v>113.3</v>
      </c>
      <c r="Y109" s="198">
        <v>213.1</v>
      </c>
      <c r="Z109" s="198">
        <v>0</v>
      </c>
      <c r="AA109" s="198">
        <v>0</v>
      </c>
      <c r="AB109" s="198">
        <v>0</v>
      </c>
      <c r="AC109" s="198">
        <v>0</v>
      </c>
      <c r="AD109" s="198">
        <v>7.1</v>
      </c>
      <c r="AE109" s="198">
        <v>0</v>
      </c>
      <c r="AF109" s="198">
        <v>0</v>
      </c>
      <c r="AG109" s="198">
        <v>0</v>
      </c>
      <c r="AH109" s="198">
        <v>0</v>
      </c>
      <c r="AI109" s="198">
        <v>0</v>
      </c>
      <c r="AJ109" s="198">
        <v>0</v>
      </c>
      <c r="AK109" s="198">
        <v>0</v>
      </c>
      <c r="AL109" s="198">
        <v>0</v>
      </c>
      <c r="AM109" s="198">
        <v>0</v>
      </c>
      <c r="AN109" s="198">
        <v>0</v>
      </c>
      <c r="AO109" s="198">
        <v>0</v>
      </c>
      <c r="AP109" s="198">
        <v>0</v>
      </c>
      <c r="AQ109" s="198">
        <v>0</v>
      </c>
      <c r="AR109" s="198">
        <v>0</v>
      </c>
      <c r="AS109" s="198">
        <v>0</v>
      </c>
      <c r="AT109" s="198">
        <v>0</v>
      </c>
      <c r="AU109" s="198">
        <v>0</v>
      </c>
      <c r="AV109" s="198">
        <v>0</v>
      </c>
      <c r="AW109" s="198">
        <v>0</v>
      </c>
      <c r="AX109" s="198">
        <v>0</v>
      </c>
      <c r="AY109" s="198">
        <v>0</v>
      </c>
      <c r="AZ109" s="198">
        <v>0</v>
      </c>
      <c r="BA109" s="198">
        <v>0</v>
      </c>
      <c r="BB109" s="198">
        <v>0</v>
      </c>
      <c r="BC109" s="198">
        <v>0</v>
      </c>
      <c r="BD109" s="198">
        <v>0</v>
      </c>
      <c r="BE109" s="198">
        <v>0</v>
      </c>
      <c r="BF109" s="198">
        <v>0</v>
      </c>
      <c r="BG109" s="198">
        <v>0</v>
      </c>
      <c r="BH109" s="198">
        <v>0</v>
      </c>
      <c r="BI109" s="198">
        <v>0</v>
      </c>
      <c r="BJ109" s="198">
        <v>0</v>
      </c>
      <c r="BK109" s="198">
        <v>0</v>
      </c>
      <c r="BL109" s="198">
        <v>0</v>
      </c>
      <c r="BM109" s="198">
        <v>0</v>
      </c>
      <c r="BN109" s="198">
        <v>0</v>
      </c>
      <c r="BO109" s="198">
        <v>0</v>
      </c>
      <c r="BP109" s="198">
        <v>0</v>
      </c>
      <c r="BQ109" s="198">
        <v>0</v>
      </c>
      <c r="BR109" s="198">
        <v>0</v>
      </c>
      <c r="BS109" s="198">
        <v>0</v>
      </c>
      <c r="BT109" s="198">
        <v>0</v>
      </c>
      <c r="BU109" s="198">
        <v>0</v>
      </c>
      <c r="BV109" s="198">
        <v>0</v>
      </c>
      <c r="BW109" s="198">
        <v>0</v>
      </c>
      <c r="BX109" s="198">
        <v>0</v>
      </c>
      <c r="BY109" s="198">
        <v>0</v>
      </c>
      <c r="BZ109" s="198">
        <v>0</v>
      </c>
      <c r="CA109" s="198">
        <v>0</v>
      </c>
      <c r="CB109" s="198">
        <v>0</v>
      </c>
      <c r="CC109" s="198">
        <v>0</v>
      </c>
      <c r="CD109" s="198">
        <v>0</v>
      </c>
      <c r="CE109" s="198">
        <v>0</v>
      </c>
      <c r="CF109" s="198">
        <v>0</v>
      </c>
      <c r="CG109" s="198">
        <v>0</v>
      </c>
      <c r="CH109" s="198">
        <v>0</v>
      </c>
      <c r="CI109" s="198">
        <v>0</v>
      </c>
      <c r="CJ109" s="198">
        <v>0</v>
      </c>
      <c r="CK109" s="88"/>
    </row>
    <row r="110" spans="1:89" x14ac:dyDescent="0.3">
      <c r="A110" s="173"/>
      <c r="B110" s="204" t="s">
        <v>202</v>
      </c>
      <c r="C110" s="198">
        <v>0</v>
      </c>
      <c r="D110" s="198">
        <v>0</v>
      </c>
      <c r="E110" s="198">
        <v>0</v>
      </c>
      <c r="F110" s="198">
        <v>0</v>
      </c>
      <c r="G110" s="198">
        <v>0</v>
      </c>
      <c r="H110" s="198">
        <v>0</v>
      </c>
      <c r="I110" s="198">
        <v>0</v>
      </c>
      <c r="J110" s="198">
        <v>0</v>
      </c>
      <c r="K110" s="198">
        <v>0</v>
      </c>
      <c r="L110" s="198">
        <v>0</v>
      </c>
      <c r="M110" s="198">
        <v>0</v>
      </c>
      <c r="N110" s="198">
        <v>0</v>
      </c>
      <c r="O110" s="198">
        <v>0</v>
      </c>
      <c r="P110" s="198">
        <v>0</v>
      </c>
      <c r="Q110" s="198">
        <v>2003.9</v>
      </c>
      <c r="R110" s="198">
        <v>1463</v>
      </c>
      <c r="S110" s="198">
        <v>365.4</v>
      </c>
      <c r="T110" s="198">
        <v>0</v>
      </c>
      <c r="U110" s="198">
        <v>0</v>
      </c>
      <c r="V110" s="198">
        <v>0</v>
      </c>
      <c r="W110" s="198">
        <v>0</v>
      </c>
      <c r="X110" s="198">
        <v>0</v>
      </c>
      <c r="Y110" s="198">
        <v>291.2</v>
      </c>
      <c r="Z110" s="198">
        <v>0</v>
      </c>
      <c r="AA110" s="198">
        <v>0</v>
      </c>
      <c r="AB110" s="198">
        <v>0</v>
      </c>
      <c r="AC110" s="198">
        <v>0</v>
      </c>
      <c r="AD110" s="198">
        <v>0</v>
      </c>
      <c r="AE110" s="198">
        <v>0</v>
      </c>
      <c r="AF110" s="198">
        <v>0</v>
      </c>
      <c r="AG110" s="198">
        <v>0</v>
      </c>
      <c r="AH110" s="198">
        <v>0</v>
      </c>
      <c r="AI110" s="198">
        <v>0</v>
      </c>
      <c r="AJ110" s="198">
        <v>0</v>
      </c>
      <c r="AK110" s="198">
        <v>0</v>
      </c>
      <c r="AL110" s="198">
        <v>0</v>
      </c>
      <c r="AM110" s="198">
        <v>0</v>
      </c>
      <c r="AN110" s="198">
        <v>0</v>
      </c>
      <c r="AO110" s="198">
        <v>0</v>
      </c>
      <c r="AP110" s="198">
        <v>0</v>
      </c>
      <c r="AQ110" s="198">
        <v>0</v>
      </c>
      <c r="AR110" s="198">
        <v>0</v>
      </c>
      <c r="AS110" s="198">
        <v>0</v>
      </c>
      <c r="AT110" s="198">
        <v>0</v>
      </c>
      <c r="AU110" s="198">
        <v>0</v>
      </c>
      <c r="AV110" s="198">
        <v>0</v>
      </c>
      <c r="AW110" s="198">
        <v>0</v>
      </c>
      <c r="AX110" s="198">
        <v>0</v>
      </c>
      <c r="AY110" s="198">
        <v>0</v>
      </c>
      <c r="AZ110" s="198">
        <v>0</v>
      </c>
      <c r="BA110" s="198">
        <v>0</v>
      </c>
      <c r="BB110" s="198">
        <v>0</v>
      </c>
      <c r="BC110" s="198">
        <v>0</v>
      </c>
      <c r="BD110" s="198">
        <v>0</v>
      </c>
      <c r="BE110" s="198">
        <v>0</v>
      </c>
      <c r="BF110" s="198">
        <v>0</v>
      </c>
      <c r="BG110" s="198">
        <v>0</v>
      </c>
      <c r="BH110" s="198">
        <v>0</v>
      </c>
      <c r="BI110" s="198">
        <v>0</v>
      </c>
      <c r="BJ110" s="198">
        <v>0</v>
      </c>
      <c r="BK110" s="198">
        <v>0</v>
      </c>
      <c r="BL110" s="198">
        <v>0</v>
      </c>
      <c r="BM110" s="198">
        <v>0</v>
      </c>
      <c r="BN110" s="198">
        <v>0</v>
      </c>
      <c r="BO110" s="198">
        <v>0</v>
      </c>
      <c r="BP110" s="198">
        <v>0</v>
      </c>
      <c r="BQ110" s="198">
        <v>0</v>
      </c>
      <c r="BR110" s="198">
        <v>0</v>
      </c>
      <c r="BS110" s="198">
        <v>0</v>
      </c>
      <c r="BT110" s="198">
        <v>0</v>
      </c>
      <c r="BU110" s="198">
        <v>0</v>
      </c>
      <c r="BV110" s="198">
        <v>0</v>
      </c>
      <c r="BW110" s="198">
        <v>0</v>
      </c>
      <c r="BX110" s="198">
        <v>0</v>
      </c>
      <c r="BY110" s="198">
        <v>0</v>
      </c>
      <c r="BZ110" s="198">
        <v>0</v>
      </c>
      <c r="CA110" s="198">
        <v>0</v>
      </c>
      <c r="CB110" s="198">
        <v>0</v>
      </c>
      <c r="CC110" s="198">
        <v>0</v>
      </c>
      <c r="CD110" s="198">
        <v>0</v>
      </c>
      <c r="CE110" s="198">
        <v>0</v>
      </c>
      <c r="CF110" s="198">
        <v>0</v>
      </c>
      <c r="CG110" s="198">
        <v>0</v>
      </c>
      <c r="CH110" s="198">
        <v>0</v>
      </c>
      <c r="CI110" s="198">
        <v>0</v>
      </c>
      <c r="CJ110" s="198">
        <v>0</v>
      </c>
      <c r="CK110" s="88"/>
    </row>
    <row r="111" spans="1:89" x14ac:dyDescent="0.3">
      <c r="A111" s="173"/>
      <c r="B111" s="204" t="s">
        <v>216</v>
      </c>
      <c r="C111" s="198">
        <v>0</v>
      </c>
      <c r="D111" s="198">
        <v>0</v>
      </c>
      <c r="E111" s="198">
        <v>0</v>
      </c>
      <c r="F111" s="198">
        <v>0</v>
      </c>
      <c r="G111" s="198">
        <v>0</v>
      </c>
      <c r="H111" s="198">
        <v>0</v>
      </c>
      <c r="I111" s="198">
        <v>0</v>
      </c>
      <c r="J111" s="198">
        <v>0</v>
      </c>
      <c r="K111" s="198">
        <v>0</v>
      </c>
      <c r="L111" s="198">
        <v>0</v>
      </c>
      <c r="M111" s="198">
        <v>0</v>
      </c>
      <c r="N111" s="198">
        <v>0</v>
      </c>
      <c r="O111" s="198">
        <v>0</v>
      </c>
      <c r="P111" s="198">
        <v>0</v>
      </c>
      <c r="Q111" s="198">
        <v>0</v>
      </c>
      <c r="R111" s="198">
        <v>0</v>
      </c>
      <c r="S111" s="198">
        <v>220.3</v>
      </c>
      <c r="T111" s="198">
        <v>152.30000000000001</v>
      </c>
      <c r="U111" s="198">
        <v>0</v>
      </c>
      <c r="V111" s="198">
        <v>274.3</v>
      </c>
      <c r="W111" s="198">
        <v>42.9</v>
      </c>
      <c r="X111" s="198">
        <v>0</v>
      </c>
      <c r="Y111" s="198">
        <v>0</v>
      </c>
      <c r="Z111" s="198">
        <v>1776.5</v>
      </c>
      <c r="AA111" s="198">
        <v>437.4</v>
      </c>
      <c r="AB111" s="198">
        <v>0</v>
      </c>
      <c r="AC111" s="198">
        <v>77.2</v>
      </c>
      <c r="AD111" s="198">
        <v>909</v>
      </c>
      <c r="AE111" s="198">
        <v>0</v>
      </c>
      <c r="AF111" s="198">
        <v>790</v>
      </c>
      <c r="AG111" s="198">
        <v>0</v>
      </c>
      <c r="AH111" s="198">
        <v>0</v>
      </c>
      <c r="AI111" s="198">
        <v>0</v>
      </c>
      <c r="AJ111" s="198">
        <v>471.6</v>
      </c>
      <c r="AK111" s="198">
        <v>249.6</v>
      </c>
      <c r="AL111" s="198">
        <v>0</v>
      </c>
      <c r="AM111" s="198">
        <v>0</v>
      </c>
      <c r="AN111" s="198">
        <v>0</v>
      </c>
      <c r="AO111" s="198">
        <v>0</v>
      </c>
      <c r="AP111" s="198">
        <v>0</v>
      </c>
      <c r="AQ111" s="198">
        <v>0</v>
      </c>
      <c r="AR111" s="198">
        <v>0</v>
      </c>
      <c r="AS111" s="198">
        <v>0</v>
      </c>
      <c r="AT111" s="198">
        <v>0</v>
      </c>
      <c r="AU111" s="198">
        <v>0</v>
      </c>
      <c r="AV111" s="198">
        <v>0</v>
      </c>
      <c r="AW111" s="198">
        <v>0</v>
      </c>
      <c r="AX111" s="198">
        <v>0</v>
      </c>
      <c r="AY111" s="198">
        <v>0</v>
      </c>
      <c r="AZ111" s="198">
        <v>0</v>
      </c>
      <c r="BA111" s="198">
        <v>0</v>
      </c>
      <c r="BB111" s="198">
        <v>0</v>
      </c>
      <c r="BC111" s="198">
        <v>0</v>
      </c>
      <c r="BD111" s="198">
        <v>0</v>
      </c>
      <c r="BE111" s="198">
        <v>0</v>
      </c>
      <c r="BF111" s="198">
        <v>0</v>
      </c>
      <c r="BG111" s="198">
        <v>0</v>
      </c>
      <c r="BH111" s="198">
        <v>0</v>
      </c>
      <c r="BI111" s="198">
        <v>0</v>
      </c>
      <c r="BJ111" s="198">
        <v>0</v>
      </c>
      <c r="BK111" s="198">
        <v>0</v>
      </c>
      <c r="BL111" s="198">
        <v>0</v>
      </c>
      <c r="BM111" s="198">
        <v>0</v>
      </c>
      <c r="BN111" s="198">
        <v>0</v>
      </c>
      <c r="BO111" s="198">
        <v>0</v>
      </c>
      <c r="BP111" s="198">
        <v>0</v>
      </c>
      <c r="BQ111" s="198">
        <v>0</v>
      </c>
      <c r="BR111" s="198">
        <v>0</v>
      </c>
      <c r="BS111" s="198">
        <v>0</v>
      </c>
      <c r="BT111" s="198">
        <v>0</v>
      </c>
      <c r="BU111" s="198">
        <v>0</v>
      </c>
      <c r="BV111" s="198">
        <v>0</v>
      </c>
      <c r="BW111" s="198">
        <v>0</v>
      </c>
      <c r="BX111" s="198">
        <v>0</v>
      </c>
      <c r="BY111" s="198">
        <v>0</v>
      </c>
      <c r="BZ111" s="198">
        <v>0</v>
      </c>
      <c r="CA111" s="198">
        <v>0</v>
      </c>
      <c r="CB111" s="198">
        <v>0</v>
      </c>
      <c r="CC111" s="198">
        <v>0</v>
      </c>
      <c r="CD111" s="198">
        <v>0</v>
      </c>
      <c r="CE111" s="198">
        <v>0</v>
      </c>
      <c r="CF111" s="198">
        <v>0</v>
      </c>
      <c r="CG111" s="198">
        <v>0</v>
      </c>
      <c r="CH111" s="198">
        <v>0</v>
      </c>
      <c r="CI111" s="198">
        <v>0</v>
      </c>
      <c r="CJ111" s="198">
        <v>0</v>
      </c>
      <c r="CK111" s="88"/>
    </row>
    <row r="112" spans="1:89" x14ac:dyDescent="0.3">
      <c r="A112" s="173"/>
      <c r="B112" s="204" t="s">
        <v>203</v>
      </c>
      <c r="C112" s="198">
        <v>0</v>
      </c>
      <c r="D112" s="198">
        <v>0</v>
      </c>
      <c r="E112" s="198">
        <v>0</v>
      </c>
      <c r="F112" s="198">
        <v>0</v>
      </c>
      <c r="G112" s="198">
        <v>0</v>
      </c>
      <c r="H112" s="198">
        <v>0</v>
      </c>
      <c r="I112" s="198">
        <v>0</v>
      </c>
      <c r="J112" s="198">
        <v>0</v>
      </c>
      <c r="K112" s="198">
        <v>0</v>
      </c>
      <c r="L112" s="198">
        <v>0</v>
      </c>
      <c r="M112" s="198">
        <v>0</v>
      </c>
      <c r="N112" s="198">
        <v>0</v>
      </c>
      <c r="O112" s="198">
        <v>0</v>
      </c>
      <c r="P112" s="198">
        <v>0</v>
      </c>
      <c r="Q112" s="198">
        <v>986.7</v>
      </c>
      <c r="R112" s="198">
        <v>0</v>
      </c>
      <c r="S112" s="198">
        <v>465.5</v>
      </c>
      <c r="T112" s="198">
        <v>0</v>
      </c>
      <c r="U112" s="198">
        <v>1226.3</v>
      </c>
      <c r="V112" s="198">
        <v>0</v>
      </c>
      <c r="W112" s="198">
        <v>0</v>
      </c>
      <c r="X112" s="198">
        <v>0</v>
      </c>
      <c r="Y112" s="198">
        <v>0</v>
      </c>
      <c r="Z112" s="198">
        <v>0</v>
      </c>
      <c r="AA112" s="198">
        <v>320.7</v>
      </c>
      <c r="AB112" s="198">
        <v>0</v>
      </c>
      <c r="AC112" s="198">
        <v>0</v>
      </c>
      <c r="AD112" s="198">
        <v>0</v>
      </c>
      <c r="AE112" s="198">
        <v>535</v>
      </c>
      <c r="AF112" s="198">
        <v>0</v>
      </c>
      <c r="AG112" s="198">
        <v>805.6</v>
      </c>
      <c r="AH112" s="198">
        <v>57.5</v>
      </c>
      <c r="AI112" s="198">
        <v>0</v>
      </c>
      <c r="AJ112" s="198">
        <v>85.5</v>
      </c>
      <c r="AK112" s="198">
        <v>384.4</v>
      </c>
      <c r="AL112" s="198">
        <v>0</v>
      </c>
      <c r="AM112" s="198">
        <v>0</v>
      </c>
      <c r="AN112" s="198">
        <v>0</v>
      </c>
      <c r="AO112" s="198">
        <v>0</v>
      </c>
      <c r="AP112" s="198">
        <v>0</v>
      </c>
      <c r="AQ112" s="198">
        <v>0</v>
      </c>
      <c r="AR112" s="198">
        <v>0</v>
      </c>
      <c r="AS112" s="198">
        <v>0</v>
      </c>
      <c r="AT112" s="198">
        <v>0</v>
      </c>
      <c r="AU112" s="198">
        <v>0</v>
      </c>
      <c r="AV112" s="198">
        <v>0</v>
      </c>
      <c r="AW112" s="198">
        <v>0</v>
      </c>
      <c r="AX112" s="198">
        <v>0</v>
      </c>
      <c r="AY112" s="198">
        <v>0</v>
      </c>
      <c r="AZ112" s="198">
        <v>0</v>
      </c>
      <c r="BA112" s="198">
        <v>0</v>
      </c>
      <c r="BB112" s="198">
        <v>0</v>
      </c>
      <c r="BC112" s="198">
        <v>0</v>
      </c>
      <c r="BD112" s="198">
        <v>0</v>
      </c>
      <c r="BE112" s="198">
        <v>0</v>
      </c>
      <c r="BF112" s="198">
        <v>0</v>
      </c>
      <c r="BG112" s="198">
        <v>0</v>
      </c>
      <c r="BH112" s="198">
        <v>0</v>
      </c>
      <c r="BI112" s="198">
        <v>0</v>
      </c>
      <c r="BJ112" s="198">
        <v>0</v>
      </c>
      <c r="BK112" s="198">
        <v>0</v>
      </c>
      <c r="BL112" s="198">
        <v>0</v>
      </c>
      <c r="BM112" s="198">
        <v>0</v>
      </c>
      <c r="BN112" s="198">
        <v>0</v>
      </c>
      <c r="BO112" s="198">
        <v>0</v>
      </c>
      <c r="BP112" s="198">
        <v>0</v>
      </c>
      <c r="BQ112" s="198">
        <v>0</v>
      </c>
      <c r="BR112" s="198">
        <v>0</v>
      </c>
      <c r="BS112" s="198">
        <v>0</v>
      </c>
      <c r="BT112" s="198">
        <v>0</v>
      </c>
      <c r="BU112" s="198">
        <v>0</v>
      </c>
      <c r="BV112" s="198">
        <v>0</v>
      </c>
      <c r="BW112" s="198">
        <v>0</v>
      </c>
      <c r="BX112" s="198">
        <v>0</v>
      </c>
      <c r="BY112" s="198">
        <v>0</v>
      </c>
      <c r="BZ112" s="198">
        <v>0</v>
      </c>
      <c r="CA112" s="198">
        <v>0</v>
      </c>
      <c r="CB112" s="198">
        <v>0</v>
      </c>
      <c r="CC112" s="198">
        <v>0</v>
      </c>
      <c r="CD112" s="198">
        <v>0</v>
      </c>
      <c r="CE112" s="198">
        <v>0</v>
      </c>
      <c r="CF112" s="198">
        <v>0</v>
      </c>
      <c r="CG112" s="198">
        <v>0</v>
      </c>
      <c r="CH112" s="198">
        <v>0</v>
      </c>
      <c r="CI112" s="198">
        <v>0</v>
      </c>
      <c r="CJ112" s="198">
        <v>0</v>
      </c>
      <c r="CK112" s="88"/>
    </row>
    <row r="113" spans="1:89" x14ac:dyDescent="0.3">
      <c r="A113" s="173"/>
      <c r="B113" s="204" t="s">
        <v>227</v>
      </c>
      <c r="C113" s="198">
        <v>0</v>
      </c>
      <c r="D113" s="198">
        <v>0</v>
      </c>
      <c r="E113" s="198">
        <v>0</v>
      </c>
      <c r="F113" s="198">
        <v>0</v>
      </c>
      <c r="G113" s="198">
        <v>0</v>
      </c>
      <c r="H113" s="198">
        <v>0</v>
      </c>
      <c r="I113" s="198">
        <v>0</v>
      </c>
      <c r="J113" s="198">
        <v>0</v>
      </c>
      <c r="K113" s="198">
        <v>0</v>
      </c>
      <c r="L113" s="198">
        <v>0</v>
      </c>
      <c r="M113" s="198">
        <v>0</v>
      </c>
      <c r="N113" s="198">
        <v>0</v>
      </c>
      <c r="O113" s="198">
        <v>0</v>
      </c>
      <c r="P113" s="198">
        <v>0</v>
      </c>
      <c r="Q113" s="198">
        <v>0</v>
      </c>
      <c r="R113" s="198">
        <v>0</v>
      </c>
      <c r="S113" s="198">
        <v>0</v>
      </c>
      <c r="T113" s="198">
        <v>0</v>
      </c>
      <c r="U113" s="198">
        <v>0</v>
      </c>
      <c r="V113" s="198">
        <v>178.3</v>
      </c>
      <c r="W113" s="198">
        <v>0</v>
      </c>
      <c r="X113" s="198">
        <v>0</v>
      </c>
      <c r="Y113" s="198">
        <v>0</v>
      </c>
      <c r="Z113" s="198">
        <v>0</v>
      </c>
      <c r="AA113" s="198">
        <v>0</v>
      </c>
      <c r="AB113" s="198">
        <v>265.5</v>
      </c>
      <c r="AC113" s="198">
        <v>77.2</v>
      </c>
      <c r="AD113" s="198">
        <v>947.1</v>
      </c>
      <c r="AE113" s="198">
        <v>0</v>
      </c>
      <c r="AF113" s="198">
        <v>1235.8</v>
      </c>
      <c r="AG113" s="198">
        <v>941.6</v>
      </c>
      <c r="AH113" s="198">
        <v>0</v>
      </c>
      <c r="AI113" s="198">
        <v>555.1</v>
      </c>
      <c r="AJ113" s="198">
        <v>0</v>
      </c>
      <c r="AK113" s="198">
        <v>51.4</v>
      </c>
      <c r="AL113" s="198">
        <v>140.80000000000001</v>
      </c>
      <c r="AM113" s="198">
        <v>142.5</v>
      </c>
      <c r="AN113" s="198">
        <v>821</v>
      </c>
      <c r="AO113" s="198">
        <v>712.5</v>
      </c>
      <c r="AP113" s="198">
        <v>408.1</v>
      </c>
      <c r="AQ113" s="198">
        <v>0</v>
      </c>
      <c r="AR113" s="198">
        <v>0</v>
      </c>
      <c r="AS113" s="198">
        <v>0</v>
      </c>
      <c r="AT113" s="198">
        <v>0</v>
      </c>
      <c r="AU113" s="198">
        <v>0</v>
      </c>
      <c r="AV113" s="198">
        <v>159.30000000000001</v>
      </c>
      <c r="AW113" s="198">
        <v>0</v>
      </c>
      <c r="AX113" s="198">
        <v>0</v>
      </c>
      <c r="AY113" s="198">
        <v>0</v>
      </c>
      <c r="AZ113" s="198">
        <v>0</v>
      </c>
      <c r="BA113" s="198">
        <v>0</v>
      </c>
      <c r="BB113" s="198">
        <v>74.900000000000006</v>
      </c>
      <c r="BC113" s="198">
        <v>1265.2</v>
      </c>
      <c r="BD113" s="198">
        <v>0</v>
      </c>
      <c r="BE113" s="198">
        <v>0</v>
      </c>
      <c r="BF113" s="198">
        <v>0</v>
      </c>
      <c r="BG113" s="198">
        <v>0</v>
      </c>
      <c r="BH113" s="198">
        <v>0</v>
      </c>
      <c r="BI113" s="198">
        <v>0</v>
      </c>
      <c r="BJ113" s="198">
        <v>0</v>
      </c>
      <c r="BK113" s="198">
        <v>0</v>
      </c>
      <c r="BL113" s="198">
        <v>0</v>
      </c>
      <c r="BM113" s="198">
        <v>0</v>
      </c>
      <c r="BN113" s="198">
        <v>0</v>
      </c>
      <c r="BO113" s="198">
        <v>0</v>
      </c>
      <c r="BP113" s="198">
        <v>0</v>
      </c>
      <c r="BQ113" s="198">
        <v>0</v>
      </c>
      <c r="BR113" s="198">
        <v>0</v>
      </c>
      <c r="BS113" s="198">
        <v>0</v>
      </c>
      <c r="BT113" s="198">
        <v>0</v>
      </c>
      <c r="BU113" s="198">
        <v>0</v>
      </c>
      <c r="BV113" s="198">
        <v>0</v>
      </c>
      <c r="BW113" s="198">
        <v>0</v>
      </c>
      <c r="BX113" s="198">
        <v>0</v>
      </c>
      <c r="BY113" s="198">
        <v>0</v>
      </c>
      <c r="BZ113" s="198">
        <v>0</v>
      </c>
      <c r="CA113" s="198">
        <v>0</v>
      </c>
      <c r="CB113" s="198">
        <v>0</v>
      </c>
      <c r="CC113" s="198">
        <v>0</v>
      </c>
      <c r="CD113" s="198">
        <v>0</v>
      </c>
      <c r="CE113" s="198">
        <v>0</v>
      </c>
      <c r="CF113" s="198">
        <v>0</v>
      </c>
      <c r="CG113" s="198">
        <v>0</v>
      </c>
      <c r="CH113" s="198">
        <v>0</v>
      </c>
      <c r="CI113" s="198">
        <v>0</v>
      </c>
      <c r="CJ113" s="198">
        <v>0</v>
      </c>
      <c r="CK113" s="88"/>
    </row>
    <row r="114" spans="1:89" x14ac:dyDescent="0.3">
      <c r="A114" s="173"/>
      <c r="B114" s="204" t="s">
        <v>204</v>
      </c>
      <c r="C114" s="198">
        <v>0</v>
      </c>
      <c r="D114" s="198">
        <v>0</v>
      </c>
      <c r="E114" s="198">
        <v>0</v>
      </c>
      <c r="F114" s="198">
        <v>0</v>
      </c>
      <c r="G114" s="198">
        <v>0</v>
      </c>
      <c r="H114" s="198">
        <v>0</v>
      </c>
      <c r="I114" s="198">
        <v>0</v>
      </c>
      <c r="J114" s="198">
        <v>0</v>
      </c>
      <c r="K114" s="198">
        <v>0</v>
      </c>
      <c r="L114" s="198">
        <v>0</v>
      </c>
      <c r="M114" s="198">
        <v>0</v>
      </c>
      <c r="N114" s="198">
        <v>0</v>
      </c>
      <c r="O114" s="198">
        <v>0</v>
      </c>
      <c r="P114" s="198">
        <v>0</v>
      </c>
      <c r="Q114" s="198">
        <v>859.2</v>
      </c>
      <c r="R114" s="198">
        <v>0</v>
      </c>
      <c r="S114" s="198">
        <v>1396.2</v>
      </c>
      <c r="T114" s="198">
        <v>0</v>
      </c>
      <c r="U114" s="198">
        <v>2860.4</v>
      </c>
      <c r="V114" s="198">
        <v>0</v>
      </c>
      <c r="W114" s="198">
        <v>0</v>
      </c>
      <c r="X114" s="198">
        <v>0</v>
      </c>
      <c r="Y114" s="198">
        <v>0</v>
      </c>
      <c r="Z114" s="198">
        <v>0</v>
      </c>
      <c r="AA114" s="198">
        <v>0</v>
      </c>
      <c r="AB114" s="198">
        <v>0</v>
      </c>
      <c r="AC114" s="198">
        <v>0</v>
      </c>
      <c r="AD114" s="198">
        <v>0</v>
      </c>
      <c r="AE114" s="198">
        <v>0</v>
      </c>
      <c r="AF114" s="198">
        <v>0</v>
      </c>
      <c r="AG114" s="198">
        <v>0</v>
      </c>
      <c r="AH114" s="198">
        <v>0</v>
      </c>
      <c r="AI114" s="198">
        <v>0</v>
      </c>
      <c r="AJ114" s="198">
        <v>0</v>
      </c>
      <c r="AK114" s="198">
        <v>53.9</v>
      </c>
      <c r="AL114" s="198">
        <v>173.4</v>
      </c>
      <c r="AM114" s="198">
        <v>0</v>
      </c>
      <c r="AN114" s="198">
        <v>0</v>
      </c>
      <c r="AO114" s="198">
        <v>0</v>
      </c>
      <c r="AP114" s="198">
        <v>0</v>
      </c>
      <c r="AQ114" s="198">
        <v>0</v>
      </c>
      <c r="AR114" s="198">
        <v>0</v>
      </c>
      <c r="AS114" s="198">
        <v>0</v>
      </c>
      <c r="AT114" s="198">
        <v>0</v>
      </c>
      <c r="AU114" s="198">
        <v>0</v>
      </c>
      <c r="AV114" s="198">
        <v>0</v>
      </c>
      <c r="AW114" s="198">
        <v>0</v>
      </c>
      <c r="AX114" s="198">
        <v>0</v>
      </c>
      <c r="AY114" s="198">
        <v>0</v>
      </c>
      <c r="AZ114" s="198">
        <v>0</v>
      </c>
      <c r="BA114" s="198">
        <v>0</v>
      </c>
      <c r="BB114" s="198">
        <v>0</v>
      </c>
      <c r="BC114" s="198">
        <v>0</v>
      </c>
      <c r="BD114" s="198">
        <v>0</v>
      </c>
      <c r="BE114" s="198">
        <v>0</v>
      </c>
      <c r="BF114" s="198">
        <v>0</v>
      </c>
      <c r="BG114" s="198">
        <v>0</v>
      </c>
      <c r="BH114" s="198">
        <v>0</v>
      </c>
      <c r="BI114" s="198">
        <v>0</v>
      </c>
      <c r="BJ114" s="198">
        <v>0</v>
      </c>
      <c r="BK114" s="198">
        <v>0</v>
      </c>
      <c r="BL114" s="198">
        <v>0</v>
      </c>
      <c r="BM114" s="198">
        <v>0</v>
      </c>
      <c r="BN114" s="198">
        <v>0</v>
      </c>
      <c r="BO114" s="198">
        <v>0</v>
      </c>
      <c r="BP114" s="198">
        <v>0</v>
      </c>
      <c r="BQ114" s="198">
        <v>0</v>
      </c>
      <c r="BR114" s="198">
        <v>0</v>
      </c>
      <c r="BS114" s="198">
        <v>0</v>
      </c>
      <c r="BT114" s="198">
        <v>0</v>
      </c>
      <c r="BU114" s="198">
        <v>0</v>
      </c>
      <c r="BV114" s="198">
        <v>0</v>
      </c>
      <c r="BW114" s="198">
        <v>0</v>
      </c>
      <c r="BX114" s="198">
        <v>0</v>
      </c>
      <c r="BY114" s="198">
        <v>0</v>
      </c>
      <c r="BZ114" s="198">
        <v>0</v>
      </c>
      <c r="CA114" s="198">
        <v>0</v>
      </c>
      <c r="CB114" s="198">
        <v>0</v>
      </c>
      <c r="CC114" s="198">
        <v>0</v>
      </c>
      <c r="CD114" s="198">
        <v>0</v>
      </c>
      <c r="CE114" s="198">
        <v>0</v>
      </c>
      <c r="CF114" s="198">
        <v>0</v>
      </c>
      <c r="CG114" s="198">
        <v>0</v>
      </c>
      <c r="CH114" s="198">
        <v>0</v>
      </c>
      <c r="CI114" s="198">
        <v>0</v>
      </c>
      <c r="CJ114" s="198">
        <v>0</v>
      </c>
      <c r="CK114" s="88"/>
    </row>
    <row r="115" spans="1:89" x14ac:dyDescent="0.3">
      <c r="A115" s="173"/>
      <c r="B115" s="204" t="s">
        <v>291</v>
      </c>
      <c r="C115" s="198">
        <v>0</v>
      </c>
      <c r="D115" s="198">
        <v>0</v>
      </c>
      <c r="E115" s="198">
        <v>0</v>
      </c>
      <c r="F115" s="198">
        <v>0</v>
      </c>
      <c r="G115" s="198">
        <v>0</v>
      </c>
      <c r="H115" s="198">
        <v>0</v>
      </c>
      <c r="I115" s="198">
        <v>0</v>
      </c>
      <c r="J115" s="198">
        <v>0</v>
      </c>
      <c r="K115" s="198">
        <v>0</v>
      </c>
      <c r="L115" s="198">
        <v>0</v>
      </c>
      <c r="M115" s="198">
        <v>0</v>
      </c>
      <c r="N115" s="198">
        <v>0</v>
      </c>
      <c r="O115" s="198">
        <v>0</v>
      </c>
      <c r="P115" s="198">
        <v>0</v>
      </c>
      <c r="Q115" s="198">
        <v>0</v>
      </c>
      <c r="R115" s="198">
        <v>0</v>
      </c>
      <c r="S115" s="198">
        <v>0</v>
      </c>
      <c r="T115" s="198">
        <v>0</v>
      </c>
      <c r="U115" s="198">
        <v>0</v>
      </c>
      <c r="V115" s="198">
        <v>0</v>
      </c>
      <c r="W115" s="198">
        <v>0</v>
      </c>
      <c r="X115" s="198">
        <v>0</v>
      </c>
      <c r="Y115" s="198">
        <v>0</v>
      </c>
      <c r="Z115" s="198">
        <v>0</v>
      </c>
      <c r="AA115" s="198">
        <v>0</v>
      </c>
      <c r="AB115" s="198">
        <v>984.4</v>
      </c>
      <c r="AC115" s="198">
        <v>0</v>
      </c>
      <c r="AD115" s="198">
        <v>0</v>
      </c>
      <c r="AE115" s="198">
        <v>0</v>
      </c>
      <c r="AF115" s="198">
        <v>0</v>
      </c>
      <c r="AG115" s="198">
        <v>0</v>
      </c>
      <c r="AH115" s="198">
        <v>0</v>
      </c>
      <c r="AI115" s="198">
        <v>273.39999999999998</v>
      </c>
      <c r="AJ115" s="198">
        <v>0</v>
      </c>
      <c r="AK115" s="198">
        <v>0</v>
      </c>
      <c r="AL115" s="198">
        <v>0</v>
      </c>
      <c r="AM115" s="198">
        <v>259.8</v>
      </c>
      <c r="AN115" s="198">
        <v>0</v>
      </c>
      <c r="AO115" s="198">
        <v>1125.9000000000001</v>
      </c>
      <c r="AP115" s="198">
        <v>1424.4</v>
      </c>
      <c r="AQ115" s="198">
        <v>0</v>
      </c>
      <c r="AR115" s="198">
        <v>0</v>
      </c>
      <c r="AS115" s="198">
        <v>0</v>
      </c>
      <c r="AT115" s="198">
        <v>0</v>
      </c>
      <c r="AU115" s="198">
        <v>0</v>
      </c>
      <c r="AV115" s="198">
        <v>85.4</v>
      </c>
      <c r="AW115" s="198">
        <v>0</v>
      </c>
      <c r="AX115" s="198">
        <v>0</v>
      </c>
      <c r="AY115" s="198">
        <v>0</v>
      </c>
      <c r="AZ115" s="198">
        <v>0</v>
      </c>
      <c r="BA115" s="198">
        <v>0</v>
      </c>
      <c r="BB115" s="198">
        <v>0</v>
      </c>
      <c r="BC115" s="198">
        <v>0</v>
      </c>
      <c r="BD115" s="198">
        <v>0</v>
      </c>
      <c r="BE115" s="198">
        <v>766.8</v>
      </c>
      <c r="BF115" s="198">
        <v>63.1</v>
      </c>
      <c r="BG115" s="198">
        <v>0</v>
      </c>
      <c r="BH115" s="198">
        <v>0</v>
      </c>
      <c r="BI115" s="198">
        <v>0</v>
      </c>
      <c r="BJ115" s="198">
        <v>0</v>
      </c>
      <c r="BK115" s="198">
        <v>0</v>
      </c>
      <c r="BL115" s="198">
        <v>0</v>
      </c>
      <c r="BM115" s="198">
        <v>0</v>
      </c>
      <c r="BN115" s="198">
        <v>0</v>
      </c>
      <c r="BO115" s="198">
        <v>0</v>
      </c>
      <c r="BP115" s="198">
        <v>0</v>
      </c>
      <c r="BQ115" s="198">
        <v>0</v>
      </c>
      <c r="BR115" s="198">
        <v>0</v>
      </c>
      <c r="BS115" s="198">
        <v>0</v>
      </c>
      <c r="BT115" s="198">
        <v>0</v>
      </c>
      <c r="BU115" s="198">
        <v>0</v>
      </c>
      <c r="BV115" s="198">
        <v>0</v>
      </c>
      <c r="BW115" s="198">
        <v>0</v>
      </c>
      <c r="BX115" s="198">
        <v>0</v>
      </c>
      <c r="BY115" s="198">
        <v>0</v>
      </c>
      <c r="BZ115" s="198">
        <v>0</v>
      </c>
      <c r="CA115" s="198">
        <v>0</v>
      </c>
      <c r="CB115" s="198">
        <v>0</v>
      </c>
      <c r="CC115" s="198">
        <v>0</v>
      </c>
      <c r="CD115" s="198">
        <v>0</v>
      </c>
      <c r="CE115" s="198">
        <v>0</v>
      </c>
      <c r="CF115" s="198">
        <v>0</v>
      </c>
      <c r="CG115" s="198">
        <v>0</v>
      </c>
      <c r="CH115" s="198">
        <v>0</v>
      </c>
      <c r="CI115" s="198">
        <v>0</v>
      </c>
      <c r="CJ115" s="198">
        <v>0</v>
      </c>
      <c r="CK115" s="88"/>
    </row>
    <row r="116" spans="1:89" x14ac:dyDescent="0.3">
      <c r="A116" s="173"/>
      <c r="B116" s="204" t="s">
        <v>324</v>
      </c>
      <c r="C116" s="198">
        <v>0</v>
      </c>
      <c r="D116" s="198">
        <v>0</v>
      </c>
      <c r="E116" s="198">
        <v>0</v>
      </c>
      <c r="F116" s="198">
        <v>0</v>
      </c>
      <c r="G116" s="198">
        <v>0</v>
      </c>
      <c r="H116" s="198">
        <v>0</v>
      </c>
      <c r="I116" s="198">
        <v>0</v>
      </c>
      <c r="J116" s="198">
        <v>0</v>
      </c>
      <c r="K116" s="198">
        <v>0</v>
      </c>
      <c r="L116" s="198">
        <v>0</v>
      </c>
      <c r="M116" s="198">
        <v>0</v>
      </c>
      <c r="N116" s="198">
        <v>0</v>
      </c>
      <c r="O116" s="198">
        <v>0</v>
      </c>
      <c r="P116" s="198">
        <v>0</v>
      </c>
      <c r="Q116" s="198">
        <v>0</v>
      </c>
      <c r="R116" s="198">
        <v>0</v>
      </c>
      <c r="S116" s="198">
        <v>0</v>
      </c>
      <c r="T116" s="198">
        <v>0</v>
      </c>
      <c r="U116" s="198">
        <v>0</v>
      </c>
      <c r="V116" s="198">
        <v>0</v>
      </c>
      <c r="W116" s="198">
        <v>0</v>
      </c>
      <c r="X116" s="198">
        <v>0</v>
      </c>
      <c r="Y116" s="198">
        <v>0</v>
      </c>
      <c r="Z116" s="198">
        <v>0</v>
      </c>
      <c r="AA116" s="198">
        <v>0</v>
      </c>
      <c r="AB116" s="198">
        <v>0</v>
      </c>
      <c r="AC116" s="198">
        <v>0</v>
      </c>
      <c r="AD116" s="198">
        <v>0</v>
      </c>
      <c r="AE116" s="198">
        <v>0</v>
      </c>
      <c r="AF116" s="198">
        <v>0</v>
      </c>
      <c r="AG116" s="198">
        <v>0</v>
      </c>
      <c r="AH116" s="198">
        <v>0</v>
      </c>
      <c r="AI116" s="198">
        <v>0</v>
      </c>
      <c r="AJ116" s="198">
        <v>0</v>
      </c>
      <c r="AK116" s="198">
        <v>0</v>
      </c>
      <c r="AL116" s="198">
        <v>0</v>
      </c>
      <c r="AM116" s="198">
        <v>0</v>
      </c>
      <c r="AN116" s="198">
        <v>0</v>
      </c>
      <c r="AO116" s="198">
        <v>0</v>
      </c>
      <c r="AP116" s="198">
        <v>0</v>
      </c>
      <c r="AQ116" s="198">
        <v>398.2</v>
      </c>
      <c r="AR116" s="198">
        <v>0</v>
      </c>
      <c r="AS116" s="198">
        <v>0</v>
      </c>
      <c r="AT116" s="198">
        <v>0</v>
      </c>
      <c r="AU116" s="198">
        <v>0</v>
      </c>
      <c r="AV116" s="198">
        <v>0</v>
      </c>
      <c r="AW116" s="198">
        <v>0</v>
      </c>
      <c r="AX116" s="198">
        <v>0</v>
      </c>
      <c r="AY116" s="198">
        <v>0</v>
      </c>
      <c r="AZ116" s="198">
        <v>0</v>
      </c>
      <c r="BA116" s="198">
        <v>0</v>
      </c>
      <c r="BB116" s="198">
        <v>0</v>
      </c>
      <c r="BC116" s="198">
        <v>0</v>
      </c>
      <c r="BD116" s="198">
        <v>0</v>
      </c>
      <c r="BE116" s="198">
        <v>0</v>
      </c>
      <c r="BF116" s="198">
        <v>0</v>
      </c>
      <c r="BG116" s="198">
        <v>0</v>
      </c>
      <c r="BH116" s="198">
        <v>0</v>
      </c>
      <c r="BI116" s="198">
        <v>0</v>
      </c>
      <c r="BJ116" s="198">
        <v>0</v>
      </c>
      <c r="BK116" s="198">
        <v>1045.5999999999999</v>
      </c>
      <c r="BL116" s="198">
        <v>1323.7</v>
      </c>
      <c r="BM116" s="198">
        <v>0</v>
      </c>
      <c r="BN116" s="198">
        <v>0</v>
      </c>
      <c r="BO116" s="198">
        <v>0</v>
      </c>
      <c r="BP116" s="198">
        <v>0</v>
      </c>
      <c r="BQ116" s="198">
        <v>0</v>
      </c>
      <c r="BR116" s="198">
        <v>0</v>
      </c>
      <c r="BS116" s="198">
        <v>0</v>
      </c>
      <c r="BT116" s="198">
        <v>0</v>
      </c>
      <c r="BU116" s="198">
        <v>0</v>
      </c>
      <c r="BV116" s="198">
        <v>0</v>
      </c>
      <c r="BW116" s="198">
        <v>0</v>
      </c>
      <c r="BX116" s="198">
        <v>0</v>
      </c>
      <c r="BY116" s="198">
        <v>0</v>
      </c>
      <c r="BZ116" s="198">
        <v>0</v>
      </c>
      <c r="CA116" s="198">
        <v>0</v>
      </c>
      <c r="CB116" s="198">
        <v>0</v>
      </c>
      <c r="CC116" s="198">
        <v>0</v>
      </c>
      <c r="CD116" s="198">
        <v>0</v>
      </c>
      <c r="CE116" s="198">
        <v>0</v>
      </c>
      <c r="CF116" s="198">
        <v>0</v>
      </c>
      <c r="CG116" s="198">
        <v>0</v>
      </c>
      <c r="CH116" s="198">
        <v>0</v>
      </c>
      <c r="CI116" s="198">
        <v>0</v>
      </c>
      <c r="CJ116" s="198">
        <v>0</v>
      </c>
      <c r="CK116" s="88"/>
    </row>
    <row r="117" spans="1:89" x14ac:dyDescent="0.3">
      <c r="A117" s="173"/>
      <c r="B117" s="204" t="s">
        <v>232</v>
      </c>
      <c r="C117" s="198">
        <v>0</v>
      </c>
      <c r="D117" s="198">
        <v>0</v>
      </c>
      <c r="E117" s="198">
        <v>0</v>
      </c>
      <c r="F117" s="198">
        <v>0</v>
      </c>
      <c r="G117" s="198">
        <v>0</v>
      </c>
      <c r="H117" s="198">
        <v>0</v>
      </c>
      <c r="I117" s="198">
        <v>0</v>
      </c>
      <c r="J117" s="198">
        <v>0</v>
      </c>
      <c r="K117" s="198">
        <v>0</v>
      </c>
      <c r="L117" s="198">
        <v>0</v>
      </c>
      <c r="M117" s="198">
        <v>0</v>
      </c>
      <c r="N117" s="198">
        <v>0</v>
      </c>
      <c r="O117" s="198">
        <v>0</v>
      </c>
      <c r="P117" s="198">
        <v>0</v>
      </c>
      <c r="Q117" s="198">
        <v>0</v>
      </c>
      <c r="R117" s="198">
        <v>0</v>
      </c>
      <c r="S117" s="198">
        <v>0</v>
      </c>
      <c r="T117" s="198">
        <v>0</v>
      </c>
      <c r="U117" s="198">
        <v>0</v>
      </c>
      <c r="V117" s="198">
        <v>0</v>
      </c>
      <c r="W117" s="198">
        <v>760.1</v>
      </c>
      <c r="X117" s="198">
        <v>0</v>
      </c>
      <c r="Y117" s="198">
        <v>3.5</v>
      </c>
      <c r="Z117" s="198">
        <v>0.5</v>
      </c>
      <c r="AA117" s="198">
        <v>3.7</v>
      </c>
      <c r="AB117" s="198">
        <v>0.8</v>
      </c>
      <c r="AC117" s="198">
        <v>98.6</v>
      </c>
      <c r="AD117" s="198">
        <v>0.8</v>
      </c>
      <c r="AE117" s="198">
        <v>0.6</v>
      </c>
      <c r="AF117" s="198">
        <v>0</v>
      </c>
      <c r="AG117" s="198">
        <v>25.4</v>
      </c>
      <c r="AH117" s="198">
        <v>0</v>
      </c>
      <c r="AI117" s="198">
        <v>0</v>
      </c>
      <c r="AJ117" s="198">
        <v>6</v>
      </c>
      <c r="AK117" s="198">
        <v>0.9</v>
      </c>
      <c r="AL117" s="198">
        <v>1.9</v>
      </c>
      <c r="AM117" s="198">
        <v>0.7</v>
      </c>
      <c r="AN117" s="198">
        <v>0.7</v>
      </c>
      <c r="AO117" s="198">
        <v>1494.1</v>
      </c>
      <c r="AP117" s="198">
        <v>314.60000000000002</v>
      </c>
      <c r="AQ117" s="198">
        <v>80.900000000000006</v>
      </c>
      <c r="AR117" s="198">
        <v>0</v>
      </c>
      <c r="AS117" s="198">
        <v>0</v>
      </c>
      <c r="AT117" s="198">
        <v>0</v>
      </c>
      <c r="AU117" s="198">
        <v>0</v>
      </c>
      <c r="AV117" s="198">
        <v>227.4</v>
      </c>
      <c r="AW117" s="198">
        <v>0</v>
      </c>
      <c r="AX117" s="198">
        <v>0</v>
      </c>
      <c r="AY117" s="198">
        <v>0</v>
      </c>
      <c r="AZ117" s="198">
        <v>0</v>
      </c>
      <c r="BA117" s="198">
        <v>0</v>
      </c>
      <c r="BB117" s="198">
        <v>0</v>
      </c>
      <c r="BC117" s="198">
        <v>0</v>
      </c>
      <c r="BD117" s="198">
        <v>0</v>
      </c>
      <c r="BE117" s="198">
        <v>0</v>
      </c>
      <c r="BF117" s="198">
        <v>0</v>
      </c>
      <c r="BG117" s="198">
        <v>0</v>
      </c>
      <c r="BH117" s="198">
        <v>2307.8000000000002</v>
      </c>
      <c r="BI117" s="198">
        <v>0</v>
      </c>
      <c r="BJ117" s="198">
        <v>170</v>
      </c>
      <c r="BK117" s="198">
        <v>0</v>
      </c>
      <c r="BL117" s="198">
        <v>0</v>
      </c>
      <c r="BM117" s="198">
        <v>0</v>
      </c>
      <c r="BN117" s="198">
        <v>0</v>
      </c>
      <c r="BO117" s="198">
        <v>0</v>
      </c>
      <c r="BP117" s="198">
        <v>0</v>
      </c>
      <c r="BQ117" s="198">
        <v>0</v>
      </c>
      <c r="BR117" s="198">
        <v>0</v>
      </c>
      <c r="BS117" s="198">
        <v>0</v>
      </c>
      <c r="BT117" s="198">
        <v>0</v>
      </c>
      <c r="BU117" s="198">
        <v>0</v>
      </c>
      <c r="BV117" s="198">
        <v>0</v>
      </c>
      <c r="BW117" s="198">
        <v>0</v>
      </c>
      <c r="BX117" s="198">
        <v>0</v>
      </c>
      <c r="BY117" s="198">
        <v>0</v>
      </c>
      <c r="BZ117" s="198">
        <v>0</v>
      </c>
      <c r="CA117" s="198">
        <v>0</v>
      </c>
      <c r="CB117" s="198">
        <v>0</v>
      </c>
      <c r="CC117" s="198">
        <v>0</v>
      </c>
      <c r="CD117" s="198">
        <v>0</v>
      </c>
      <c r="CE117" s="198">
        <v>0</v>
      </c>
      <c r="CF117" s="198">
        <v>0</v>
      </c>
      <c r="CG117" s="198">
        <v>0</v>
      </c>
      <c r="CH117" s="198">
        <v>0</v>
      </c>
      <c r="CI117" s="198">
        <v>0</v>
      </c>
      <c r="CJ117" s="198">
        <v>0</v>
      </c>
      <c r="CK117" s="88"/>
    </row>
    <row r="118" spans="1:89" x14ac:dyDescent="0.3">
      <c r="A118" s="173"/>
      <c r="B118" s="204" t="s">
        <v>231</v>
      </c>
      <c r="C118" s="198">
        <v>0</v>
      </c>
      <c r="D118" s="198">
        <v>0</v>
      </c>
      <c r="E118" s="198">
        <v>0</v>
      </c>
      <c r="F118" s="198">
        <v>0</v>
      </c>
      <c r="G118" s="198">
        <v>0</v>
      </c>
      <c r="H118" s="198">
        <v>0</v>
      </c>
      <c r="I118" s="198">
        <v>0</v>
      </c>
      <c r="J118" s="198">
        <v>0</v>
      </c>
      <c r="K118" s="198">
        <v>0</v>
      </c>
      <c r="L118" s="198">
        <v>0</v>
      </c>
      <c r="M118" s="198">
        <v>0</v>
      </c>
      <c r="N118" s="198">
        <v>0</v>
      </c>
      <c r="O118" s="198">
        <v>0</v>
      </c>
      <c r="P118" s="198">
        <v>0</v>
      </c>
      <c r="Q118" s="198">
        <v>0</v>
      </c>
      <c r="R118" s="198">
        <v>0</v>
      </c>
      <c r="S118" s="198">
        <v>0</v>
      </c>
      <c r="T118" s="198">
        <v>0</v>
      </c>
      <c r="U118" s="198">
        <v>0</v>
      </c>
      <c r="V118" s="198">
        <v>0</v>
      </c>
      <c r="W118" s="198">
        <v>25.5</v>
      </c>
      <c r="X118" s="198">
        <v>0</v>
      </c>
      <c r="Y118" s="198">
        <v>0</v>
      </c>
      <c r="Z118" s="198">
        <v>0.1</v>
      </c>
      <c r="AA118" s="198">
        <v>0</v>
      </c>
      <c r="AB118" s="198">
        <v>0</v>
      </c>
      <c r="AC118" s="198">
        <v>98.4</v>
      </c>
      <c r="AD118" s="198">
        <v>0</v>
      </c>
      <c r="AE118" s="198">
        <v>0</v>
      </c>
      <c r="AF118" s="198">
        <v>0</v>
      </c>
      <c r="AG118" s="198">
        <v>0</v>
      </c>
      <c r="AH118" s="198">
        <v>0</v>
      </c>
      <c r="AI118" s="198">
        <v>0</v>
      </c>
      <c r="AJ118" s="198">
        <v>0</v>
      </c>
      <c r="AK118" s="198">
        <v>0</v>
      </c>
      <c r="AL118" s="198">
        <v>0</v>
      </c>
      <c r="AM118" s="198">
        <v>0</v>
      </c>
      <c r="AN118" s="198">
        <v>0</v>
      </c>
      <c r="AO118" s="198">
        <v>967.1</v>
      </c>
      <c r="AP118" s="198">
        <v>0.1</v>
      </c>
      <c r="AQ118" s="198">
        <v>0</v>
      </c>
      <c r="AR118" s="198">
        <v>0</v>
      </c>
      <c r="AS118" s="198">
        <v>0</v>
      </c>
      <c r="AT118" s="198">
        <v>0</v>
      </c>
      <c r="AU118" s="198">
        <v>0</v>
      </c>
      <c r="AV118" s="198">
        <v>173.7</v>
      </c>
      <c r="AW118" s="198">
        <v>0</v>
      </c>
      <c r="AX118" s="198">
        <v>0</v>
      </c>
      <c r="AY118" s="198">
        <v>0</v>
      </c>
      <c r="AZ118" s="198">
        <v>0</v>
      </c>
      <c r="BA118" s="198">
        <v>0</v>
      </c>
      <c r="BB118" s="198">
        <v>0</v>
      </c>
      <c r="BC118" s="198">
        <v>0</v>
      </c>
      <c r="BD118" s="198">
        <v>0</v>
      </c>
      <c r="BE118" s="198">
        <v>0</v>
      </c>
      <c r="BF118" s="198">
        <v>0</v>
      </c>
      <c r="BG118" s="198">
        <v>0</v>
      </c>
      <c r="BH118" s="198">
        <v>0</v>
      </c>
      <c r="BI118" s="198">
        <v>0</v>
      </c>
      <c r="BJ118" s="198">
        <v>74.400000000000006</v>
      </c>
      <c r="BK118" s="198">
        <v>0</v>
      </c>
      <c r="BL118" s="198">
        <v>0</v>
      </c>
      <c r="BM118" s="198">
        <v>0</v>
      </c>
      <c r="BN118" s="198">
        <v>0</v>
      </c>
      <c r="BO118" s="198">
        <v>0</v>
      </c>
      <c r="BP118" s="198">
        <v>0</v>
      </c>
      <c r="BQ118" s="198">
        <v>0</v>
      </c>
      <c r="BR118" s="198">
        <v>0</v>
      </c>
      <c r="BS118" s="198">
        <v>0</v>
      </c>
      <c r="BT118" s="198">
        <v>0</v>
      </c>
      <c r="BU118" s="198">
        <v>0</v>
      </c>
      <c r="BV118" s="198">
        <v>0</v>
      </c>
      <c r="BW118" s="198">
        <v>0</v>
      </c>
      <c r="BX118" s="198">
        <v>0</v>
      </c>
      <c r="BY118" s="198">
        <v>0</v>
      </c>
      <c r="BZ118" s="198">
        <v>0</v>
      </c>
      <c r="CA118" s="198">
        <v>0</v>
      </c>
      <c r="CB118" s="198">
        <v>0</v>
      </c>
      <c r="CC118" s="198">
        <v>0</v>
      </c>
      <c r="CD118" s="198">
        <v>0</v>
      </c>
      <c r="CE118" s="198">
        <v>0</v>
      </c>
      <c r="CF118" s="198">
        <v>0</v>
      </c>
      <c r="CG118" s="198">
        <v>0</v>
      </c>
      <c r="CH118" s="198">
        <v>0</v>
      </c>
      <c r="CI118" s="198">
        <v>0</v>
      </c>
      <c r="CJ118" s="198">
        <v>0</v>
      </c>
      <c r="CK118" s="88"/>
    </row>
    <row r="119" spans="1:89" x14ac:dyDescent="0.3">
      <c r="A119" s="173"/>
      <c r="B119" s="197" t="s">
        <v>75</v>
      </c>
      <c r="C119" s="198">
        <v>0</v>
      </c>
      <c r="D119" s="198">
        <v>781.5</v>
      </c>
      <c r="E119" s="198">
        <v>0</v>
      </c>
      <c r="F119" s="198">
        <v>1384.5</v>
      </c>
      <c r="G119" s="198">
        <v>0</v>
      </c>
      <c r="H119" s="198">
        <v>499.2</v>
      </c>
      <c r="I119" s="198">
        <v>0</v>
      </c>
      <c r="J119" s="198">
        <v>0</v>
      </c>
      <c r="K119" s="198">
        <v>0</v>
      </c>
      <c r="L119" s="198">
        <v>0</v>
      </c>
      <c r="M119" s="198">
        <v>0</v>
      </c>
      <c r="N119" s="198">
        <v>0</v>
      </c>
      <c r="O119" s="198">
        <v>0</v>
      </c>
      <c r="P119" s="198">
        <v>0</v>
      </c>
      <c r="Q119" s="198">
        <v>0</v>
      </c>
      <c r="R119" s="198">
        <v>2.7</v>
      </c>
      <c r="S119" s="198">
        <v>0</v>
      </c>
      <c r="T119" s="198">
        <v>0</v>
      </c>
      <c r="U119" s="198">
        <v>0</v>
      </c>
      <c r="V119" s="198">
        <v>0</v>
      </c>
      <c r="W119" s="198">
        <v>0</v>
      </c>
      <c r="X119" s="198">
        <v>0</v>
      </c>
      <c r="Y119" s="198">
        <v>0</v>
      </c>
      <c r="Z119" s="198">
        <v>0</v>
      </c>
      <c r="AA119" s="198">
        <v>0</v>
      </c>
      <c r="AB119" s="198">
        <v>0</v>
      </c>
      <c r="AC119" s="198">
        <v>0</v>
      </c>
      <c r="AD119" s="198">
        <v>0</v>
      </c>
      <c r="AE119" s="198">
        <v>0</v>
      </c>
      <c r="AF119" s="198">
        <v>0</v>
      </c>
      <c r="AG119" s="198">
        <v>0</v>
      </c>
      <c r="AH119" s="198">
        <v>0</v>
      </c>
      <c r="AI119" s="198">
        <v>0</v>
      </c>
      <c r="AJ119" s="198">
        <v>0</v>
      </c>
      <c r="AK119" s="198">
        <v>0</v>
      </c>
      <c r="AL119" s="198">
        <v>0</v>
      </c>
      <c r="AM119" s="198">
        <v>0</v>
      </c>
      <c r="AN119" s="198">
        <v>0</v>
      </c>
      <c r="AO119" s="198">
        <v>0</v>
      </c>
      <c r="AP119" s="198">
        <v>0</v>
      </c>
      <c r="AQ119" s="198">
        <v>0</v>
      </c>
      <c r="AR119" s="198">
        <v>0</v>
      </c>
      <c r="AS119" s="198">
        <v>0</v>
      </c>
      <c r="AT119" s="198">
        <v>0</v>
      </c>
      <c r="AU119" s="198">
        <v>0</v>
      </c>
      <c r="AV119" s="198">
        <v>0</v>
      </c>
      <c r="AW119" s="198">
        <v>0</v>
      </c>
      <c r="AX119" s="198">
        <v>0</v>
      </c>
      <c r="AY119" s="198">
        <v>0</v>
      </c>
      <c r="AZ119" s="198">
        <v>0</v>
      </c>
      <c r="BA119" s="198">
        <v>0</v>
      </c>
      <c r="BB119" s="198">
        <v>0</v>
      </c>
      <c r="BC119" s="198">
        <v>0</v>
      </c>
      <c r="BD119" s="198">
        <v>0</v>
      </c>
      <c r="BE119" s="198">
        <v>0</v>
      </c>
      <c r="BF119" s="198">
        <v>0</v>
      </c>
      <c r="BG119" s="198">
        <v>0</v>
      </c>
      <c r="BH119" s="198">
        <v>0</v>
      </c>
      <c r="BI119" s="198">
        <v>0</v>
      </c>
      <c r="BJ119" s="198">
        <v>0</v>
      </c>
      <c r="BK119" s="198">
        <v>0</v>
      </c>
      <c r="BL119" s="198">
        <v>0</v>
      </c>
      <c r="BM119" s="198">
        <v>0</v>
      </c>
      <c r="BN119" s="198">
        <v>0</v>
      </c>
      <c r="BO119" s="198">
        <v>0</v>
      </c>
      <c r="BP119" s="198">
        <v>0</v>
      </c>
      <c r="BQ119" s="198">
        <v>0</v>
      </c>
      <c r="BR119" s="198">
        <v>0</v>
      </c>
      <c r="BS119" s="198">
        <v>0</v>
      </c>
      <c r="BT119" s="198">
        <v>0</v>
      </c>
      <c r="BU119" s="198">
        <v>0</v>
      </c>
      <c r="BV119" s="198">
        <v>0</v>
      </c>
      <c r="BW119" s="198">
        <v>0</v>
      </c>
      <c r="BX119" s="198">
        <v>0</v>
      </c>
      <c r="BY119" s="198">
        <v>0</v>
      </c>
      <c r="BZ119" s="198">
        <v>0</v>
      </c>
      <c r="CA119" s="198">
        <v>0</v>
      </c>
      <c r="CB119" s="198">
        <v>0</v>
      </c>
      <c r="CC119" s="198">
        <v>0</v>
      </c>
      <c r="CD119" s="198">
        <v>0</v>
      </c>
      <c r="CE119" s="198">
        <v>0</v>
      </c>
      <c r="CF119" s="198">
        <v>0</v>
      </c>
      <c r="CG119" s="198">
        <v>0</v>
      </c>
      <c r="CH119" s="198">
        <v>0</v>
      </c>
      <c r="CI119" s="198">
        <v>0</v>
      </c>
      <c r="CJ119" s="198">
        <v>0</v>
      </c>
      <c r="CK119" s="88"/>
    </row>
    <row r="120" spans="1:89" x14ac:dyDescent="0.3">
      <c r="A120" s="173"/>
      <c r="B120" s="204" t="s">
        <v>78</v>
      </c>
      <c r="C120" s="198">
        <v>0</v>
      </c>
      <c r="D120" s="198">
        <v>0</v>
      </c>
      <c r="E120" s="198">
        <v>1634.5</v>
      </c>
      <c r="F120" s="198">
        <v>0</v>
      </c>
      <c r="G120" s="198">
        <v>0</v>
      </c>
      <c r="H120" s="198">
        <v>0</v>
      </c>
      <c r="I120" s="198">
        <v>0</v>
      </c>
      <c r="J120" s="198">
        <v>0</v>
      </c>
      <c r="K120" s="198">
        <v>0</v>
      </c>
      <c r="L120" s="198">
        <v>0</v>
      </c>
      <c r="M120" s="198">
        <v>0</v>
      </c>
      <c r="N120" s="198">
        <v>0</v>
      </c>
      <c r="O120" s="198">
        <v>0</v>
      </c>
      <c r="P120" s="198">
        <v>0</v>
      </c>
      <c r="Q120" s="198">
        <v>0</v>
      </c>
      <c r="R120" s="198">
        <v>0</v>
      </c>
      <c r="S120" s="198">
        <v>0</v>
      </c>
      <c r="T120" s="198">
        <v>0</v>
      </c>
      <c r="U120" s="198">
        <v>0</v>
      </c>
      <c r="V120" s="198">
        <v>0</v>
      </c>
      <c r="W120" s="198">
        <v>0</v>
      </c>
      <c r="X120" s="198">
        <v>0</v>
      </c>
      <c r="Y120" s="198">
        <v>0</v>
      </c>
      <c r="Z120" s="198">
        <v>0</v>
      </c>
      <c r="AA120" s="198">
        <v>0</v>
      </c>
      <c r="AB120" s="198">
        <v>0</v>
      </c>
      <c r="AC120" s="198">
        <v>0</v>
      </c>
      <c r="AD120" s="198">
        <v>0</v>
      </c>
      <c r="AE120" s="198">
        <v>0</v>
      </c>
      <c r="AF120" s="198">
        <v>0</v>
      </c>
      <c r="AG120" s="198">
        <v>19.899999999999999</v>
      </c>
      <c r="AH120" s="198">
        <v>0</v>
      </c>
      <c r="AI120" s="198">
        <v>0</v>
      </c>
      <c r="AJ120" s="198">
        <v>0</v>
      </c>
      <c r="AK120" s="198">
        <v>0</v>
      </c>
      <c r="AL120" s="198">
        <v>0</v>
      </c>
      <c r="AM120" s="198">
        <v>0</v>
      </c>
      <c r="AN120" s="198">
        <v>0</v>
      </c>
      <c r="AO120" s="198">
        <v>0</v>
      </c>
      <c r="AP120" s="198">
        <v>0</v>
      </c>
      <c r="AQ120" s="198">
        <v>0</v>
      </c>
      <c r="AR120" s="198">
        <v>0</v>
      </c>
      <c r="AS120" s="198">
        <v>0</v>
      </c>
      <c r="AT120" s="198">
        <v>0</v>
      </c>
      <c r="AU120" s="198">
        <v>0</v>
      </c>
      <c r="AV120" s="198">
        <v>0</v>
      </c>
      <c r="AW120" s="198">
        <v>0</v>
      </c>
      <c r="AX120" s="198">
        <v>0</v>
      </c>
      <c r="AY120" s="198">
        <v>0</v>
      </c>
      <c r="AZ120" s="198">
        <v>0</v>
      </c>
      <c r="BA120" s="198">
        <v>0</v>
      </c>
      <c r="BB120" s="198">
        <v>0</v>
      </c>
      <c r="BC120" s="198">
        <v>0</v>
      </c>
      <c r="BD120" s="198">
        <v>0</v>
      </c>
      <c r="BE120" s="198">
        <v>0</v>
      </c>
      <c r="BF120" s="198">
        <v>0</v>
      </c>
      <c r="BG120" s="198">
        <v>0</v>
      </c>
      <c r="BH120" s="198">
        <v>0</v>
      </c>
      <c r="BI120" s="198">
        <v>0</v>
      </c>
      <c r="BJ120" s="198">
        <v>0</v>
      </c>
      <c r="BK120" s="198">
        <v>0</v>
      </c>
      <c r="BL120" s="198">
        <v>0</v>
      </c>
      <c r="BM120" s="198">
        <v>0</v>
      </c>
      <c r="BN120" s="198">
        <v>0</v>
      </c>
      <c r="BO120" s="198">
        <v>0</v>
      </c>
      <c r="BP120" s="198">
        <v>0</v>
      </c>
      <c r="BQ120" s="198">
        <v>0</v>
      </c>
      <c r="BR120" s="198">
        <v>0</v>
      </c>
      <c r="BS120" s="198">
        <v>0</v>
      </c>
      <c r="BT120" s="198">
        <v>0</v>
      </c>
      <c r="BU120" s="198">
        <v>0</v>
      </c>
      <c r="BV120" s="198">
        <v>0</v>
      </c>
      <c r="BW120" s="198">
        <v>0</v>
      </c>
      <c r="BX120" s="198">
        <v>0</v>
      </c>
      <c r="BY120" s="198">
        <v>0</v>
      </c>
      <c r="BZ120" s="198">
        <v>0</v>
      </c>
      <c r="CA120" s="198">
        <v>0</v>
      </c>
      <c r="CB120" s="198">
        <v>0</v>
      </c>
      <c r="CC120" s="198">
        <v>0</v>
      </c>
      <c r="CD120" s="198">
        <v>0</v>
      </c>
      <c r="CE120" s="198">
        <v>0</v>
      </c>
      <c r="CF120" s="198">
        <v>0</v>
      </c>
      <c r="CG120" s="198">
        <v>0</v>
      </c>
      <c r="CH120" s="198">
        <v>0</v>
      </c>
      <c r="CI120" s="198">
        <v>0</v>
      </c>
      <c r="CJ120" s="198">
        <v>0</v>
      </c>
      <c r="CK120" s="88"/>
    </row>
    <row r="121" spans="1:89" x14ac:dyDescent="0.3">
      <c r="A121" s="173"/>
      <c r="B121" s="204" t="s">
        <v>336</v>
      </c>
      <c r="C121" s="198">
        <v>0</v>
      </c>
      <c r="D121" s="198">
        <v>0</v>
      </c>
      <c r="E121" s="198">
        <v>0</v>
      </c>
      <c r="F121" s="198">
        <v>0</v>
      </c>
      <c r="G121" s="198">
        <v>0</v>
      </c>
      <c r="H121" s="198">
        <v>0</v>
      </c>
      <c r="I121" s="198">
        <v>0</v>
      </c>
      <c r="J121" s="198">
        <v>0</v>
      </c>
      <c r="K121" s="198">
        <v>0</v>
      </c>
      <c r="L121" s="198">
        <v>0</v>
      </c>
      <c r="M121" s="198">
        <v>0</v>
      </c>
      <c r="N121" s="198">
        <v>0</v>
      </c>
      <c r="O121" s="198">
        <v>0</v>
      </c>
      <c r="P121" s="198">
        <v>0</v>
      </c>
      <c r="Q121" s="198">
        <v>0</v>
      </c>
      <c r="R121" s="198">
        <v>0</v>
      </c>
      <c r="S121" s="198">
        <v>0</v>
      </c>
      <c r="T121" s="198">
        <v>0</v>
      </c>
      <c r="U121" s="198">
        <v>0</v>
      </c>
      <c r="V121" s="198">
        <v>0</v>
      </c>
      <c r="W121" s="198">
        <v>0</v>
      </c>
      <c r="X121" s="198">
        <v>0</v>
      </c>
      <c r="Y121" s="198">
        <v>0</v>
      </c>
      <c r="Z121" s="198">
        <v>0</v>
      </c>
      <c r="AA121" s="198">
        <v>0</v>
      </c>
      <c r="AB121" s="198">
        <v>0</v>
      </c>
      <c r="AC121" s="198">
        <v>0</v>
      </c>
      <c r="AD121" s="198">
        <v>0</v>
      </c>
      <c r="AE121" s="198">
        <v>0</v>
      </c>
      <c r="AF121" s="198">
        <v>0</v>
      </c>
      <c r="AG121" s="198">
        <v>0</v>
      </c>
      <c r="AH121" s="198">
        <v>0</v>
      </c>
      <c r="AI121" s="198">
        <v>0</v>
      </c>
      <c r="AJ121" s="198">
        <v>0</v>
      </c>
      <c r="AK121" s="198">
        <v>0</v>
      </c>
      <c r="AL121" s="198">
        <v>0</v>
      </c>
      <c r="AM121" s="198">
        <v>0</v>
      </c>
      <c r="AN121" s="198">
        <v>0</v>
      </c>
      <c r="AO121" s="198">
        <v>0</v>
      </c>
      <c r="AP121" s="198">
        <v>0</v>
      </c>
      <c r="AQ121" s="198">
        <v>0</v>
      </c>
      <c r="AR121" s="198">
        <v>0</v>
      </c>
      <c r="AS121" s="198">
        <v>0</v>
      </c>
      <c r="AT121" s="198">
        <v>0</v>
      </c>
      <c r="AU121" s="198">
        <v>0</v>
      </c>
      <c r="AV121" s="198">
        <v>0</v>
      </c>
      <c r="AW121" s="198">
        <v>0</v>
      </c>
      <c r="AX121" s="198">
        <v>0</v>
      </c>
      <c r="AY121" s="198">
        <v>0</v>
      </c>
      <c r="AZ121" s="198">
        <v>0</v>
      </c>
      <c r="BA121" s="198">
        <v>554.79999999999995</v>
      </c>
      <c r="BB121" s="198">
        <v>0</v>
      </c>
      <c r="BC121" s="198">
        <v>0</v>
      </c>
      <c r="BD121" s="198">
        <v>0</v>
      </c>
      <c r="BE121" s="198">
        <v>0</v>
      </c>
      <c r="BF121" s="198">
        <v>0</v>
      </c>
      <c r="BG121" s="198">
        <v>0</v>
      </c>
      <c r="BH121" s="198">
        <v>0</v>
      </c>
      <c r="BI121" s="198">
        <v>0</v>
      </c>
      <c r="BJ121" s="198">
        <v>0</v>
      </c>
      <c r="BK121" s="198">
        <v>0</v>
      </c>
      <c r="BL121" s="198">
        <v>0</v>
      </c>
      <c r="BM121" s="198">
        <v>0</v>
      </c>
      <c r="BN121" s="198">
        <v>0</v>
      </c>
      <c r="BO121" s="198">
        <v>0</v>
      </c>
      <c r="BP121" s="198">
        <v>0</v>
      </c>
      <c r="BQ121" s="198">
        <v>0</v>
      </c>
      <c r="BR121" s="198">
        <v>0</v>
      </c>
      <c r="BS121" s="198">
        <v>0</v>
      </c>
      <c r="BT121" s="198">
        <v>0</v>
      </c>
      <c r="BU121" s="198">
        <v>0</v>
      </c>
      <c r="BV121" s="198">
        <v>0</v>
      </c>
      <c r="BW121" s="198">
        <v>0</v>
      </c>
      <c r="BX121" s="198">
        <v>0</v>
      </c>
      <c r="BY121" s="198">
        <v>0</v>
      </c>
      <c r="BZ121" s="198">
        <v>0</v>
      </c>
      <c r="CA121" s="198">
        <v>0</v>
      </c>
      <c r="CB121" s="198">
        <v>0</v>
      </c>
      <c r="CC121" s="198">
        <v>0</v>
      </c>
      <c r="CD121" s="198">
        <v>0</v>
      </c>
      <c r="CE121" s="198">
        <v>0</v>
      </c>
      <c r="CF121" s="198">
        <v>0</v>
      </c>
      <c r="CG121" s="198">
        <v>0</v>
      </c>
      <c r="CH121" s="198">
        <v>0</v>
      </c>
      <c r="CI121" s="198">
        <v>0</v>
      </c>
      <c r="CJ121" s="198">
        <v>0</v>
      </c>
      <c r="CK121" s="88"/>
    </row>
    <row r="122" spans="1:89" x14ac:dyDescent="0.3">
      <c r="A122" s="173"/>
      <c r="B122" s="204" t="s">
        <v>344</v>
      </c>
      <c r="C122" s="198">
        <v>0</v>
      </c>
      <c r="D122" s="198">
        <v>0</v>
      </c>
      <c r="E122" s="198">
        <v>0</v>
      </c>
      <c r="F122" s="198">
        <v>0</v>
      </c>
      <c r="G122" s="198">
        <v>0</v>
      </c>
      <c r="H122" s="198">
        <v>0</v>
      </c>
      <c r="I122" s="198">
        <v>0</v>
      </c>
      <c r="J122" s="198">
        <v>0</v>
      </c>
      <c r="K122" s="198">
        <v>0</v>
      </c>
      <c r="L122" s="198">
        <v>0</v>
      </c>
      <c r="M122" s="198">
        <v>0</v>
      </c>
      <c r="N122" s="198">
        <v>0</v>
      </c>
      <c r="O122" s="198">
        <v>0</v>
      </c>
      <c r="P122" s="198">
        <v>0</v>
      </c>
      <c r="Q122" s="198">
        <v>0</v>
      </c>
      <c r="R122" s="198">
        <v>0</v>
      </c>
      <c r="S122" s="198">
        <v>0</v>
      </c>
      <c r="T122" s="198">
        <v>0</v>
      </c>
      <c r="U122" s="198">
        <v>0</v>
      </c>
      <c r="V122" s="198">
        <v>0</v>
      </c>
      <c r="W122" s="198">
        <v>0</v>
      </c>
      <c r="X122" s="198">
        <v>0</v>
      </c>
      <c r="Y122" s="198">
        <v>0</v>
      </c>
      <c r="Z122" s="198">
        <v>0</v>
      </c>
      <c r="AA122" s="198">
        <v>0</v>
      </c>
      <c r="AB122" s="198">
        <v>0</v>
      </c>
      <c r="AC122" s="198">
        <v>0</v>
      </c>
      <c r="AD122" s="198">
        <v>0</v>
      </c>
      <c r="AE122" s="198">
        <v>0</v>
      </c>
      <c r="AF122" s="198">
        <v>0</v>
      </c>
      <c r="AG122" s="198">
        <v>0</v>
      </c>
      <c r="AH122" s="198">
        <v>0</v>
      </c>
      <c r="AI122" s="198">
        <v>0</v>
      </c>
      <c r="AJ122" s="198">
        <v>0</v>
      </c>
      <c r="AK122" s="198">
        <v>0</v>
      </c>
      <c r="AL122" s="198">
        <v>0</v>
      </c>
      <c r="AM122" s="198">
        <v>0</v>
      </c>
      <c r="AN122" s="198">
        <v>0</v>
      </c>
      <c r="AO122" s="198">
        <v>0</v>
      </c>
      <c r="AP122" s="198">
        <v>0</v>
      </c>
      <c r="AQ122" s="198">
        <v>0</v>
      </c>
      <c r="AR122" s="198">
        <v>0</v>
      </c>
      <c r="AS122" s="198">
        <v>0</v>
      </c>
      <c r="AT122" s="198">
        <v>0</v>
      </c>
      <c r="AU122" s="198">
        <v>0</v>
      </c>
      <c r="AV122" s="198">
        <v>0</v>
      </c>
      <c r="AW122" s="198">
        <v>0</v>
      </c>
      <c r="AX122" s="198">
        <v>0</v>
      </c>
      <c r="AY122" s="198">
        <v>0</v>
      </c>
      <c r="AZ122" s="198">
        <v>0</v>
      </c>
      <c r="BA122" s="198">
        <v>3433.1</v>
      </c>
      <c r="BB122" s="198">
        <v>0</v>
      </c>
      <c r="BC122" s="198">
        <v>0</v>
      </c>
      <c r="BD122" s="198">
        <v>295.3</v>
      </c>
      <c r="BE122" s="198">
        <v>0</v>
      </c>
      <c r="BF122" s="198">
        <v>0</v>
      </c>
      <c r="BG122" s="198">
        <v>0</v>
      </c>
      <c r="BH122" s="198">
        <v>0</v>
      </c>
      <c r="BI122" s="198">
        <v>0</v>
      </c>
      <c r="BJ122" s="198">
        <v>0</v>
      </c>
      <c r="BK122" s="198">
        <v>0</v>
      </c>
      <c r="BL122" s="198">
        <v>0</v>
      </c>
      <c r="BM122" s="198">
        <v>0</v>
      </c>
      <c r="BN122" s="198">
        <v>0</v>
      </c>
      <c r="BO122" s="198">
        <v>0</v>
      </c>
      <c r="BP122" s="198">
        <v>0</v>
      </c>
      <c r="BQ122" s="198">
        <v>0</v>
      </c>
      <c r="BR122" s="198">
        <v>0</v>
      </c>
      <c r="BS122" s="198">
        <v>0</v>
      </c>
      <c r="BT122" s="198">
        <v>0</v>
      </c>
      <c r="BU122" s="198">
        <v>0</v>
      </c>
      <c r="BV122" s="198">
        <v>0</v>
      </c>
      <c r="BW122" s="198">
        <v>0</v>
      </c>
      <c r="BX122" s="198">
        <v>0</v>
      </c>
      <c r="BY122" s="198">
        <v>0</v>
      </c>
      <c r="BZ122" s="198">
        <v>0</v>
      </c>
      <c r="CA122" s="198">
        <v>0</v>
      </c>
      <c r="CB122" s="198">
        <v>0</v>
      </c>
      <c r="CC122" s="198">
        <v>0</v>
      </c>
      <c r="CD122" s="198">
        <v>0</v>
      </c>
      <c r="CE122" s="198">
        <v>0</v>
      </c>
      <c r="CF122" s="198">
        <v>0</v>
      </c>
      <c r="CG122" s="198">
        <v>0</v>
      </c>
      <c r="CH122" s="198">
        <v>0</v>
      </c>
      <c r="CI122" s="198">
        <v>0</v>
      </c>
      <c r="CJ122" s="198">
        <v>0</v>
      </c>
      <c r="CK122" s="88"/>
    </row>
    <row r="123" spans="1:89" x14ac:dyDescent="0.3">
      <c r="A123" s="173"/>
      <c r="B123" s="204" t="s">
        <v>371</v>
      </c>
      <c r="C123" s="198">
        <v>0</v>
      </c>
      <c r="D123" s="198">
        <v>0</v>
      </c>
      <c r="E123" s="198">
        <v>0</v>
      </c>
      <c r="F123" s="198">
        <v>0</v>
      </c>
      <c r="G123" s="198">
        <v>0</v>
      </c>
      <c r="H123" s="198">
        <v>0</v>
      </c>
      <c r="I123" s="198">
        <v>0</v>
      </c>
      <c r="J123" s="198">
        <v>0</v>
      </c>
      <c r="K123" s="198">
        <v>0</v>
      </c>
      <c r="L123" s="198">
        <v>0</v>
      </c>
      <c r="M123" s="198">
        <v>0</v>
      </c>
      <c r="N123" s="198">
        <v>0</v>
      </c>
      <c r="O123" s="198">
        <v>0</v>
      </c>
      <c r="P123" s="198">
        <v>0</v>
      </c>
      <c r="Q123" s="198">
        <v>0</v>
      </c>
      <c r="R123" s="198">
        <v>0</v>
      </c>
      <c r="S123" s="198">
        <v>0</v>
      </c>
      <c r="T123" s="198">
        <v>0</v>
      </c>
      <c r="U123" s="198">
        <v>0</v>
      </c>
      <c r="V123" s="198">
        <v>0</v>
      </c>
      <c r="W123" s="198">
        <v>0</v>
      </c>
      <c r="X123" s="198">
        <v>0</v>
      </c>
      <c r="Y123" s="198">
        <v>0</v>
      </c>
      <c r="Z123" s="198">
        <v>0</v>
      </c>
      <c r="AA123" s="198">
        <v>0</v>
      </c>
      <c r="AB123" s="198">
        <v>0</v>
      </c>
      <c r="AC123" s="198">
        <v>0</v>
      </c>
      <c r="AD123" s="198">
        <v>0</v>
      </c>
      <c r="AE123" s="198">
        <v>0</v>
      </c>
      <c r="AF123" s="198">
        <v>0</v>
      </c>
      <c r="AG123" s="198">
        <v>0</v>
      </c>
      <c r="AH123" s="198">
        <v>0</v>
      </c>
      <c r="AI123" s="198">
        <v>0</v>
      </c>
      <c r="AJ123" s="198">
        <v>0</v>
      </c>
      <c r="AK123" s="198">
        <v>0</v>
      </c>
      <c r="AL123" s="198">
        <v>0</v>
      </c>
      <c r="AM123" s="198">
        <v>0</v>
      </c>
      <c r="AN123" s="198">
        <v>0</v>
      </c>
      <c r="AO123" s="198">
        <v>0</v>
      </c>
      <c r="AP123" s="198">
        <v>0</v>
      </c>
      <c r="AQ123" s="198">
        <v>0</v>
      </c>
      <c r="AR123" s="198">
        <v>0</v>
      </c>
      <c r="AS123" s="198">
        <v>0</v>
      </c>
      <c r="AT123" s="198">
        <v>0</v>
      </c>
      <c r="AU123" s="198">
        <v>0</v>
      </c>
      <c r="AV123" s="198">
        <v>0</v>
      </c>
      <c r="AW123" s="198">
        <v>0</v>
      </c>
      <c r="AX123" s="198">
        <v>0</v>
      </c>
      <c r="AY123" s="198">
        <v>0</v>
      </c>
      <c r="AZ123" s="198">
        <v>0</v>
      </c>
      <c r="BA123" s="198">
        <v>0</v>
      </c>
      <c r="BB123" s="198">
        <v>0</v>
      </c>
      <c r="BC123" s="198">
        <v>0</v>
      </c>
      <c r="BD123" s="198">
        <v>0</v>
      </c>
      <c r="BE123" s="198">
        <v>0</v>
      </c>
      <c r="BF123" s="198">
        <v>846.4</v>
      </c>
      <c r="BG123" s="198">
        <v>375.2</v>
      </c>
      <c r="BH123" s="198">
        <v>568</v>
      </c>
      <c r="BI123" s="198">
        <v>214.4</v>
      </c>
      <c r="BJ123" s="198">
        <v>0</v>
      </c>
      <c r="BK123" s="198">
        <v>0</v>
      </c>
      <c r="BL123" s="198">
        <v>0</v>
      </c>
      <c r="BM123" s="198">
        <v>0</v>
      </c>
      <c r="BN123" s="198">
        <v>0</v>
      </c>
      <c r="BO123" s="198">
        <v>0</v>
      </c>
      <c r="BP123" s="198">
        <v>0</v>
      </c>
      <c r="BQ123" s="198">
        <v>0</v>
      </c>
      <c r="BR123" s="198">
        <v>0</v>
      </c>
      <c r="BS123" s="198">
        <v>0</v>
      </c>
      <c r="BT123" s="198">
        <v>0</v>
      </c>
      <c r="BU123" s="198">
        <v>0</v>
      </c>
      <c r="BV123" s="198">
        <v>0</v>
      </c>
      <c r="BW123" s="198">
        <v>0</v>
      </c>
      <c r="BX123" s="198">
        <v>0</v>
      </c>
      <c r="BY123" s="198">
        <v>0</v>
      </c>
      <c r="BZ123" s="198">
        <v>0</v>
      </c>
      <c r="CA123" s="198">
        <v>0</v>
      </c>
      <c r="CB123" s="198">
        <v>0</v>
      </c>
      <c r="CC123" s="198">
        <v>0</v>
      </c>
      <c r="CD123" s="198">
        <v>0</v>
      </c>
      <c r="CE123" s="198">
        <v>0</v>
      </c>
      <c r="CF123" s="198">
        <v>0</v>
      </c>
      <c r="CG123" s="198">
        <v>0</v>
      </c>
      <c r="CH123" s="198">
        <v>0</v>
      </c>
      <c r="CI123" s="198">
        <v>0</v>
      </c>
      <c r="CJ123" s="198">
        <v>0</v>
      </c>
      <c r="CK123" s="88"/>
    </row>
    <row r="124" spans="1:89" x14ac:dyDescent="0.3">
      <c r="A124" s="173"/>
      <c r="B124" s="204" t="s">
        <v>372</v>
      </c>
      <c r="C124" s="198">
        <v>0</v>
      </c>
      <c r="D124" s="198">
        <v>0</v>
      </c>
      <c r="E124" s="198">
        <v>0</v>
      </c>
      <c r="F124" s="198">
        <v>0</v>
      </c>
      <c r="G124" s="198">
        <v>0</v>
      </c>
      <c r="H124" s="198">
        <v>0</v>
      </c>
      <c r="I124" s="198">
        <v>0</v>
      </c>
      <c r="J124" s="198">
        <v>0</v>
      </c>
      <c r="K124" s="198">
        <v>0</v>
      </c>
      <c r="L124" s="198">
        <v>0</v>
      </c>
      <c r="M124" s="198">
        <v>0</v>
      </c>
      <c r="N124" s="198">
        <v>0</v>
      </c>
      <c r="O124" s="198">
        <v>0</v>
      </c>
      <c r="P124" s="198">
        <v>0</v>
      </c>
      <c r="Q124" s="198">
        <v>0</v>
      </c>
      <c r="R124" s="198">
        <v>0</v>
      </c>
      <c r="S124" s="198">
        <v>0</v>
      </c>
      <c r="T124" s="198">
        <v>0</v>
      </c>
      <c r="U124" s="198">
        <v>0</v>
      </c>
      <c r="V124" s="198">
        <v>0</v>
      </c>
      <c r="W124" s="198">
        <v>0</v>
      </c>
      <c r="X124" s="198">
        <v>0</v>
      </c>
      <c r="Y124" s="198">
        <v>0</v>
      </c>
      <c r="Z124" s="198">
        <v>0</v>
      </c>
      <c r="AA124" s="198">
        <v>0</v>
      </c>
      <c r="AB124" s="198">
        <v>0</v>
      </c>
      <c r="AC124" s="198">
        <v>0</v>
      </c>
      <c r="AD124" s="198">
        <v>0</v>
      </c>
      <c r="AE124" s="198">
        <v>0</v>
      </c>
      <c r="AF124" s="198">
        <v>0</v>
      </c>
      <c r="AG124" s="198">
        <v>0</v>
      </c>
      <c r="AH124" s="198">
        <v>0</v>
      </c>
      <c r="AI124" s="198">
        <v>0</v>
      </c>
      <c r="AJ124" s="198">
        <v>0</v>
      </c>
      <c r="AK124" s="198">
        <v>0</v>
      </c>
      <c r="AL124" s="198">
        <v>0</v>
      </c>
      <c r="AM124" s="198">
        <v>0</v>
      </c>
      <c r="AN124" s="198">
        <v>0</v>
      </c>
      <c r="AO124" s="198">
        <v>0</v>
      </c>
      <c r="AP124" s="198">
        <v>0</v>
      </c>
      <c r="AQ124" s="198">
        <v>0</v>
      </c>
      <c r="AR124" s="198">
        <v>0</v>
      </c>
      <c r="AS124" s="198">
        <v>0</v>
      </c>
      <c r="AT124" s="198">
        <v>0</v>
      </c>
      <c r="AU124" s="198">
        <v>0</v>
      </c>
      <c r="AV124" s="198">
        <v>0</v>
      </c>
      <c r="AW124" s="198">
        <v>0</v>
      </c>
      <c r="AX124" s="198">
        <v>0</v>
      </c>
      <c r="AY124" s="198">
        <v>0</v>
      </c>
      <c r="AZ124" s="198">
        <v>0</v>
      </c>
      <c r="BA124" s="198">
        <v>0</v>
      </c>
      <c r="BB124" s="198">
        <v>0</v>
      </c>
      <c r="BC124" s="198">
        <v>0</v>
      </c>
      <c r="BD124" s="198">
        <v>0</v>
      </c>
      <c r="BE124" s="198">
        <v>0</v>
      </c>
      <c r="BF124" s="198">
        <v>379.5</v>
      </c>
      <c r="BG124" s="198">
        <v>0</v>
      </c>
      <c r="BH124" s="198">
        <v>0</v>
      </c>
      <c r="BI124" s="198">
        <v>0</v>
      </c>
      <c r="BJ124" s="198">
        <v>0</v>
      </c>
      <c r="BK124" s="198">
        <v>0</v>
      </c>
      <c r="BL124" s="198">
        <v>0</v>
      </c>
      <c r="BM124" s="198">
        <v>0</v>
      </c>
      <c r="BN124" s="198">
        <v>0</v>
      </c>
      <c r="BO124" s="198">
        <v>0</v>
      </c>
      <c r="BP124" s="198">
        <v>0</v>
      </c>
      <c r="BQ124" s="198">
        <v>0</v>
      </c>
      <c r="BR124" s="198">
        <v>0</v>
      </c>
      <c r="BS124" s="198">
        <v>0</v>
      </c>
      <c r="BT124" s="198">
        <v>0</v>
      </c>
      <c r="BU124" s="198">
        <v>0</v>
      </c>
      <c r="BV124" s="198">
        <v>0</v>
      </c>
      <c r="BW124" s="198">
        <v>0</v>
      </c>
      <c r="BX124" s="198">
        <v>0</v>
      </c>
      <c r="BY124" s="198">
        <v>0</v>
      </c>
      <c r="BZ124" s="198">
        <v>0</v>
      </c>
      <c r="CA124" s="198">
        <v>0</v>
      </c>
      <c r="CB124" s="198">
        <v>0</v>
      </c>
      <c r="CC124" s="198">
        <v>0</v>
      </c>
      <c r="CD124" s="198">
        <v>0</v>
      </c>
      <c r="CE124" s="198">
        <v>0</v>
      </c>
      <c r="CF124" s="198">
        <v>0</v>
      </c>
      <c r="CG124" s="198">
        <v>0</v>
      </c>
      <c r="CH124" s="198">
        <v>0</v>
      </c>
      <c r="CI124" s="198">
        <v>0</v>
      </c>
      <c r="CJ124" s="198">
        <v>0</v>
      </c>
      <c r="CK124" s="88"/>
    </row>
    <row r="125" spans="1:89" x14ac:dyDescent="0.3">
      <c r="A125" s="173"/>
      <c r="B125" s="204" t="s">
        <v>345</v>
      </c>
      <c r="C125" s="198">
        <v>0</v>
      </c>
      <c r="D125" s="198">
        <v>0</v>
      </c>
      <c r="E125" s="198">
        <v>0</v>
      </c>
      <c r="F125" s="198">
        <v>0</v>
      </c>
      <c r="G125" s="198">
        <v>0</v>
      </c>
      <c r="H125" s="198">
        <v>0</v>
      </c>
      <c r="I125" s="198">
        <v>0</v>
      </c>
      <c r="J125" s="198">
        <v>0</v>
      </c>
      <c r="K125" s="198">
        <v>0</v>
      </c>
      <c r="L125" s="198">
        <v>0</v>
      </c>
      <c r="M125" s="198">
        <v>0</v>
      </c>
      <c r="N125" s="198">
        <v>0</v>
      </c>
      <c r="O125" s="198">
        <v>0</v>
      </c>
      <c r="P125" s="198">
        <v>0</v>
      </c>
      <c r="Q125" s="198">
        <v>0</v>
      </c>
      <c r="R125" s="198">
        <v>0</v>
      </c>
      <c r="S125" s="198">
        <v>0</v>
      </c>
      <c r="T125" s="198">
        <v>0</v>
      </c>
      <c r="U125" s="198">
        <v>0</v>
      </c>
      <c r="V125" s="198">
        <v>0</v>
      </c>
      <c r="W125" s="198">
        <v>0</v>
      </c>
      <c r="X125" s="198">
        <v>0</v>
      </c>
      <c r="Y125" s="198">
        <v>0</v>
      </c>
      <c r="Z125" s="198">
        <v>0</v>
      </c>
      <c r="AA125" s="198">
        <v>0</v>
      </c>
      <c r="AB125" s="198">
        <v>0</v>
      </c>
      <c r="AC125" s="198">
        <v>0</v>
      </c>
      <c r="AD125" s="198">
        <v>0</v>
      </c>
      <c r="AE125" s="198">
        <v>0</v>
      </c>
      <c r="AF125" s="198">
        <v>0</v>
      </c>
      <c r="AG125" s="198">
        <v>0</v>
      </c>
      <c r="AH125" s="198">
        <v>0</v>
      </c>
      <c r="AI125" s="198">
        <v>0</v>
      </c>
      <c r="AJ125" s="198">
        <v>0</v>
      </c>
      <c r="AK125" s="198">
        <v>0</v>
      </c>
      <c r="AL125" s="198">
        <v>0</v>
      </c>
      <c r="AM125" s="198">
        <v>0</v>
      </c>
      <c r="AN125" s="198">
        <v>0</v>
      </c>
      <c r="AO125" s="198">
        <v>0</v>
      </c>
      <c r="AP125" s="198">
        <v>0</v>
      </c>
      <c r="AQ125" s="198">
        <v>0</v>
      </c>
      <c r="AR125" s="198">
        <v>0</v>
      </c>
      <c r="AS125" s="198">
        <v>0</v>
      </c>
      <c r="AT125" s="198">
        <v>0</v>
      </c>
      <c r="AU125" s="198">
        <v>0</v>
      </c>
      <c r="AV125" s="198">
        <v>0</v>
      </c>
      <c r="AW125" s="198">
        <v>0</v>
      </c>
      <c r="AX125" s="198">
        <v>0</v>
      </c>
      <c r="AY125" s="198">
        <v>0</v>
      </c>
      <c r="AZ125" s="198">
        <v>0</v>
      </c>
      <c r="BA125" s="198">
        <v>8798.1</v>
      </c>
      <c r="BB125" s="198">
        <v>0</v>
      </c>
      <c r="BC125" s="198">
        <v>0</v>
      </c>
      <c r="BD125" s="198">
        <v>0</v>
      </c>
      <c r="BE125" s="198">
        <v>0</v>
      </c>
      <c r="BF125" s="198">
        <v>322.89999999999998</v>
      </c>
      <c r="BG125" s="198">
        <v>884.4</v>
      </c>
      <c r="BH125" s="198">
        <v>290.3</v>
      </c>
      <c r="BI125" s="198">
        <v>1355.6</v>
      </c>
      <c r="BJ125" s="198">
        <v>0</v>
      </c>
      <c r="BK125" s="198">
        <v>0</v>
      </c>
      <c r="BL125" s="198">
        <v>0</v>
      </c>
      <c r="BM125" s="198">
        <v>0</v>
      </c>
      <c r="BN125" s="198">
        <v>0</v>
      </c>
      <c r="BO125" s="198">
        <v>0</v>
      </c>
      <c r="BP125" s="198">
        <v>0</v>
      </c>
      <c r="BQ125" s="198">
        <v>0</v>
      </c>
      <c r="BR125" s="198">
        <v>0</v>
      </c>
      <c r="BS125" s="198">
        <v>0</v>
      </c>
      <c r="BT125" s="198">
        <v>0</v>
      </c>
      <c r="BU125" s="198">
        <v>0</v>
      </c>
      <c r="BV125" s="198">
        <v>0</v>
      </c>
      <c r="BW125" s="198">
        <v>0</v>
      </c>
      <c r="BX125" s="198">
        <v>0</v>
      </c>
      <c r="BY125" s="198">
        <v>0</v>
      </c>
      <c r="BZ125" s="198">
        <v>0</v>
      </c>
      <c r="CA125" s="198">
        <v>0</v>
      </c>
      <c r="CB125" s="198">
        <v>0</v>
      </c>
      <c r="CC125" s="198">
        <v>0</v>
      </c>
      <c r="CD125" s="198">
        <v>0</v>
      </c>
      <c r="CE125" s="198">
        <v>0</v>
      </c>
      <c r="CF125" s="198">
        <v>0</v>
      </c>
      <c r="CG125" s="198">
        <v>0</v>
      </c>
      <c r="CH125" s="198">
        <v>0</v>
      </c>
      <c r="CI125" s="198">
        <v>0</v>
      </c>
      <c r="CJ125" s="198">
        <v>0</v>
      </c>
      <c r="CK125" s="88"/>
    </row>
    <row r="126" spans="1:89" x14ac:dyDescent="0.3">
      <c r="A126" s="173"/>
      <c r="B126" s="204" t="s">
        <v>346</v>
      </c>
      <c r="C126" s="198">
        <v>0</v>
      </c>
      <c r="D126" s="198">
        <v>0</v>
      </c>
      <c r="E126" s="198">
        <v>0</v>
      </c>
      <c r="F126" s="198">
        <v>0</v>
      </c>
      <c r="G126" s="198">
        <v>0</v>
      </c>
      <c r="H126" s="198">
        <v>0</v>
      </c>
      <c r="I126" s="198">
        <v>0</v>
      </c>
      <c r="J126" s="198">
        <v>0</v>
      </c>
      <c r="K126" s="198">
        <v>0</v>
      </c>
      <c r="L126" s="198">
        <v>0</v>
      </c>
      <c r="M126" s="198">
        <v>0</v>
      </c>
      <c r="N126" s="198">
        <v>0</v>
      </c>
      <c r="O126" s="198">
        <v>0</v>
      </c>
      <c r="P126" s="198">
        <v>0</v>
      </c>
      <c r="Q126" s="198">
        <v>0</v>
      </c>
      <c r="R126" s="198">
        <v>0</v>
      </c>
      <c r="S126" s="198">
        <v>0</v>
      </c>
      <c r="T126" s="198">
        <v>0</v>
      </c>
      <c r="U126" s="198">
        <v>0</v>
      </c>
      <c r="V126" s="198">
        <v>0</v>
      </c>
      <c r="W126" s="198">
        <v>0</v>
      </c>
      <c r="X126" s="198">
        <v>0</v>
      </c>
      <c r="Y126" s="198">
        <v>0</v>
      </c>
      <c r="Z126" s="198">
        <v>0</v>
      </c>
      <c r="AA126" s="198">
        <v>0</v>
      </c>
      <c r="AB126" s="198">
        <v>0</v>
      </c>
      <c r="AC126" s="198">
        <v>0</v>
      </c>
      <c r="AD126" s="198">
        <v>0</v>
      </c>
      <c r="AE126" s="198">
        <v>0</v>
      </c>
      <c r="AF126" s="198">
        <v>0</v>
      </c>
      <c r="AG126" s="198">
        <v>0</v>
      </c>
      <c r="AH126" s="198">
        <v>0</v>
      </c>
      <c r="AI126" s="198">
        <v>0</v>
      </c>
      <c r="AJ126" s="198">
        <v>0</v>
      </c>
      <c r="AK126" s="198">
        <v>0</v>
      </c>
      <c r="AL126" s="198">
        <v>0</v>
      </c>
      <c r="AM126" s="198">
        <v>0</v>
      </c>
      <c r="AN126" s="198">
        <v>0</v>
      </c>
      <c r="AO126" s="198">
        <v>0</v>
      </c>
      <c r="AP126" s="198">
        <v>0</v>
      </c>
      <c r="AQ126" s="198">
        <v>0</v>
      </c>
      <c r="AR126" s="198">
        <v>0</v>
      </c>
      <c r="AS126" s="198">
        <v>0</v>
      </c>
      <c r="AT126" s="198">
        <v>0</v>
      </c>
      <c r="AU126" s="198">
        <v>0</v>
      </c>
      <c r="AV126" s="198">
        <v>0</v>
      </c>
      <c r="AW126" s="198">
        <v>0</v>
      </c>
      <c r="AX126" s="198">
        <v>0</v>
      </c>
      <c r="AY126" s="198">
        <v>0</v>
      </c>
      <c r="AZ126" s="198">
        <v>0</v>
      </c>
      <c r="BA126" s="198">
        <v>6598.6</v>
      </c>
      <c r="BB126" s="198">
        <v>0</v>
      </c>
      <c r="BC126" s="198">
        <v>0</v>
      </c>
      <c r="BD126" s="198">
        <v>300.7</v>
      </c>
      <c r="BE126" s="198">
        <v>748.7</v>
      </c>
      <c r="BF126" s="198">
        <v>1374.4</v>
      </c>
      <c r="BG126" s="198">
        <v>0</v>
      </c>
      <c r="BH126" s="198">
        <v>485.3</v>
      </c>
      <c r="BI126" s="198">
        <v>943.2</v>
      </c>
      <c r="BJ126" s="198">
        <v>2795.5</v>
      </c>
      <c r="BK126" s="198">
        <v>299.39999999999998</v>
      </c>
      <c r="BL126" s="198">
        <v>0</v>
      </c>
      <c r="BM126" s="198">
        <v>0</v>
      </c>
      <c r="BN126" s="198">
        <v>0</v>
      </c>
      <c r="BO126" s="198">
        <v>0</v>
      </c>
      <c r="BP126" s="198">
        <v>0</v>
      </c>
      <c r="BQ126" s="198">
        <v>0</v>
      </c>
      <c r="BR126" s="198">
        <v>0</v>
      </c>
      <c r="BS126" s="198">
        <v>0</v>
      </c>
      <c r="BT126" s="198">
        <v>0</v>
      </c>
      <c r="BU126" s="198">
        <v>0</v>
      </c>
      <c r="BV126" s="198">
        <v>0</v>
      </c>
      <c r="BW126" s="198">
        <v>0</v>
      </c>
      <c r="BX126" s="198">
        <v>0</v>
      </c>
      <c r="BY126" s="198">
        <v>0</v>
      </c>
      <c r="BZ126" s="198">
        <v>0</v>
      </c>
      <c r="CA126" s="198">
        <v>0</v>
      </c>
      <c r="CB126" s="198">
        <v>0</v>
      </c>
      <c r="CC126" s="198">
        <v>0</v>
      </c>
      <c r="CD126" s="198">
        <v>0</v>
      </c>
      <c r="CE126" s="198">
        <v>0</v>
      </c>
      <c r="CF126" s="198">
        <v>0</v>
      </c>
      <c r="CG126" s="198">
        <v>0</v>
      </c>
      <c r="CH126" s="198">
        <v>0</v>
      </c>
      <c r="CI126" s="198">
        <v>0</v>
      </c>
      <c r="CJ126" s="198">
        <v>0</v>
      </c>
      <c r="CK126" s="88"/>
    </row>
    <row r="127" spans="1:89" x14ac:dyDescent="0.3">
      <c r="A127" s="173"/>
      <c r="B127" s="204" t="s">
        <v>370</v>
      </c>
      <c r="C127" s="198">
        <v>0</v>
      </c>
      <c r="D127" s="198">
        <v>0</v>
      </c>
      <c r="E127" s="198">
        <v>0</v>
      </c>
      <c r="F127" s="198">
        <v>0</v>
      </c>
      <c r="G127" s="198">
        <v>0</v>
      </c>
      <c r="H127" s="198">
        <v>0</v>
      </c>
      <c r="I127" s="198">
        <v>0</v>
      </c>
      <c r="J127" s="198">
        <v>0</v>
      </c>
      <c r="K127" s="198">
        <v>0</v>
      </c>
      <c r="L127" s="198">
        <v>0</v>
      </c>
      <c r="M127" s="198">
        <v>0</v>
      </c>
      <c r="N127" s="198">
        <v>0</v>
      </c>
      <c r="O127" s="198">
        <v>0</v>
      </c>
      <c r="P127" s="198">
        <v>0</v>
      </c>
      <c r="Q127" s="198">
        <v>0</v>
      </c>
      <c r="R127" s="198">
        <v>0</v>
      </c>
      <c r="S127" s="198">
        <v>0</v>
      </c>
      <c r="T127" s="198">
        <v>0</v>
      </c>
      <c r="U127" s="198">
        <v>0</v>
      </c>
      <c r="V127" s="198">
        <v>0</v>
      </c>
      <c r="W127" s="198">
        <v>0</v>
      </c>
      <c r="X127" s="198">
        <v>0</v>
      </c>
      <c r="Y127" s="198">
        <v>0</v>
      </c>
      <c r="Z127" s="198">
        <v>0</v>
      </c>
      <c r="AA127" s="198">
        <v>0</v>
      </c>
      <c r="AB127" s="198">
        <v>0</v>
      </c>
      <c r="AC127" s="198">
        <v>0</v>
      </c>
      <c r="AD127" s="198">
        <v>0</v>
      </c>
      <c r="AE127" s="198">
        <v>0</v>
      </c>
      <c r="AF127" s="198">
        <v>0</v>
      </c>
      <c r="AG127" s="198">
        <v>0</v>
      </c>
      <c r="AH127" s="198">
        <v>0</v>
      </c>
      <c r="AI127" s="198">
        <v>0</v>
      </c>
      <c r="AJ127" s="198">
        <v>0</v>
      </c>
      <c r="AK127" s="198">
        <v>0</v>
      </c>
      <c r="AL127" s="198">
        <v>0</v>
      </c>
      <c r="AM127" s="198">
        <v>0</v>
      </c>
      <c r="AN127" s="198">
        <v>0</v>
      </c>
      <c r="AO127" s="198">
        <v>0</v>
      </c>
      <c r="AP127" s="198">
        <v>0</v>
      </c>
      <c r="AQ127" s="198">
        <v>0</v>
      </c>
      <c r="AR127" s="198">
        <v>0</v>
      </c>
      <c r="AS127" s="198">
        <v>0</v>
      </c>
      <c r="AT127" s="198">
        <v>0</v>
      </c>
      <c r="AU127" s="198">
        <v>0</v>
      </c>
      <c r="AV127" s="198">
        <v>0</v>
      </c>
      <c r="AW127" s="198">
        <v>0</v>
      </c>
      <c r="AX127" s="198">
        <v>0</v>
      </c>
      <c r="AY127" s="198">
        <v>0</v>
      </c>
      <c r="AZ127" s="198">
        <v>0</v>
      </c>
      <c r="BA127" s="198">
        <v>0</v>
      </c>
      <c r="BB127" s="198">
        <v>0</v>
      </c>
      <c r="BC127" s="198">
        <v>0</v>
      </c>
      <c r="BD127" s="198">
        <v>9083.7999999999993</v>
      </c>
      <c r="BE127" s="198">
        <v>0</v>
      </c>
      <c r="BF127" s="198">
        <v>693.7</v>
      </c>
      <c r="BG127" s="198">
        <v>37.5</v>
      </c>
      <c r="BH127" s="198">
        <v>0</v>
      </c>
      <c r="BI127" s="198">
        <v>413.7</v>
      </c>
      <c r="BJ127" s="198">
        <v>0</v>
      </c>
      <c r="BK127" s="198">
        <v>0</v>
      </c>
      <c r="BL127" s="198">
        <v>0</v>
      </c>
      <c r="BM127" s="198">
        <v>0</v>
      </c>
      <c r="BN127" s="198">
        <v>0</v>
      </c>
      <c r="BO127" s="198">
        <v>0</v>
      </c>
      <c r="BP127" s="198">
        <v>0</v>
      </c>
      <c r="BQ127" s="198">
        <v>0</v>
      </c>
      <c r="BR127" s="198">
        <v>0</v>
      </c>
      <c r="BS127" s="198">
        <v>0</v>
      </c>
      <c r="BT127" s="198">
        <v>0</v>
      </c>
      <c r="BU127" s="198">
        <v>0</v>
      </c>
      <c r="BV127" s="198">
        <v>0</v>
      </c>
      <c r="BW127" s="198">
        <v>0</v>
      </c>
      <c r="BX127" s="198">
        <v>0</v>
      </c>
      <c r="BY127" s="198">
        <v>0</v>
      </c>
      <c r="BZ127" s="198">
        <v>0</v>
      </c>
      <c r="CA127" s="198">
        <v>0</v>
      </c>
      <c r="CB127" s="198">
        <v>0</v>
      </c>
      <c r="CC127" s="198">
        <v>0</v>
      </c>
      <c r="CD127" s="198">
        <v>0</v>
      </c>
      <c r="CE127" s="198">
        <v>0</v>
      </c>
      <c r="CF127" s="198">
        <v>0</v>
      </c>
      <c r="CG127" s="198">
        <v>0</v>
      </c>
      <c r="CH127" s="198">
        <v>0</v>
      </c>
      <c r="CI127" s="198">
        <v>0</v>
      </c>
      <c r="CJ127" s="198">
        <v>0</v>
      </c>
      <c r="CK127" s="88"/>
    </row>
    <row r="128" spans="1:89" x14ac:dyDescent="0.3">
      <c r="A128" s="173"/>
      <c r="B128" s="197" t="s">
        <v>73</v>
      </c>
      <c r="C128" s="198">
        <v>6.6</v>
      </c>
      <c r="D128" s="200">
        <v>0</v>
      </c>
      <c r="E128" s="200">
        <v>0</v>
      </c>
      <c r="F128" s="200">
        <v>0</v>
      </c>
      <c r="G128" s="200">
        <v>0</v>
      </c>
      <c r="H128" s="200">
        <v>0</v>
      </c>
      <c r="I128" s="200">
        <v>0</v>
      </c>
      <c r="J128" s="200">
        <v>0</v>
      </c>
      <c r="K128" s="200">
        <v>0</v>
      </c>
      <c r="L128" s="200">
        <v>0</v>
      </c>
      <c r="M128" s="200">
        <v>0</v>
      </c>
      <c r="N128" s="200">
        <v>0</v>
      </c>
      <c r="O128" s="198">
        <v>0</v>
      </c>
      <c r="P128" s="198">
        <v>0</v>
      </c>
      <c r="Q128" s="198">
        <v>0</v>
      </c>
      <c r="R128" s="198">
        <v>0</v>
      </c>
      <c r="S128" s="198">
        <v>0</v>
      </c>
      <c r="T128" s="198">
        <v>0</v>
      </c>
      <c r="U128" s="198">
        <v>0</v>
      </c>
      <c r="V128" s="198">
        <v>0</v>
      </c>
      <c r="W128" s="198">
        <v>0</v>
      </c>
      <c r="X128" s="198">
        <v>0</v>
      </c>
      <c r="Y128" s="198">
        <v>0</v>
      </c>
      <c r="Z128" s="198">
        <v>0</v>
      </c>
      <c r="AA128" s="198">
        <v>0</v>
      </c>
      <c r="AB128" s="198">
        <v>0</v>
      </c>
      <c r="AC128" s="198">
        <v>0</v>
      </c>
      <c r="AD128" s="198">
        <v>0</v>
      </c>
      <c r="AE128" s="198">
        <v>0</v>
      </c>
      <c r="AF128" s="198">
        <v>0</v>
      </c>
      <c r="AG128" s="198">
        <v>0</v>
      </c>
      <c r="AH128" s="198">
        <v>0</v>
      </c>
      <c r="AI128" s="198">
        <v>0</v>
      </c>
      <c r="AJ128" s="198">
        <v>0</v>
      </c>
      <c r="AK128" s="198">
        <v>0</v>
      </c>
      <c r="AL128" s="198">
        <v>0</v>
      </c>
      <c r="AM128" s="198">
        <v>0</v>
      </c>
      <c r="AN128" s="198">
        <v>0</v>
      </c>
      <c r="AO128" s="198">
        <v>0</v>
      </c>
      <c r="AP128" s="198">
        <v>0</v>
      </c>
      <c r="AQ128" s="198">
        <v>0</v>
      </c>
      <c r="AR128" s="198">
        <v>0</v>
      </c>
      <c r="AS128" s="198">
        <v>0</v>
      </c>
      <c r="AT128" s="198">
        <v>0</v>
      </c>
      <c r="AU128" s="198">
        <v>0</v>
      </c>
      <c r="AV128" s="198">
        <v>0</v>
      </c>
      <c r="AW128" s="198">
        <v>0</v>
      </c>
      <c r="AX128" s="198">
        <v>0</v>
      </c>
      <c r="AY128" s="198">
        <v>0</v>
      </c>
      <c r="AZ128" s="198">
        <v>0</v>
      </c>
      <c r="BA128" s="198">
        <v>0</v>
      </c>
      <c r="BB128" s="198">
        <v>0</v>
      </c>
      <c r="BC128" s="198">
        <v>0</v>
      </c>
      <c r="BD128" s="198">
        <v>0</v>
      </c>
      <c r="BE128" s="198">
        <v>0</v>
      </c>
      <c r="BF128" s="198">
        <v>0</v>
      </c>
      <c r="BG128" s="198">
        <v>0</v>
      </c>
      <c r="BH128" s="198">
        <v>0</v>
      </c>
      <c r="BI128" s="198">
        <v>0</v>
      </c>
      <c r="BJ128" s="198">
        <v>0</v>
      </c>
      <c r="BK128" s="198">
        <v>0</v>
      </c>
      <c r="BL128" s="198">
        <v>0</v>
      </c>
      <c r="BM128" s="198">
        <v>0</v>
      </c>
      <c r="BN128" s="198">
        <v>0</v>
      </c>
      <c r="BO128" s="198">
        <v>0</v>
      </c>
      <c r="BP128" s="198">
        <v>0</v>
      </c>
      <c r="BQ128" s="198">
        <v>0</v>
      </c>
      <c r="BR128" s="198">
        <v>0</v>
      </c>
      <c r="BS128" s="198">
        <v>0</v>
      </c>
      <c r="BT128" s="198">
        <v>0</v>
      </c>
      <c r="BU128" s="198">
        <v>0</v>
      </c>
      <c r="BV128" s="198">
        <v>0</v>
      </c>
      <c r="BW128" s="198">
        <v>0</v>
      </c>
      <c r="BX128" s="198">
        <v>0</v>
      </c>
      <c r="BY128" s="198">
        <v>0</v>
      </c>
      <c r="BZ128" s="198">
        <v>0</v>
      </c>
      <c r="CA128" s="198">
        <v>0</v>
      </c>
      <c r="CB128" s="198">
        <v>0</v>
      </c>
      <c r="CC128" s="198">
        <v>0</v>
      </c>
      <c r="CD128" s="198">
        <v>0</v>
      </c>
      <c r="CE128" s="198">
        <v>0</v>
      </c>
      <c r="CF128" s="198">
        <v>0</v>
      </c>
      <c r="CG128" s="198">
        <v>0</v>
      </c>
      <c r="CH128" s="198">
        <v>0</v>
      </c>
      <c r="CI128" s="198">
        <v>0</v>
      </c>
      <c r="CJ128" s="198">
        <v>0</v>
      </c>
      <c r="CK128" s="88"/>
    </row>
    <row r="129" spans="1:89" x14ac:dyDescent="0.3">
      <c r="A129" s="173"/>
      <c r="B129" s="204" t="s">
        <v>79</v>
      </c>
      <c r="C129" s="198">
        <v>0</v>
      </c>
      <c r="D129" s="198">
        <v>0</v>
      </c>
      <c r="E129" s="198">
        <v>0</v>
      </c>
      <c r="F129" s="198">
        <v>9.1999999999999993</v>
      </c>
      <c r="G129" s="198">
        <v>0</v>
      </c>
      <c r="H129" s="198">
        <v>0</v>
      </c>
      <c r="I129" s="198">
        <v>0</v>
      </c>
      <c r="J129" s="198">
        <v>0</v>
      </c>
      <c r="K129" s="198">
        <v>0</v>
      </c>
      <c r="L129" s="198">
        <v>0</v>
      </c>
      <c r="M129" s="198">
        <v>0</v>
      </c>
      <c r="N129" s="198">
        <v>0</v>
      </c>
      <c r="O129" s="198">
        <v>0</v>
      </c>
      <c r="P129" s="198">
        <v>0</v>
      </c>
      <c r="Q129" s="198">
        <v>0</v>
      </c>
      <c r="R129" s="198">
        <v>0</v>
      </c>
      <c r="S129" s="198">
        <v>0</v>
      </c>
      <c r="T129" s="198">
        <v>0</v>
      </c>
      <c r="U129" s="198">
        <v>0</v>
      </c>
      <c r="V129" s="198">
        <v>0</v>
      </c>
      <c r="W129" s="198">
        <v>0</v>
      </c>
      <c r="X129" s="198">
        <v>0</v>
      </c>
      <c r="Y129" s="198">
        <v>0</v>
      </c>
      <c r="Z129" s="198">
        <v>0</v>
      </c>
      <c r="AA129" s="198">
        <v>0</v>
      </c>
      <c r="AB129" s="198">
        <v>0</v>
      </c>
      <c r="AC129" s="198">
        <v>0</v>
      </c>
      <c r="AD129" s="198">
        <v>0</v>
      </c>
      <c r="AE129" s="198">
        <v>0</v>
      </c>
      <c r="AF129" s="198">
        <v>0</v>
      </c>
      <c r="AG129" s="198">
        <v>0</v>
      </c>
      <c r="AH129" s="198">
        <v>0</v>
      </c>
      <c r="AI129" s="198">
        <v>0</v>
      </c>
      <c r="AJ129" s="198">
        <v>0</v>
      </c>
      <c r="AK129" s="198">
        <v>0</v>
      </c>
      <c r="AL129" s="198">
        <v>0</v>
      </c>
      <c r="AM129" s="198">
        <v>0</v>
      </c>
      <c r="AN129" s="198">
        <v>0</v>
      </c>
      <c r="AO129" s="198">
        <v>0</v>
      </c>
      <c r="AP129" s="198">
        <v>0</v>
      </c>
      <c r="AQ129" s="198">
        <v>0</v>
      </c>
      <c r="AR129" s="198">
        <v>0</v>
      </c>
      <c r="AS129" s="198">
        <v>0</v>
      </c>
      <c r="AT129" s="198">
        <v>0</v>
      </c>
      <c r="AU129" s="198">
        <v>0</v>
      </c>
      <c r="AV129" s="198">
        <v>0</v>
      </c>
      <c r="AW129" s="198">
        <v>0</v>
      </c>
      <c r="AX129" s="198">
        <v>0</v>
      </c>
      <c r="AY129" s="198">
        <v>0</v>
      </c>
      <c r="AZ129" s="198">
        <v>0</v>
      </c>
      <c r="BA129" s="198">
        <v>0</v>
      </c>
      <c r="BB129" s="198">
        <v>0</v>
      </c>
      <c r="BC129" s="198">
        <v>0</v>
      </c>
      <c r="BD129" s="198">
        <v>0</v>
      </c>
      <c r="BE129" s="198">
        <v>0</v>
      </c>
      <c r="BF129" s="198">
        <v>0</v>
      </c>
      <c r="BG129" s="198">
        <v>0</v>
      </c>
      <c r="BH129" s="198">
        <v>0</v>
      </c>
      <c r="BI129" s="198">
        <v>0</v>
      </c>
      <c r="BJ129" s="198">
        <v>0</v>
      </c>
      <c r="BK129" s="198">
        <v>0</v>
      </c>
      <c r="BL129" s="198">
        <v>0</v>
      </c>
      <c r="BM129" s="198">
        <v>0</v>
      </c>
      <c r="BN129" s="198">
        <v>0</v>
      </c>
      <c r="BO129" s="198">
        <v>0</v>
      </c>
      <c r="BP129" s="198">
        <v>0</v>
      </c>
      <c r="BQ129" s="198">
        <v>0</v>
      </c>
      <c r="BR129" s="198">
        <v>0</v>
      </c>
      <c r="BS129" s="198">
        <v>0</v>
      </c>
      <c r="BT129" s="198">
        <v>0</v>
      </c>
      <c r="BU129" s="198">
        <v>0</v>
      </c>
      <c r="BV129" s="198">
        <v>0</v>
      </c>
      <c r="BW129" s="198">
        <v>0</v>
      </c>
      <c r="BX129" s="198">
        <v>0</v>
      </c>
      <c r="BY129" s="198">
        <v>0</v>
      </c>
      <c r="BZ129" s="198">
        <v>0</v>
      </c>
      <c r="CA129" s="198">
        <v>0</v>
      </c>
      <c r="CB129" s="198">
        <v>0</v>
      </c>
      <c r="CC129" s="198">
        <v>0</v>
      </c>
      <c r="CD129" s="198">
        <v>0</v>
      </c>
      <c r="CE129" s="198">
        <v>0</v>
      </c>
      <c r="CF129" s="198">
        <v>0</v>
      </c>
      <c r="CG129" s="198">
        <v>0</v>
      </c>
      <c r="CH129" s="198">
        <v>0</v>
      </c>
      <c r="CI129" s="198">
        <v>0</v>
      </c>
      <c r="CJ129" s="198">
        <v>0</v>
      </c>
      <c r="CK129" s="88"/>
    </row>
    <row r="130" spans="1:89" x14ac:dyDescent="0.3">
      <c r="A130" s="173"/>
      <c r="B130" s="204" t="s">
        <v>365</v>
      </c>
      <c r="C130" s="198">
        <v>0</v>
      </c>
      <c r="D130" s="198">
        <v>0</v>
      </c>
      <c r="E130" s="198">
        <v>0</v>
      </c>
      <c r="F130" s="198">
        <v>0</v>
      </c>
      <c r="G130" s="198">
        <v>0</v>
      </c>
      <c r="H130" s="198">
        <v>0</v>
      </c>
      <c r="I130" s="198">
        <v>0</v>
      </c>
      <c r="J130" s="198">
        <v>0</v>
      </c>
      <c r="K130" s="198">
        <v>0</v>
      </c>
      <c r="L130" s="198">
        <v>0</v>
      </c>
      <c r="M130" s="198">
        <v>0</v>
      </c>
      <c r="N130" s="198">
        <v>0</v>
      </c>
      <c r="O130" s="198">
        <v>0</v>
      </c>
      <c r="P130" s="198">
        <v>0</v>
      </c>
      <c r="Q130" s="198">
        <v>0</v>
      </c>
      <c r="R130" s="198">
        <v>0</v>
      </c>
      <c r="S130" s="198">
        <v>0</v>
      </c>
      <c r="T130" s="198">
        <v>0</v>
      </c>
      <c r="U130" s="198">
        <v>0</v>
      </c>
      <c r="V130" s="198">
        <v>0</v>
      </c>
      <c r="W130" s="198">
        <v>0</v>
      </c>
      <c r="X130" s="198">
        <v>0</v>
      </c>
      <c r="Y130" s="198">
        <v>0</v>
      </c>
      <c r="Z130" s="198">
        <v>0</v>
      </c>
      <c r="AA130" s="198">
        <v>0</v>
      </c>
      <c r="AB130" s="198">
        <v>0</v>
      </c>
      <c r="AC130" s="198">
        <v>0</v>
      </c>
      <c r="AD130" s="198">
        <v>0</v>
      </c>
      <c r="AE130" s="198">
        <v>0</v>
      </c>
      <c r="AF130" s="198">
        <v>0</v>
      </c>
      <c r="AG130" s="198">
        <v>0</v>
      </c>
      <c r="AH130" s="198">
        <v>0</v>
      </c>
      <c r="AI130" s="198">
        <v>0</v>
      </c>
      <c r="AJ130" s="198">
        <v>0</v>
      </c>
      <c r="AK130" s="198">
        <v>0</v>
      </c>
      <c r="AL130" s="198">
        <v>0</v>
      </c>
      <c r="AM130" s="198">
        <v>0</v>
      </c>
      <c r="AN130" s="198">
        <v>0</v>
      </c>
      <c r="AO130" s="198">
        <v>0</v>
      </c>
      <c r="AP130" s="198">
        <v>0</v>
      </c>
      <c r="AQ130" s="198">
        <v>0</v>
      </c>
      <c r="AR130" s="198">
        <v>0</v>
      </c>
      <c r="AS130" s="198">
        <v>0</v>
      </c>
      <c r="AT130" s="198">
        <v>0</v>
      </c>
      <c r="AU130" s="198">
        <v>0</v>
      </c>
      <c r="AV130" s="198">
        <v>0</v>
      </c>
      <c r="AW130" s="198">
        <v>0</v>
      </c>
      <c r="AX130" s="198">
        <v>0</v>
      </c>
      <c r="AY130" s="198">
        <v>0</v>
      </c>
      <c r="AZ130" s="198">
        <v>0</v>
      </c>
      <c r="BA130" s="198">
        <v>0</v>
      </c>
      <c r="BB130" s="198">
        <v>0</v>
      </c>
      <c r="BC130" s="198">
        <v>642.1</v>
      </c>
      <c r="BD130" s="198">
        <v>0</v>
      </c>
      <c r="BE130" s="198">
        <v>0</v>
      </c>
      <c r="BF130" s="198">
        <v>0</v>
      </c>
      <c r="BG130" s="198">
        <v>0</v>
      </c>
      <c r="BH130" s="198">
        <v>0</v>
      </c>
      <c r="BI130" s="198">
        <v>0</v>
      </c>
      <c r="BJ130" s="198">
        <v>0</v>
      </c>
      <c r="BK130" s="198">
        <v>0</v>
      </c>
      <c r="BL130" s="198">
        <v>0</v>
      </c>
      <c r="BM130" s="198">
        <v>0</v>
      </c>
      <c r="BN130" s="198">
        <v>0</v>
      </c>
      <c r="BO130" s="198">
        <v>0</v>
      </c>
      <c r="BP130" s="198">
        <v>0</v>
      </c>
      <c r="BQ130" s="198">
        <v>0</v>
      </c>
      <c r="BR130" s="198">
        <v>0</v>
      </c>
      <c r="BS130" s="198">
        <v>0</v>
      </c>
      <c r="BT130" s="198">
        <v>0</v>
      </c>
      <c r="BU130" s="198">
        <v>0</v>
      </c>
      <c r="BV130" s="198">
        <v>0</v>
      </c>
      <c r="BW130" s="198">
        <v>0</v>
      </c>
      <c r="BX130" s="198">
        <v>0</v>
      </c>
      <c r="BY130" s="198">
        <v>0</v>
      </c>
      <c r="BZ130" s="198">
        <v>0</v>
      </c>
      <c r="CA130" s="198">
        <v>0</v>
      </c>
      <c r="CB130" s="198">
        <v>0</v>
      </c>
      <c r="CC130" s="198">
        <v>0</v>
      </c>
      <c r="CD130" s="198">
        <v>0</v>
      </c>
      <c r="CE130" s="198">
        <v>0</v>
      </c>
      <c r="CF130" s="198">
        <v>0</v>
      </c>
      <c r="CG130" s="198">
        <v>0</v>
      </c>
      <c r="CH130" s="198">
        <v>0</v>
      </c>
      <c r="CI130" s="198">
        <v>0</v>
      </c>
      <c r="CJ130" s="198">
        <v>0</v>
      </c>
      <c r="CK130" s="88"/>
    </row>
    <row r="131" spans="1:89" x14ac:dyDescent="0.3">
      <c r="A131" s="173"/>
      <c r="B131" s="204" t="s">
        <v>393</v>
      </c>
      <c r="C131" s="198">
        <v>0</v>
      </c>
      <c r="D131" s="198">
        <v>0</v>
      </c>
      <c r="E131" s="198">
        <v>0</v>
      </c>
      <c r="F131" s="198">
        <v>0</v>
      </c>
      <c r="G131" s="198">
        <v>0</v>
      </c>
      <c r="H131" s="198">
        <v>0</v>
      </c>
      <c r="I131" s="198">
        <v>0</v>
      </c>
      <c r="J131" s="198">
        <v>0</v>
      </c>
      <c r="K131" s="198">
        <v>0</v>
      </c>
      <c r="L131" s="198">
        <v>0</v>
      </c>
      <c r="M131" s="198">
        <v>0</v>
      </c>
      <c r="N131" s="198">
        <v>0</v>
      </c>
      <c r="O131" s="198">
        <v>0</v>
      </c>
      <c r="P131" s="198">
        <v>0</v>
      </c>
      <c r="Q131" s="198">
        <v>0</v>
      </c>
      <c r="R131" s="198">
        <v>0</v>
      </c>
      <c r="S131" s="198">
        <v>0</v>
      </c>
      <c r="T131" s="198">
        <v>0</v>
      </c>
      <c r="U131" s="198">
        <v>0</v>
      </c>
      <c r="V131" s="198">
        <v>0</v>
      </c>
      <c r="W131" s="198">
        <v>0</v>
      </c>
      <c r="X131" s="198">
        <v>0</v>
      </c>
      <c r="Y131" s="198">
        <v>0</v>
      </c>
      <c r="Z131" s="198">
        <v>0</v>
      </c>
      <c r="AA131" s="198">
        <v>0</v>
      </c>
      <c r="AB131" s="198">
        <v>0</v>
      </c>
      <c r="AC131" s="198">
        <v>0</v>
      </c>
      <c r="AD131" s="198">
        <v>0</v>
      </c>
      <c r="AE131" s="198">
        <v>0</v>
      </c>
      <c r="AF131" s="198">
        <v>0</v>
      </c>
      <c r="AG131" s="198">
        <v>0</v>
      </c>
      <c r="AH131" s="198">
        <v>0</v>
      </c>
      <c r="AI131" s="198">
        <v>0</v>
      </c>
      <c r="AJ131" s="198">
        <v>0</v>
      </c>
      <c r="AK131" s="198">
        <v>0</v>
      </c>
      <c r="AL131" s="198">
        <v>0</v>
      </c>
      <c r="AM131" s="198">
        <v>0</v>
      </c>
      <c r="AN131" s="198">
        <v>0</v>
      </c>
      <c r="AO131" s="198">
        <v>0</v>
      </c>
      <c r="AP131" s="198">
        <v>0</v>
      </c>
      <c r="AQ131" s="198">
        <v>0</v>
      </c>
      <c r="AR131" s="198">
        <v>0</v>
      </c>
      <c r="AS131" s="198">
        <v>0</v>
      </c>
      <c r="AT131" s="198">
        <v>0</v>
      </c>
      <c r="AU131" s="198">
        <v>0</v>
      </c>
      <c r="AV131" s="198">
        <v>0</v>
      </c>
      <c r="AW131" s="198">
        <v>0</v>
      </c>
      <c r="AX131" s="198">
        <v>0</v>
      </c>
      <c r="AY131" s="198">
        <v>0</v>
      </c>
      <c r="AZ131" s="198">
        <v>0</v>
      </c>
      <c r="BA131" s="198">
        <v>0</v>
      </c>
      <c r="BB131" s="198">
        <v>0</v>
      </c>
      <c r="BC131" s="198">
        <v>1290.5</v>
      </c>
      <c r="BD131" s="198">
        <v>0</v>
      </c>
      <c r="BE131" s="198">
        <v>227.3</v>
      </c>
      <c r="BF131" s="198">
        <v>0</v>
      </c>
      <c r="BG131" s="198">
        <v>149.9</v>
      </c>
      <c r="BH131" s="198">
        <v>0</v>
      </c>
      <c r="BI131" s="198">
        <v>233.5</v>
      </c>
      <c r="BJ131" s="198">
        <v>0</v>
      </c>
      <c r="BK131" s="198">
        <v>0</v>
      </c>
      <c r="BL131" s="198">
        <v>0</v>
      </c>
      <c r="BM131" s="198">
        <v>224.5</v>
      </c>
      <c r="BN131" s="198">
        <v>0</v>
      </c>
      <c r="BO131" s="198">
        <v>0</v>
      </c>
      <c r="BP131" s="198">
        <v>0</v>
      </c>
      <c r="BQ131" s="198">
        <v>0</v>
      </c>
      <c r="BR131" s="198">
        <v>0</v>
      </c>
      <c r="BS131" s="198">
        <v>540.20000000000005</v>
      </c>
      <c r="BT131" s="198">
        <v>0</v>
      </c>
      <c r="BU131" s="198">
        <v>0</v>
      </c>
      <c r="BV131" s="198">
        <v>0</v>
      </c>
      <c r="BW131" s="198">
        <v>0</v>
      </c>
      <c r="BX131" s="198">
        <v>0</v>
      </c>
      <c r="BY131" s="198">
        <v>0</v>
      </c>
      <c r="BZ131" s="198">
        <v>0</v>
      </c>
      <c r="CA131" s="198">
        <v>0</v>
      </c>
      <c r="CB131" s="198">
        <v>0</v>
      </c>
      <c r="CC131" s="198">
        <v>0</v>
      </c>
      <c r="CD131" s="198">
        <v>0</v>
      </c>
      <c r="CE131" s="198">
        <v>0</v>
      </c>
      <c r="CF131" s="198">
        <v>0</v>
      </c>
      <c r="CG131" s="198">
        <v>0</v>
      </c>
      <c r="CH131" s="198">
        <v>0</v>
      </c>
      <c r="CI131" s="198">
        <v>0</v>
      </c>
      <c r="CJ131" s="198">
        <v>0</v>
      </c>
      <c r="CK131" s="88"/>
    </row>
    <row r="132" spans="1:89" x14ac:dyDescent="0.3">
      <c r="A132" s="173"/>
      <c r="B132" s="204" t="s">
        <v>381</v>
      </c>
      <c r="C132" s="198">
        <v>0</v>
      </c>
      <c r="D132" s="198">
        <v>0</v>
      </c>
      <c r="E132" s="198">
        <v>0</v>
      </c>
      <c r="F132" s="198">
        <v>0</v>
      </c>
      <c r="G132" s="198">
        <v>0</v>
      </c>
      <c r="H132" s="198">
        <v>0</v>
      </c>
      <c r="I132" s="198">
        <v>0</v>
      </c>
      <c r="J132" s="198">
        <v>0</v>
      </c>
      <c r="K132" s="198">
        <v>0</v>
      </c>
      <c r="L132" s="198">
        <v>0</v>
      </c>
      <c r="M132" s="198">
        <v>0</v>
      </c>
      <c r="N132" s="198">
        <v>0</v>
      </c>
      <c r="O132" s="198">
        <v>0</v>
      </c>
      <c r="P132" s="198">
        <v>0</v>
      </c>
      <c r="Q132" s="198">
        <v>0</v>
      </c>
      <c r="R132" s="198">
        <v>0</v>
      </c>
      <c r="S132" s="198">
        <v>0</v>
      </c>
      <c r="T132" s="198">
        <v>0</v>
      </c>
      <c r="U132" s="198">
        <v>0</v>
      </c>
      <c r="V132" s="198">
        <v>0</v>
      </c>
      <c r="W132" s="198">
        <v>0</v>
      </c>
      <c r="X132" s="198">
        <v>0</v>
      </c>
      <c r="Y132" s="198">
        <v>0</v>
      </c>
      <c r="Z132" s="198">
        <v>0</v>
      </c>
      <c r="AA132" s="198">
        <v>0</v>
      </c>
      <c r="AB132" s="198">
        <v>0</v>
      </c>
      <c r="AC132" s="198">
        <v>0</v>
      </c>
      <c r="AD132" s="198">
        <v>0</v>
      </c>
      <c r="AE132" s="198">
        <v>0</v>
      </c>
      <c r="AF132" s="198">
        <v>0</v>
      </c>
      <c r="AG132" s="198">
        <v>0</v>
      </c>
      <c r="AH132" s="198">
        <v>0</v>
      </c>
      <c r="AI132" s="198">
        <v>0</v>
      </c>
      <c r="AJ132" s="198">
        <v>0</v>
      </c>
      <c r="AK132" s="198">
        <v>0</v>
      </c>
      <c r="AL132" s="198">
        <v>0</v>
      </c>
      <c r="AM132" s="198">
        <v>0</v>
      </c>
      <c r="AN132" s="198">
        <v>0</v>
      </c>
      <c r="AO132" s="198">
        <v>0</v>
      </c>
      <c r="AP132" s="198">
        <v>0</v>
      </c>
      <c r="AQ132" s="198">
        <v>0</v>
      </c>
      <c r="AR132" s="198">
        <v>0</v>
      </c>
      <c r="AS132" s="198">
        <v>0</v>
      </c>
      <c r="AT132" s="198">
        <v>0</v>
      </c>
      <c r="AU132" s="198">
        <v>0</v>
      </c>
      <c r="AV132" s="198">
        <v>0</v>
      </c>
      <c r="AW132" s="198">
        <v>0</v>
      </c>
      <c r="AX132" s="198">
        <v>0</v>
      </c>
      <c r="AY132" s="198">
        <v>0</v>
      </c>
      <c r="AZ132" s="198">
        <v>0</v>
      </c>
      <c r="BA132" s="198">
        <v>0</v>
      </c>
      <c r="BB132" s="198">
        <v>0</v>
      </c>
      <c r="BC132" s="198">
        <v>0</v>
      </c>
      <c r="BD132" s="198">
        <v>0</v>
      </c>
      <c r="BE132" s="198">
        <v>0</v>
      </c>
      <c r="BF132" s="198">
        <v>0</v>
      </c>
      <c r="BG132" s="198">
        <v>0</v>
      </c>
      <c r="BH132" s="198">
        <v>0</v>
      </c>
      <c r="BI132" s="198">
        <v>0</v>
      </c>
      <c r="BJ132" s="198">
        <v>0</v>
      </c>
      <c r="BK132" s="198">
        <v>0</v>
      </c>
      <c r="BL132" s="198">
        <v>1272.3</v>
      </c>
      <c r="BM132" s="198">
        <v>400.3</v>
      </c>
      <c r="BN132" s="198">
        <v>0</v>
      </c>
      <c r="BO132" s="198">
        <v>0</v>
      </c>
      <c r="BP132" s="198">
        <v>0</v>
      </c>
      <c r="BQ132" s="198">
        <v>0</v>
      </c>
      <c r="BR132" s="198">
        <v>664.9</v>
      </c>
      <c r="BS132" s="198">
        <v>0</v>
      </c>
      <c r="BT132" s="198">
        <v>0</v>
      </c>
      <c r="BU132" s="198">
        <v>0</v>
      </c>
      <c r="BV132" s="198">
        <v>0</v>
      </c>
      <c r="BW132" s="198">
        <v>0</v>
      </c>
      <c r="BX132" s="198">
        <v>0</v>
      </c>
      <c r="BY132" s="198">
        <v>0</v>
      </c>
      <c r="BZ132" s="198">
        <v>0</v>
      </c>
      <c r="CA132" s="198">
        <v>0</v>
      </c>
      <c r="CB132" s="198">
        <v>0</v>
      </c>
      <c r="CC132" s="198">
        <v>0</v>
      </c>
      <c r="CD132" s="198">
        <v>0</v>
      </c>
      <c r="CE132" s="198">
        <v>0</v>
      </c>
      <c r="CF132" s="198">
        <v>0</v>
      </c>
      <c r="CG132" s="198">
        <v>0</v>
      </c>
      <c r="CH132" s="198">
        <v>0</v>
      </c>
      <c r="CI132" s="198">
        <v>0</v>
      </c>
      <c r="CJ132" s="198">
        <v>0</v>
      </c>
      <c r="CK132" s="88"/>
    </row>
    <row r="133" spans="1:89" x14ac:dyDescent="0.3">
      <c r="A133" s="173"/>
      <c r="B133" s="204" t="s">
        <v>383</v>
      </c>
      <c r="C133" s="198">
        <v>0</v>
      </c>
      <c r="D133" s="198">
        <v>0</v>
      </c>
      <c r="E133" s="198">
        <v>0</v>
      </c>
      <c r="F133" s="198">
        <v>0</v>
      </c>
      <c r="G133" s="198">
        <v>0</v>
      </c>
      <c r="H133" s="198">
        <v>0</v>
      </c>
      <c r="I133" s="198">
        <v>0</v>
      </c>
      <c r="J133" s="198">
        <v>0</v>
      </c>
      <c r="K133" s="198">
        <v>0</v>
      </c>
      <c r="L133" s="198">
        <v>0</v>
      </c>
      <c r="M133" s="198">
        <v>0</v>
      </c>
      <c r="N133" s="198">
        <v>0</v>
      </c>
      <c r="O133" s="198">
        <v>0</v>
      </c>
      <c r="P133" s="198">
        <v>0</v>
      </c>
      <c r="Q133" s="198">
        <v>0</v>
      </c>
      <c r="R133" s="198">
        <v>0</v>
      </c>
      <c r="S133" s="198">
        <v>0</v>
      </c>
      <c r="T133" s="198">
        <v>0</v>
      </c>
      <c r="U133" s="198">
        <v>0</v>
      </c>
      <c r="V133" s="198">
        <v>0</v>
      </c>
      <c r="W133" s="198">
        <v>0</v>
      </c>
      <c r="X133" s="198">
        <v>0</v>
      </c>
      <c r="Y133" s="198">
        <v>0</v>
      </c>
      <c r="Z133" s="198">
        <v>0</v>
      </c>
      <c r="AA133" s="198">
        <v>0</v>
      </c>
      <c r="AB133" s="198">
        <v>0</v>
      </c>
      <c r="AC133" s="198">
        <v>0</v>
      </c>
      <c r="AD133" s="198">
        <v>0</v>
      </c>
      <c r="AE133" s="198">
        <v>0</v>
      </c>
      <c r="AF133" s="198">
        <v>0</v>
      </c>
      <c r="AG133" s="198">
        <v>0</v>
      </c>
      <c r="AH133" s="198">
        <v>0</v>
      </c>
      <c r="AI133" s="198">
        <v>0</v>
      </c>
      <c r="AJ133" s="198">
        <v>0</v>
      </c>
      <c r="AK133" s="198">
        <v>0</v>
      </c>
      <c r="AL133" s="198">
        <v>0</v>
      </c>
      <c r="AM133" s="198">
        <v>0</v>
      </c>
      <c r="AN133" s="198">
        <v>0</v>
      </c>
      <c r="AO133" s="198">
        <v>0</v>
      </c>
      <c r="AP133" s="198">
        <v>0</v>
      </c>
      <c r="AQ133" s="198">
        <v>0</v>
      </c>
      <c r="AR133" s="198">
        <v>0</v>
      </c>
      <c r="AS133" s="198">
        <v>0</v>
      </c>
      <c r="AT133" s="198">
        <v>0</v>
      </c>
      <c r="AU133" s="198">
        <v>0</v>
      </c>
      <c r="AV133" s="198">
        <v>0</v>
      </c>
      <c r="AW133" s="198">
        <v>0</v>
      </c>
      <c r="AX133" s="198">
        <v>0</v>
      </c>
      <c r="AY133" s="198">
        <v>0</v>
      </c>
      <c r="AZ133" s="198">
        <v>0</v>
      </c>
      <c r="BA133" s="198">
        <v>0</v>
      </c>
      <c r="BB133" s="198">
        <v>0</v>
      </c>
      <c r="BC133" s="198">
        <v>0</v>
      </c>
      <c r="BD133" s="198">
        <v>0</v>
      </c>
      <c r="BE133" s="198">
        <v>0</v>
      </c>
      <c r="BF133" s="198">
        <v>0</v>
      </c>
      <c r="BG133" s="198">
        <v>0</v>
      </c>
      <c r="BH133" s="198">
        <v>0</v>
      </c>
      <c r="BI133" s="198">
        <v>0</v>
      </c>
      <c r="BJ133" s="198">
        <v>0</v>
      </c>
      <c r="BK133" s="198">
        <v>0</v>
      </c>
      <c r="BL133" s="198">
        <v>0</v>
      </c>
      <c r="BM133" s="198">
        <v>9616.2000000000007</v>
      </c>
      <c r="BN133" s="198">
        <v>0</v>
      </c>
      <c r="BO133" s="198">
        <v>27.1</v>
      </c>
      <c r="BP133" s="198">
        <v>0</v>
      </c>
      <c r="BQ133" s="198">
        <v>0</v>
      </c>
      <c r="BR133" s="198">
        <v>0</v>
      </c>
      <c r="BS133" s="198">
        <v>0</v>
      </c>
      <c r="BT133" s="198">
        <v>0</v>
      </c>
      <c r="BU133" s="198">
        <v>0</v>
      </c>
      <c r="BV133" s="198">
        <v>0</v>
      </c>
      <c r="BW133" s="198">
        <v>0</v>
      </c>
      <c r="BX133" s="198">
        <v>0</v>
      </c>
      <c r="BY133" s="198">
        <v>0</v>
      </c>
      <c r="BZ133" s="198">
        <v>0</v>
      </c>
      <c r="CA133" s="198">
        <v>0</v>
      </c>
      <c r="CB133" s="198">
        <v>0</v>
      </c>
      <c r="CC133" s="198">
        <v>0</v>
      </c>
      <c r="CD133" s="198">
        <v>0</v>
      </c>
      <c r="CE133" s="198">
        <v>0</v>
      </c>
      <c r="CF133" s="198">
        <v>0</v>
      </c>
      <c r="CG133" s="198">
        <v>0</v>
      </c>
      <c r="CH133" s="198">
        <v>2788.6</v>
      </c>
      <c r="CI133" s="198">
        <v>316.10000000000002</v>
      </c>
      <c r="CJ133" s="198">
        <v>277.60000000000002</v>
      </c>
      <c r="CK133" s="88"/>
    </row>
    <row r="134" spans="1:89" x14ac:dyDescent="0.3">
      <c r="A134" s="173"/>
      <c r="B134" s="204" t="s">
        <v>384</v>
      </c>
      <c r="C134" s="198">
        <v>0</v>
      </c>
      <c r="D134" s="198">
        <v>0</v>
      </c>
      <c r="E134" s="198">
        <v>0</v>
      </c>
      <c r="F134" s="198">
        <v>0</v>
      </c>
      <c r="G134" s="198">
        <v>0</v>
      </c>
      <c r="H134" s="198">
        <v>0</v>
      </c>
      <c r="I134" s="198">
        <v>0</v>
      </c>
      <c r="J134" s="198">
        <v>0</v>
      </c>
      <c r="K134" s="198">
        <v>0</v>
      </c>
      <c r="L134" s="198">
        <v>0</v>
      </c>
      <c r="M134" s="198">
        <v>0</v>
      </c>
      <c r="N134" s="198">
        <v>0</v>
      </c>
      <c r="O134" s="198">
        <v>0</v>
      </c>
      <c r="P134" s="198">
        <v>0</v>
      </c>
      <c r="Q134" s="198">
        <v>0</v>
      </c>
      <c r="R134" s="198">
        <v>0</v>
      </c>
      <c r="S134" s="198">
        <v>0</v>
      </c>
      <c r="T134" s="198">
        <v>0</v>
      </c>
      <c r="U134" s="198">
        <v>0</v>
      </c>
      <c r="V134" s="198">
        <v>0</v>
      </c>
      <c r="W134" s="198">
        <v>0</v>
      </c>
      <c r="X134" s="198">
        <v>0</v>
      </c>
      <c r="Y134" s="198">
        <v>0</v>
      </c>
      <c r="Z134" s="198">
        <v>0</v>
      </c>
      <c r="AA134" s="198">
        <v>0</v>
      </c>
      <c r="AB134" s="198">
        <v>0</v>
      </c>
      <c r="AC134" s="198">
        <v>0</v>
      </c>
      <c r="AD134" s="198">
        <v>0</v>
      </c>
      <c r="AE134" s="198">
        <v>0</v>
      </c>
      <c r="AF134" s="198">
        <v>0</v>
      </c>
      <c r="AG134" s="198">
        <v>0</v>
      </c>
      <c r="AH134" s="198">
        <v>0</v>
      </c>
      <c r="AI134" s="198">
        <v>0</v>
      </c>
      <c r="AJ134" s="198">
        <v>0</v>
      </c>
      <c r="AK134" s="198">
        <v>0</v>
      </c>
      <c r="AL134" s="198">
        <v>0</v>
      </c>
      <c r="AM134" s="198">
        <v>0</v>
      </c>
      <c r="AN134" s="198">
        <v>0</v>
      </c>
      <c r="AO134" s="198">
        <v>0</v>
      </c>
      <c r="AP134" s="198">
        <v>0</v>
      </c>
      <c r="AQ134" s="198">
        <v>0</v>
      </c>
      <c r="AR134" s="198">
        <v>0</v>
      </c>
      <c r="AS134" s="198">
        <v>0</v>
      </c>
      <c r="AT134" s="198">
        <v>0</v>
      </c>
      <c r="AU134" s="198">
        <v>0</v>
      </c>
      <c r="AV134" s="198">
        <v>0</v>
      </c>
      <c r="AW134" s="198">
        <v>0</v>
      </c>
      <c r="AX134" s="198">
        <v>0</v>
      </c>
      <c r="AY134" s="198">
        <v>0</v>
      </c>
      <c r="AZ134" s="198">
        <v>0</v>
      </c>
      <c r="BA134" s="198">
        <v>0</v>
      </c>
      <c r="BB134" s="198">
        <v>0</v>
      </c>
      <c r="BC134" s="198">
        <v>0</v>
      </c>
      <c r="BD134" s="198">
        <v>0</v>
      </c>
      <c r="BE134" s="198">
        <v>0</v>
      </c>
      <c r="BF134" s="198">
        <v>0</v>
      </c>
      <c r="BG134" s="198">
        <v>0</v>
      </c>
      <c r="BH134" s="198">
        <v>0</v>
      </c>
      <c r="BI134" s="198">
        <v>0</v>
      </c>
      <c r="BJ134" s="198">
        <v>0</v>
      </c>
      <c r="BK134" s="198">
        <v>0</v>
      </c>
      <c r="BL134" s="198">
        <v>0</v>
      </c>
      <c r="BM134" s="198">
        <v>14392.5</v>
      </c>
      <c r="BN134" s="198">
        <v>1424.8</v>
      </c>
      <c r="BO134" s="198">
        <v>40.6</v>
      </c>
      <c r="BP134" s="198">
        <v>355.9</v>
      </c>
      <c r="BQ134" s="198">
        <v>345.6</v>
      </c>
      <c r="BR134" s="198">
        <v>285.89999999999998</v>
      </c>
      <c r="BS134" s="198">
        <v>169.9</v>
      </c>
      <c r="BT134" s="198">
        <v>278.2</v>
      </c>
      <c r="BU134" s="198">
        <v>0</v>
      </c>
      <c r="BV134" s="198">
        <v>0</v>
      </c>
      <c r="BW134" s="198">
        <v>0</v>
      </c>
      <c r="BX134" s="198">
        <v>0</v>
      </c>
      <c r="BY134" s="198">
        <v>0</v>
      </c>
      <c r="BZ134" s="198">
        <v>0</v>
      </c>
      <c r="CA134" s="198">
        <v>0</v>
      </c>
      <c r="CB134" s="198">
        <v>0</v>
      </c>
      <c r="CC134" s="198">
        <v>0</v>
      </c>
      <c r="CD134" s="198">
        <v>0</v>
      </c>
      <c r="CE134" s="198">
        <v>0</v>
      </c>
      <c r="CF134" s="198">
        <v>0</v>
      </c>
      <c r="CG134" s="198">
        <v>0</v>
      </c>
      <c r="CH134" s="198">
        <v>0</v>
      </c>
      <c r="CI134" s="198">
        <v>0</v>
      </c>
      <c r="CJ134" s="198">
        <v>0</v>
      </c>
      <c r="CK134" s="88"/>
    </row>
    <row r="135" spans="1:89" x14ac:dyDescent="0.3">
      <c r="A135" s="173"/>
      <c r="B135" s="204" t="s">
        <v>385</v>
      </c>
      <c r="C135" s="198">
        <v>0</v>
      </c>
      <c r="D135" s="198">
        <v>0</v>
      </c>
      <c r="E135" s="198">
        <v>0</v>
      </c>
      <c r="F135" s="198">
        <v>0</v>
      </c>
      <c r="G135" s="198">
        <v>0</v>
      </c>
      <c r="H135" s="198">
        <v>0</v>
      </c>
      <c r="I135" s="198">
        <v>0</v>
      </c>
      <c r="J135" s="198">
        <v>0</v>
      </c>
      <c r="K135" s="198">
        <v>0</v>
      </c>
      <c r="L135" s="198">
        <v>0</v>
      </c>
      <c r="M135" s="198">
        <v>0</v>
      </c>
      <c r="N135" s="198">
        <v>0</v>
      </c>
      <c r="O135" s="198">
        <v>0</v>
      </c>
      <c r="P135" s="198">
        <v>0</v>
      </c>
      <c r="Q135" s="198">
        <v>0</v>
      </c>
      <c r="R135" s="198">
        <v>0</v>
      </c>
      <c r="S135" s="198">
        <v>0</v>
      </c>
      <c r="T135" s="198">
        <v>0</v>
      </c>
      <c r="U135" s="198">
        <v>0</v>
      </c>
      <c r="V135" s="198">
        <v>0</v>
      </c>
      <c r="W135" s="198">
        <v>0</v>
      </c>
      <c r="X135" s="198">
        <v>0</v>
      </c>
      <c r="Y135" s="198">
        <v>0</v>
      </c>
      <c r="Z135" s="198">
        <v>0</v>
      </c>
      <c r="AA135" s="198">
        <v>0</v>
      </c>
      <c r="AB135" s="198">
        <v>0</v>
      </c>
      <c r="AC135" s="198">
        <v>0</v>
      </c>
      <c r="AD135" s="198">
        <v>0</v>
      </c>
      <c r="AE135" s="198">
        <v>0</v>
      </c>
      <c r="AF135" s="198">
        <v>0</v>
      </c>
      <c r="AG135" s="198">
        <v>0</v>
      </c>
      <c r="AH135" s="198">
        <v>0</v>
      </c>
      <c r="AI135" s="198">
        <v>0</v>
      </c>
      <c r="AJ135" s="198">
        <v>0</v>
      </c>
      <c r="AK135" s="198">
        <v>0</v>
      </c>
      <c r="AL135" s="198">
        <v>0</v>
      </c>
      <c r="AM135" s="198">
        <v>0</v>
      </c>
      <c r="AN135" s="198">
        <v>0</v>
      </c>
      <c r="AO135" s="198">
        <v>0</v>
      </c>
      <c r="AP135" s="198">
        <v>0</v>
      </c>
      <c r="AQ135" s="198">
        <v>0</v>
      </c>
      <c r="AR135" s="198">
        <v>0</v>
      </c>
      <c r="AS135" s="198">
        <v>0</v>
      </c>
      <c r="AT135" s="198">
        <v>0</v>
      </c>
      <c r="AU135" s="198">
        <v>0</v>
      </c>
      <c r="AV135" s="198">
        <v>0</v>
      </c>
      <c r="AW135" s="198">
        <v>0</v>
      </c>
      <c r="AX135" s="198">
        <v>0</v>
      </c>
      <c r="AY135" s="198">
        <v>0</v>
      </c>
      <c r="AZ135" s="198">
        <v>0</v>
      </c>
      <c r="BA135" s="198">
        <v>0</v>
      </c>
      <c r="BB135" s="198">
        <v>0</v>
      </c>
      <c r="BC135" s="198">
        <v>0</v>
      </c>
      <c r="BD135" s="198">
        <v>0</v>
      </c>
      <c r="BE135" s="198">
        <v>0</v>
      </c>
      <c r="BF135" s="198">
        <v>0</v>
      </c>
      <c r="BG135" s="198">
        <v>0</v>
      </c>
      <c r="BH135" s="198">
        <v>0</v>
      </c>
      <c r="BI135" s="198">
        <v>0</v>
      </c>
      <c r="BJ135" s="198">
        <v>0</v>
      </c>
      <c r="BK135" s="198">
        <v>0</v>
      </c>
      <c r="BL135" s="198">
        <v>0</v>
      </c>
      <c r="BM135" s="198">
        <v>14392.5</v>
      </c>
      <c r="BN135" s="198">
        <v>0</v>
      </c>
      <c r="BO135" s="198">
        <v>40.6</v>
      </c>
      <c r="BP135" s="198">
        <v>0</v>
      </c>
      <c r="BQ135" s="198">
        <v>27.4</v>
      </c>
      <c r="BR135" s="198">
        <v>1543.9</v>
      </c>
      <c r="BS135" s="198">
        <v>54.2</v>
      </c>
      <c r="BT135" s="198">
        <v>0</v>
      </c>
      <c r="BU135" s="198">
        <v>0</v>
      </c>
      <c r="BV135" s="198">
        <v>0</v>
      </c>
      <c r="BW135" s="198">
        <v>0</v>
      </c>
      <c r="BX135" s="198">
        <v>0</v>
      </c>
      <c r="BY135" s="198">
        <v>0</v>
      </c>
      <c r="BZ135" s="198">
        <v>0</v>
      </c>
      <c r="CA135" s="198">
        <v>0</v>
      </c>
      <c r="CB135" s="198">
        <v>0</v>
      </c>
      <c r="CC135" s="198">
        <v>0</v>
      </c>
      <c r="CD135" s="198">
        <v>0</v>
      </c>
      <c r="CE135" s="198">
        <v>0</v>
      </c>
      <c r="CF135" s="198">
        <v>0</v>
      </c>
      <c r="CG135" s="198">
        <v>0</v>
      </c>
      <c r="CH135" s="198">
        <v>0</v>
      </c>
      <c r="CI135" s="198">
        <v>0</v>
      </c>
      <c r="CJ135" s="198">
        <v>645.9</v>
      </c>
      <c r="CK135" s="88"/>
    </row>
    <row r="136" spans="1:89" x14ac:dyDescent="0.3">
      <c r="A136" s="173"/>
      <c r="B136" s="204" t="s">
        <v>387</v>
      </c>
      <c r="C136" s="198">
        <v>0</v>
      </c>
      <c r="D136" s="198">
        <v>0</v>
      </c>
      <c r="E136" s="198">
        <v>0</v>
      </c>
      <c r="F136" s="198">
        <v>0</v>
      </c>
      <c r="G136" s="198">
        <v>0</v>
      </c>
      <c r="H136" s="198">
        <v>0</v>
      </c>
      <c r="I136" s="198">
        <v>0</v>
      </c>
      <c r="J136" s="198">
        <v>0</v>
      </c>
      <c r="K136" s="198">
        <v>0</v>
      </c>
      <c r="L136" s="198">
        <v>0</v>
      </c>
      <c r="M136" s="198">
        <v>0</v>
      </c>
      <c r="N136" s="198">
        <v>0</v>
      </c>
      <c r="O136" s="198">
        <v>0</v>
      </c>
      <c r="P136" s="198">
        <v>0</v>
      </c>
      <c r="Q136" s="198">
        <v>0</v>
      </c>
      <c r="R136" s="198">
        <v>0</v>
      </c>
      <c r="S136" s="198">
        <v>0</v>
      </c>
      <c r="T136" s="198">
        <v>0</v>
      </c>
      <c r="U136" s="198">
        <v>0</v>
      </c>
      <c r="V136" s="198">
        <v>0</v>
      </c>
      <c r="W136" s="198">
        <v>0</v>
      </c>
      <c r="X136" s="198">
        <v>0</v>
      </c>
      <c r="Y136" s="198">
        <v>0</v>
      </c>
      <c r="Z136" s="198">
        <v>0</v>
      </c>
      <c r="AA136" s="198">
        <v>0</v>
      </c>
      <c r="AB136" s="198">
        <v>0</v>
      </c>
      <c r="AC136" s="198">
        <v>0</v>
      </c>
      <c r="AD136" s="198">
        <v>0</v>
      </c>
      <c r="AE136" s="198">
        <v>0</v>
      </c>
      <c r="AF136" s="198">
        <v>0</v>
      </c>
      <c r="AG136" s="198">
        <v>0</v>
      </c>
      <c r="AH136" s="198">
        <v>0</v>
      </c>
      <c r="AI136" s="198">
        <v>0</v>
      </c>
      <c r="AJ136" s="198">
        <v>0</v>
      </c>
      <c r="AK136" s="198">
        <v>0</v>
      </c>
      <c r="AL136" s="198">
        <v>0</v>
      </c>
      <c r="AM136" s="198">
        <v>0</v>
      </c>
      <c r="AN136" s="198">
        <v>0</v>
      </c>
      <c r="AO136" s="198">
        <v>0</v>
      </c>
      <c r="AP136" s="198">
        <v>0</v>
      </c>
      <c r="AQ136" s="198">
        <v>0</v>
      </c>
      <c r="AR136" s="198">
        <v>0</v>
      </c>
      <c r="AS136" s="198">
        <v>0</v>
      </c>
      <c r="AT136" s="198">
        <v>0</v>
      </c>
      <c r="AU136" s="198">
        <v>0</v>
      </c>
      <c r="AV136" s="198">
        <v>0</v>
      </c>
      <c r="AW136" s="198">
        <v>0</v>
      </c>
      <c r="AX136" s="198">
        <v>0</v>
      </c>
      <c r="AY136" s="198">
        <v>0</v>
      </c>
      <c r="AZ136" s="198">
        <v>0</v>
      </c>
      <c r="BA136" s="198">
        <v>0</v>
      </c>
      <c r="BB136" s="198">
        <v>0</v>
      </c>
      <c r="BC136" s="198">
        <v>0</v>
      </c>
      <c r="BD136" s="198">
        <v>0</v>
      </c>
      <c r="BE136" s="198">
        <v>0</v>
      </c>
      <c r="BF136" s="198">
        <v>0</v>
      </c>
      <c r="BG136" s="198">
        <v>0</v>
      </c>
      <c r="BH136" s="198">
        <v>0</v>
      </c>
      <c r="BI136" s="198">
        <v>0</v>
      </c>
      <c r="BJ136" s="198">
        <v>0</v>
      </c>
      <c r="BK136" s="198">
        <v>0</v>
      </c>
      <c r="BL136" s="198">
        <v>0</v>
      </c>
      <c r="BM136" s="198">
        <v>0</v>
      </c>
      <c r="BN136" s="198">
        <v>597.6</v>
      </c>
      <c r="BO136" s="198">
        <v>538.4</v>
      </c>
      <c r="BP136" s="198">
        <v>0</v>
      </c>
      <c r="BQ136" s="198">
        <v>0</v>
      </c>
      <c r="BR136" s="198">
        <v>0</v>
      </c>
      <c r="BS136" s="198">
        <v>174.2</v>
      </c>
      <c r="BT136" s="198">
        <v>261.89999999999998</v>
      </c>
      <c r="BU136" s="198">
        <v>1938.6</v>
      </c>
      <c r="BV136" s="198">
        <v>364.7</v>
      </c>
      <c r="BW136" s="198">
        <v>0</v>
      </c>
      <c r="BX136" s="198">
        <v>0</v>
      </c>
      <c r="BY136" s="198">
        <v>0</v>
      </c>
      <c r="BZ136" s="198">
        <v>0</v>
      </c>
      <c r="CA136" s="198">
        <v>0</v>
      </c>
      <c r="CB136" s="198">
        <v>0</v>
      </c>
      <c r="CC136" s="198">
        <v>158</v>
      </c>
      <c r="CD136" s="198">
        <v>0</v>
      </c>
      <c r="CE136" s="198">
        <v>111.5</v>
      </c>
      <c r="CF136" s="198">
        <v>0</v>
      </c>
      <c r="CG136" s="198">
        <v>723.9</v>
      </c>
      <c r="CH136" s="198">
        <v>0</v>
      </c>
      <c r="CI136" s="198">
        <v>0</v>
      </c>
      <c r="CJ136" s="198">
        <v>0</v>
      </c>
      <c r="CK136" s="88"/>
    </row>
    <row r="137" spans="1:89" x14ac:dyDescent="0.3">
      <c r="A137" s="173"/>
      <c r="B137" s="204" t="s">
        <v>386</v>
      </c>
      <c r="C137" s="198">
        <v>0</v>
      </c>
      <c r="D137" s="198">
        <v>0</v>
      </c>
      <c r="E137" s="198">
        <v>0</v>
      </c>
      <c r="F137" s="198">
        <v>0</v>
      </c>
      <c r="G137" s="198">
        <v>0</v>
      </c>
      <c r="H137" s="198">
        <v>0</v>
      </c>
      <c r="I137" s="198">
        <v>0</v>
      </c>
      <c r="J137" s="198">
        <v>0</v>
      </c>
      <c r="K137" s="198">
        <v>0</v>
      </c>
      <c r="L137" s="198">
        <v>0</v>
      </c>
      <c r="M137" s="198">
        <v>0</v>
      </c>
      <c r="N137" s="198">
        <v>0</v>
      </c>
      <c r="O137" s="198">
        <v>0</v>
      </c>
      <c r="P137" s="198">
        <v>0</v>
      </c>
      <c r="Q137" s="198">
        <v>0</v>
      </c>
      <c r="R137" s="198">
        <v>0</v>
      </c>
      <c r="S137" s="198">
        <v>0</v>
      </c>
      <c r="T137" s="198">
        <v>0</v>
      </c>
      <c r="U137" s="198">
        <v>0</v>
      </c>
      <c r="V137" s="198">
        <v>0</v>
      </c>
      <c r="W137" s="198">
        <v>0</v>
      </c>
      <c r="X137" s="198">
        <v>0</v>
      </c>
      <c r="Y137" s="198">
        <v>0</v>
      </c>
      <c r="Z137" s="198">
        <v>0</v>
      </c>
      <c r="AA137" s="198">
        <v>0</v>
      </c>
      <c r="AB137" s="198">
        <v>0</v>
      </c>
      <c r="AC137" s="198">
        <v>0</v>
      </c>
      <c r="AD137" s="198">
        <v>0</v>
      </c>
      <c r="AE137" s="198">
        <v>0</v>
      </c>
      <c r="AF137" s="198">
        <v>0</v>
      </c>
      <c r="AG137" s="198">
        <v>0</v>
      </c>
      <c r="AH137" s="198">
        <v>0</v>
      </c>
      <c r="AI137" s="198">
        <v>0</v>
      </c>
      <c r="AJ137" s="198">
        <v>0</v>
      </c>
      <c r="AK137" s="198">
        <v>0</v>
      </c>
      <c r="AL137" s="198">
        <v>0</v>
      </c>
      <c r="AM137" s="198">
        <v>0</v>
      </c>
      <c r="AN137" s="198">
        <v>0</v>
      </c>
      <c r="AO137" s="198">
        <v>0</v>
      </c>
      <c r="AP137" s="198">
        <v>0</v>
      </c>
      <c r="AQ137" s="198">
        <v>0</v>
      </c>
      <c r="AR137" s="198">
        <v>0</v>
      </c>
      <c r="AS137" s="198">
        <v>0</v>
      </c>
      <c r="AT137" s="198">
        <v>0</v>
      </c>
      <c r="AU137" s="198">
        <v>0</v>
      </c>
      <c r="AV137" s="198">
        <v>0</v>
      </c>
      <c r="AW137" s="198">
        <v>0</v>
      </c>
      <c r="AX137" s="198">
        <v>0</v>
      </c>
      <c r="AY137" s="198">
        <v>0</v>
      </c>
      <c r="AZ137" s="198">
        <v>0</v>
      </c>
      <c r="BA137" s="198">
        <v>0</v>
      </c>
      <c r="BB137" s="198">
        <v>0</v>
      </c>
      <c r="BC137" s="198">
        <v>0</v>
      </c>
      <c r="BD137" s="198">
        <v>0</v>
      </c>
      <c r="BE137" s="198">
        <v>0</v>
      </c>
      <c r="BF137" s="198">
        <v>0</v>
      </c>
      <c r="BG137" s="198">
        <v>0</v>
      </c>
      <c r="BH137" s="198">
        <v>0</v>
      </c>
      <c r="BI137" s="198">
        <v>0</v>
      </c>
      <c r="BJ137" s="198">
        <v>0</v>
      </c>
      <c r="BK137" s="198">
        <v>0</v>
      </c>
      <c r="BL137" s="198">
        <v>0</v>
      </c>
      <c r="BM137" s="198">
        <v>11993.7</v>
      </c>
      <c r="BN137" s="198">
        <v>0</v>
      </c>
      <c r="BO137" s="198">
        <v>33.799999999999997</v>
      </c>
      <c r="BP137" s="198">
        <v>0</v>
      </c>
      <c r="BQ137" s="198">
        <v>0</v>
      </c>
      <c r="BR137" s="198">
        <v>1235.7</v>
      </c>
      <c r="BS137" s="198">
        <v>0</v>
      </c>
      <c r="BT137" s="198">
        <v>0</v>
      </c>
      <c r="BU137" s="198">
        <v>0</v>
      </c>
      <c r="BV137" s="198">
        <v>0</v>
      </c>
      <c r="BW137" s="198">
        <v>0</v>
      </c>
      <c r="BX137" s="198">
        <v>0</v>
      </c>
      <c r="BY137" s="198">
        <v>0</v>
      </c>
      <c r="BZ137" s="198">
        <v>0</v>
      </c>
      <c r="CA137" s="198">
        <v>0</v>
      </c>
      <c r="CB137" s="198">
        <v>0</v>
      </c>
      <c r="CC137" s="198">
        <v>0</v>
      </c>
      <c r="CD137" s="198">
        <v>0</v>
      </c>
      <c r="CE137" s="198">
        <v>0</v>
      </c>
      <c r="CF137" s="198">
        <v>0</v>
      </c>
      <c r="CG137" s="198">
        <v>0</v>
      </c>
      <c r="CH137" s="198">
        <v>0</v>
      </c>
      <c r="CI137" s="198">
        <v>0</v>
      </c>
      <c r="CJ137" s="198">
        <v>0</v>
      </c>
      <c r="CK137" s="88"/>
    </row>
    <row r="138" spans="1:89" x14ac:dyDescent="0.3">
      <c r="A138" s="173"/>
      <c r="B138" s="204" t="s">
        <v>418</v>
      </c>
      <c r="C138" s="198">
        <v>0</v>
      </c>
      <c r="D138" s="198">
        <v>0</v>
      </c>
      <c r="E138" s="198">
        <v>0</v>
      </c>
      <c r="F138" s="198">
        <v>0</v>
      </c>
      <c r="G138" s="198">
        <v>0</v>
      </c>
      <c r="H138" s="198">
        <v>0</v>
      </c>
      <c r="I138" s="198">
        <v>0</v>
      </c>
      <c r="J138" s="198">
        <v>0</v>
      </c>
      <c r="K138" s="198">
        <v>0</v>
      </c>
      <c r="L138" s="198">
        <v>0</v>
      </c>
      <c r="M138" s="198">
        <v>0</v>
      </c>
      <c r="N138" s="198">
        <v>0</v>
      </c>
      <c r="O138" s="198">
        <v>0</v>
      </c>
      <c r="P138" s="198">
        <v>0</v>
      </c>
      <c r="Q138" s="198">
        <v>0</v>
      </c>
      <c r="R138" s="198">
        <v>0</v>
      </c>
      <c r="S138" s="198">
        <v>0</v>
      </c>
      <c r="T138" s="198">
        <v>0</v>
      </c>
      <c r="U138" s="198">
        <v>0</v>
      </c>
      <c r="V138" s="198">
        <v>0</v>
      </c>
      <c r="W138" s="198">
        <v>0</v>
      </c>
      <c r="X138" s="198">
        <v>0</v>
      </c>
      <c r="Y138" s="198">
        <v>0</v>
      </c>
      <c r="Z138" s="198">
        <v>0</v>
      </c>
      <c r="AA138" s="198">
        <v>0</v>
      </c>
      <c r="AB138" s="198">
        <v>0</v>
      </c>
      <c r="AC138" s="198">
        <v>0</v>
      </c>
      <c r="AD138" s="198">
        <v>0</v>
      </c>
      <c r="AE138" s="198">
        <v>0</v>
      </c>
      <c r="AF138" s="198">
        <v>0</v>
      </c>
      <c r="AG138" s="198">
        <v>0</v>
      </c>
      <c r="AH138" s="198">
        <v>0</v>
      </c>
      <c r="AI138" s="198">
        <v>0</v>
      </c>
      <c r="AJ138" s="198">
        <v>0</v>
      </c>
      <c r="AK138" s="198">
        <v>0</v>
      </c>
      <c r="AL138" s="198">
        <v>0</v>
      </c>
      <c r="AM138" s="198">
        <v>0</v>
      </c>
      <c r="AN138" s="198">
        <v>0</v>
      </c>
      <c r="AO138" s="198">
        <v>0</v>
      </c>
      <c r="AP138" s="198">
        <v>0</v>
      </c>
      <c r="AQ138" s="198">
        <v>0</v>
      </c>
      <c r="AR138" s="198">
        <v>0</v>
      </c>
      <c r="AS138" s="198">
        <v>0</v>
      </c>
      <c r="AT138" s="198">
        <v>0</v>
      </c>
      <c r="AU138" s="198">
        <v>0</v>
      </c>
      <c r="AV138" s="198">
        <v>0</v>
      </c>
      <c r="AW138" s="198">
        <v>0</v>
      </c>
      <c r="AX138" s="198">
        <v>0</v>
      </c>
      <c r="AY138" s="198">
        <v>0</v>
      </c>
      <c r="AZ138" s="198">
        <v>0</v>
      </c>
      <c r="BA138" s="198">
        <v>0</v>
      </c>
      <c r="BB138" s="198">
        <v>0</v>
      </c>
      <c r="BC138" s="198">
        <v>0</v>
      </c>
      <c r="BD138" s="198">
        <v>0</v>
      </c>
      <c r="BE138" s="198">
        <v>0</v>
      </c>
      <c r="BF138" s="198">
        <v>0</v>
      </c>
      <c r="BG138" s="198">
        <v>0</v>
      </c>
      <c r="BH138" s="198">
        <v>0</v>
      </c>
      <c r="BI138" s="198">
        <v>0</v>
      </c>
      <c r="BJ138" s="198">
        <v>0</v>
      </c>
      <c r="BK138" s="198">
        <v>0</v>
      </c>
      <c r="BL138" s="198">
        <v>0</v>
      </c>
      <c r="BM138" s="198">
        <v>0</v>
      </c>
      <c r="BN138" s="198">
        <v>0</v>
      </c>
      <c r="BO138" s="198">
        <v>0</v>
      </c>
      <c r="BP138" s="198">
        <v>0</v>
      </c>
      <c r="BQ138" s="198">
        <v>0</v>
      </c>
      <c r="BR138" s="198">
        <v>0</v>
      </c>
      <c r="BS138" s="198">
        <v>0</v>
      </c>
      <c r="BT138" s="198">
        <v>0</v>
      </c>
      <c r="BU138" s="198">
        <v>0</v>
      </c>
      <c r="BV138" s="198">
        <v>0</v>
      </c>
      <c r="BW138" s="198">
        <v>0</v>
      </c>
      <c r="BX138" s="198">
        <v>0</v>
      </c>
      <c r="BY138" s="198">
        <v>0</v>
      </c>
      <c r="BZ138" s="198">
        <v>0</v>
      </c>
      <c r="CA138" s="198">
        <v>0</v>
      </c>
      <c r="CB138" s="198">
        <v>0</v>
      </c>
      <c r="CC138" s="198">
        <v>0</v>
      </c>
      <c r="CD138" s="198">
        <v>0</v>
      </c>
      <c r="CE138" s="198">
        <v>0</v>
      </c>
      <c r="CF138" s="198">
        <v>0</v>
      </c>
      <c r="CG138" s="198">
        <v>251.9</v>
      </c>
      <c r="CH138" s="198">
        <v>0</v>
      </c>
      <c r="CI138" s="198">
        <v>0</v>
      </c>
      <c r="CJ138" s="198">
        <v>0</v>
      </c>
      <c r="CK138" s="88"/>
    </row>
    <row r="139" spans="1:89" x14ac:dyDescent="0.3">
      <c r="A139" s="173"/>
      <c r="B139" s="204" t="s">
        <v>420</v>
      </c>
      <c r="C139" s="198">
        <v>0</v>
      </c>
      <c r="D139" s="198">
        <v>0</v>
      </c>
      <c r="E139" s="198">
        <v>0</v>
      </c>
      <c r="F139" s="198">
        <v>0</v>
      </c>
      <c r="G139" s="198">
        <v>0</v>
      </c>
      <c r="H139" s="198">
        <v>0</v>
      </c>
      <c r="I139" s="198">
        <v>0</v>
      </c>
      <c r="J139" s="198">
        <v>0</v>
      </c>
      <c r="K139" s="198">
        <v>0</v>
      </c>
      <c r="L139" s="198">
        <v>0</v>
      </c>
      <c r="M139" s="198">
        <v>0</v>
      </c>
      <c r="N139" s="198">
        <v>0</v>
      </c>
      <c r="O139" s="198">
        <v>0</v>
      </c>
      <c r="P139" s="198">
        <v>0</v>
      </c>
      <c r="Q139" s="198">
        <v>0</v>
      </c>
      <c r="R139" s="198">
        <v>0</v>
      </c>
      <c r="S139" s="198">
        <v>0</v>
      </c>
      <c r="T139" s="198">
        <v>0</v>
      </c>
      <c r="U139" s="198">
        <v>0</v>
      </c>
      <c r="V139" s="198">
        <v>0</v>
      </c>
      <c r="W139" s="198">
        <v>0</v>
      </c>
      <c r="X139" s="198">
        <v>0</v>
      </c>
      <c r="Y139" s="198">
        <v>0</v>
      </c>
      <c r="Z139" s="198">
        <v>0</v>
      </c>
      <c r="AA139" s="198">
        <v>0</v>
      </c>
      <c r="AB139" s="198">
        <v>0</v>
      </c>
      <c r="AC139" s="198">
        <v>0</v>
      </c>
      <c r="AD139" s="198">
        <v>0</v>
      </c>
      <c r="AE139" s="198">
        <v>0</v>
      </c>
      <c r="AF139" s="198">
        <v>0</v>
      </c>
      <c r="AG139" s="198">
        <v>0</v>
      </c>
      <c r="AH139" s="198">
        <v>0</v>
      </c>
      <c r="AI139" s="198">
        <v>0</v>
      </c>
      <c r="AJ139" s="198">
        <v>0</v>
      </c>
      <c r="AK139" s="198">
        <v>0</v>
      </c>
      <c r="AL139" s="198">
        <v>0</v>
      </c>
      <c r="AM139" s="198">
        <v>0</v>
      </c>
      <c r="AN139" s="198">
        <v>0</v>
      </c>
      <c r="AO139" s="198">
        <v>0</v>
      </c>
      <c r="AP139" s="198">
        <v>0</v>
      </c>
      <c r="AQ139" s="198">
        <v>0</v>
      </c>
      <c r="AR139" s="198">
        <v>0</v>
      </c>
      <c r="AS139" s="198">
        <v>0</v>
      </c>
      <c r="AT139" s="198">
        <v>0</v>
      </c>
      <c r="AU139" s="198">
        <v>0</v>
      </c>
      <c r="AV139" s="198">
        <v>0</v>
      </c>
      <c r="AW139" s="198">
        <v>0</v>
      </c>
      <c r="AX139" s="198">
        <v>0</v>
      </c>
      <c r="AY139" s="198">
        <v>0</v>
      </c>
      <c r="AZ139" s="198">
        <v>0</v>
      </c>
      <c r="BA139" s="198">
        <v>0</v>
      </c>
      <c r="BB139" s="198">
        <v>0</v>
      </c>
      <c r="BC139" s="198">
        <v>0</v>
      </c>
      <c r="BD139" s="198">
        <v>0</v>
      </c>
      <c r="BE139" s="198">
        <v>0</v>
      </c>
      <c r="BF139" s="198">
        <v>0</v>
      </c>
      <c r="BG139" s="198">
        <v>0</v>
      </c>
      <c r="BH139" s="198">
        <v>0</v>
      </c>
      <c r="BI139" s="198">
        <v>0</v>
      </c>
      <c r="BJ139" s="198">
        <v>0</v>
      </c>
      <c r="BK139" s="198">
        <v>0</v>
      </c>
      <c r="BL139" s="198">
        <v>0</v>
      </c>
      <c r="BM139" s="198">
        <v>0</v>
      </c>
      <c r="BN139" s="198">
        <v>0</v>
      </c>
      <c r="BO139" s="198">
        <v>0</v>
      </c>
      <c r="BP139" s="198">
        <v>0</v>
      </c>
      <c r="BQ139" s="198">
        <v>0</v>
      </c>
      <c r="BR139" s="198">
        <v>0</v>
      </c>
      <c r="BS139" s="198">
        <v>0</v>
      </c>
      <c r="BT139" s="198">
        <v>0</v>
      </c>
      <c r="BU139" s="198">
        <v>0</v>
      </c>
      <c r="BV139" s="198">
        <v>0</v>
      </c>
      <c r="BW139" s="198">
        <v>0</v>
      </c>
      <c r="BX139" s="198">
        <v>0</v>
      </c>
      <c r="BY139" s="198">
        <v>0</v>
      </c>
      <c r="BZ139" s="198">
        <v>0</v>
      </c>
      <c r="CA139" s="198">
        <v>0</v>
      </c>
      <c r="CB139" s="198">
        <v>0</v>
      </c>
      <c r="CC139" s="198">
        <v>0</v>
      </c>
      <c r="CD139" s="198">
        <v>0</v>
      </c>
      <c r="CE139" s="198">
        <v>0</v>
      </c>
      <c r="CF139" s="198">
        <v>0</v>
      </c>
      <c r="CG139" s="198">
        <v>0</v>
      </c>
      <c r="CH139" s="198">
        <v>2150</v>
      </c>
      <c r="CI139" s="198">
        <v>0</v>
      </c>
      <c r="CJ139" s="198">
        <v>0</v>
      </c>
      <c r="CK139" s="88"/>
    </row>
    <row r="140" spans="1:89" x14ac:dyDescent="0.3">
      <c r="A140" s="173"/>
      <c r="B140" s="204" t="s">
        <v>377</v>
      </c>
      <c r="C140" s="198">
        <v>0</v>
      </c>
      <c r="D140" s="198">
        <v>0</v>
      </c>
      <c r="E140" s="198">
        <v>0</v>
      </c>
      <c r="F140" s="198">
        <v>0</v>
      </c>
      <c r="G140" s="198">
        <v>0</v>
      </c>
      <c r="H140" s="198">
        <v>0</v>
      </c>
      <c r="I140" s="198">
        <v>0</v>
      </c>
      <c r="J140" s="198">
        <v>0</v>
      </c>
      <c r="K140" s="198">
        <v>0</v>
      </c>
      <c r="L140" s="198">
        <v>0</v>
      </c>
      <c r="M140" s="198">
        <v>0</v>
      </c>
      <c r="N140" s="198">
        <v>0</v>
      </c>
      <c r="O140" s="198">
        <v>0</v>
      </c>
      <c r="P140" s="198">
        <v>0</v>
      </c>
      <c r="Q140" s="198">
        <v>0</v>
      </c>
      <c r="R140" s="198">
        <v>0</v>
      </c>
      <c r="S140" s="198">
        <v>0</v>
      </c>
      <c r="T140" s="198">
        <v>0</v>
      </c>
      <c r="U140" s="198">
        <v>0</v>
      </c>
      <c r="V140" s="198">
        <v>0</v>
      </c>
      <c r="W140" s="198">
        <v>0</v>
      </c>
      <c r="X140" s="198">
        <v>0</v>
      </c>
      <c r="Y140" s="198">
        <v>0</v>
      </c>
      <c r="Z140" s="198">
        <v>0</v>
      </c>
      <c r="AA140" s="198">
        <v>0</v>
      </c>
      <c r="AB140" s="198">
        <v>0</v>
      </c>
      <c r="AC140" s="198">
        <v>0</v>
      </c>
      <c r="AD140" s="198">
        <v>0</v>
      </c>
      <c r="AE140" s="198">
        <v>0</v>
      </c>
      <c r="AF140" s="198">
        <v>0</v>
      </c>
      <c r="AG140" s="198">
        <v>0</v>
      </c>
      <c r="AH140" s="198">
        <v>0</v>
      </c>
      <c r="AI140" s="198">
        <v>0</v>
      </c>
      <c r="AJ140" s="198">
        <v>0</v>
      </c>
      <c r="AK140" s="198">
        <v>0</v>
      </c>
      <c r="AL140" s="198">
        <v>0</v>
      </c>
      <c r="AM140" s="198">
        <v>0</v>
      </c>
      <c r="AN140" s="198">
        <v>0</v>
      </c>
      <c r="AO140" s="198">
        <v>0</v>
      </c>
      <c r="AP140" s="198">
        <v>0</v>
      </c>
      <c r="AQ140" s="198">
        <v>0</v>
      </c>
      <c r="AR140" s="198">
        <v>0</v>
      </c>
      <c r="AS140" s="198">
        <v>0</v>
      </c>
      <c r="AT140" s="198">
        <v>0</v>
      </c>
      <c r="AU140" s="198">
        <v>0</v>
      </c>
      <c r="AV140" s="198">
        <v>0</v>
      </c>
      <c r="AW140" s="198">
        <v>0</v>
      </c>
      <c r="AX140" s="198">
        <v>0</v>
      </c>
      <c r="AY140" s="198">
        <v>0</v>
      </c>
      <c r="AZ140" s="198">
        <v>0</v>
      </c>
      <c r="BA140" s="198">
        <v>0</v>
      </c>
      <c r="BB140" s="198">
        <v>0</v>
      </c>
      <c r="BC140" s="198">
        <v>0</v>
      </c>
      <c r="BD140" s="198">
        <v>0</v>
      </c>
      <c r="BE140" s="198">
        <v>0</v>
      </c>
      <c r="BF140" s="198">
        <v>0</v>
      </c>
      <c r="BG140" s="198">
        <v>0</v>
      </c>
      <c r="BH140" s="198">
        <v>0</v>
      </c>
      <c r="BI140" s="198">
        <v>410.1</v>
      </c>
      <c r="BJ140" s="198">
        <v>0</v>
      </c>
      <c r="BK140" s="198">
        <v>0</v>
      </c>
      <c r="BL140" s="198">
        <v>0</v>
      </c>
      <c r="BM140" s="198">
        <v>0</v>
      </c>
      <c r="BN140" s="198">
        <v>0</v>
      </c>
      <c r="BO140" s="198">
        <v>0</v>
      </c>
      <c r="BP140" s="198">
        <v>0</v>
      </c>
      <c r="BQ140" s="198">
        <v>0</v>
      </c>
      <c r="BR140" s="198">
        <v>0</v>
      </c>
      <c r="BS140" s="198">
        <v>0</v>
      </c>
      <c r="BT140" s="198">
        <v>0</v>
      </c>
      <c r="BU140" s="198">
        <v>0</v>
      </c>
      <c r="BV140" s="198">
        <v>0</v>
      </c>
      <c r="BW140" s="198">
        <v>0</v>
      </c>
      <c r="BX140" s="198">
        <v>0</v>
      </c>
      <c r="BY140" s="198">
        <v>0</v>
      </c>
      <c r="BZ140" s="198">
        <v>0</v>
      </c>
      <c r="CA140" s="198">
        <v>0</v>
      </c>
      <c r="CB140" s="198">
        <v>0</v>
      </c>
      <c r="CC140" s="198">
        <v>0</v>
      </c>
      <c r="CD140" s="198">
        <v>0</v>
      </c>
      <c r="CE140" s="198">
        <v>0</v>
      </c>
      <c r="CF140" s="198">
        <v>0</v>
      </c>
      <c r="CG140" s="198">
        <v>0</v>
      </c>
      <c r="CH140" s="198">
        <v>0</v>
      </c>
      <c r="CI140" s="198">
        <v>0</v>
      </c>
      <c r="CJ140" s="198">
        <v>0</v>
      </c>
      <c r="CK140" s="88"/>
    </row>
    <row r="141" spans="1:89" x14ac:dyDescent="0.3">
      <c r="A141" s="173"/>
      <c r="B141" s="204" t="s">
        <v>262</v>
      </c>
      <c r="C141" s="198">
        <v>0</v>
      </c>
      <c r="D141" s="198">
        <v>0</v>
      </c>
      <c r="E141" s="198">
        <v>0</v>
      </c>
      <c r="F141" s="198">
        <v>0</v>
      </c>
      <c r="G141" s="198">
        <v>0</v>
      </c>
      <c r="H141" s="198">
        <v>0</v>
      </c>
      <c r="I141" s="198">
        <v>0</v>
      </c>
      <c r="J141" s="198">
        <v>0</v>
      </c>
      <c r="K141" s="198">
        <v>0</v>
      </c>
      <c r="L141" s="198">
        <v>0</v>
      </c>
      <c r="M141" s="198">
        <v>0</v>
      </c>
      <c r="N141" s="198">
        <v>0</v>
      </c>
      <c r="O141" s="198">
        <v>0</v>
      </c>
      <c r="P141" s="198">
        <v>0</v>
      </c>
      <c r="Q141" s="198">
        <v>0</v>
      </c>
      <c r="R141" s="198">
        <v>0</v>
      </c>
      <c r="S141" s="198">
        <v>0</v>
      </c>
      <c r="T141" s="198">
        <v>0</v>
      </c>
      <c r="U141" s="198">
        <v>0</v>
      </c>
      <c r="V141" s="198">
        <v>0</v>
      </c>
      <c r="W141" s="198">
        <v>1391.3</v>
      </c>
      <c r="X141" s="198">
        <v>0</v>
      </c>
      <c r="Y141" s="198">
        <v>0</v>
      </c>
      <c r="Z141" s="198">
        <v>0</v>
      </c>
      <c r="AA141" s="198">
        <v>0</v>
      </c>
      <c r="AB141" s="198">
        <v>0</v>
      </c>
      <c r="AC141" s="198">
        <v>0</v>
      </c>
      <c r="AD141" s="198">
        <v>0</v>
      </c>
      <c r="AE141" s="198">
        <v>0</v>
      </c>
      <c r="AF141" s="198">
        <v>0</v>
      </c>
      <c r="AG141" s="198">
        <v>0</v>
      </c>
      <c r="AH141" s="198">
        <v>0</v>
      </c>
      <c r="AI141" s="198">
        <v>0</v>
      </c>
      <c r="AJ141" s="198">
        <v>0</v>
      </c>
      <c r="AK141" s="198">
        <v>0</v>
      </c>
      <c r="AL141" s="198">
        <v>0</v>
      </c>
      <c r="AM141" s="198">
        <v>0</v>
      </c>
      <c r="AN141" s="198">
        <v>0</v>
      </c>
      <c r="AO141" s="198">
        <v>0</v>
      </c>
      <c r="AP141" s="198">
        <v>0</v>
      </c>
      <c r="AQ141" s="198">
        <v>0</v>
      </c>
      <c r="AR141" s="198">
        <v>0</v>
      </c>
      <c r="AS141" s="198">
        <v>0</v>
      </c>
      <c r="AT141" s="198">
        <v>0</v>
      </c>
      <c r="AU141" s="198">
        <v>0</v>
      </c>
      <c r="AV141" s="198">
        <v>0</v>
      </c>
      <c r="AW141" s="198">
        <v>0</v>
      </c>
      <c r="AX141" s="198">
        <v>0</v>
      </c>
      <c r="AY141" s="198">
        <v>0</v>
      </c>
      <c r="AZ141" s="198">
        <v>0</v>
      </c>
      <c r="BA141" s="198">
        <v>0</v>
      </c>
      <c r="BB141" s="198">
        <v>0</v>
      </c>
      <c r="BC141" s="198">
        <v>0</v>
      </c>
      <c r="BD141" s="198">
        <v>0</v>
      </c>
      <c r="BE141" s="198">
        <v>0</v>
      </c>
      <c r="BF141" s="198">
        <v>0</v>
      </c>
      <c r="BG141" s="198">
        <v>0</v>
      </c>
      <c r="BH141" s="198">
        <v>0</v>
      </c>
      <c r="BI141" s="198">
        <v>0</v>
      </c>
      <c r="BJ141" s="198">
        <v>0</v>
      </c>
      <c r="BK141" s="198">
        <v>0</v>
      </c>
      <c r="BL141" s="198">
        <v>0</v>
      </c>
      <c r="BM141" s="198">
        <v>0</v>
      </c>
      <c r="BN141" s="198">
        <v>0</v>
      </c>
      <c r="BO141" s="198">
        <v>0</v>
      </c>
      <c r="BP141" s="198">
        <v>0</v>
      </c>
      <c r="BQ141" s="198">
        <v>0</v>
      </c>
      <c r="BR141" s="198">
        <v>0</v>
      </c>
      <c r="BS141" s="198">
        <v>0</v>
      </c>
      <c r="BT141" s="198">
        <v>0</v>
      </c>
      <c r="BU141" s="198">
        <v>0</v>
      </c>
      <c r="BV141" s="198">
        <v>0</v>
      </c>
      <c r="BW141" s="198">
        <v>0</v>
      </c>
      <c r="BX141" s="198">
        <v>0</v>
      </c>
      <c r="BY141" s="198">
        <v>0</v>
      </c>
      <c r="BZ141" s="198">
        <v>0</v>
      </c>
      <c r="CA141" s="198">
        <v>0</v>
      </c>
      <c r="CB141" s="198">
        <v>0</v>
      </c>
      <c r="CC141" s="198">
        <v>0</v>
      </c>
      <c r="CD141" s="198">
        <v>0</v>
      </c>
      <c r="CE141" s="198">
        <v>0</v>
      </c>
      <c r="CF141" s="198">
        <v>0</v>
      </c>
      <c r="CG141" s="198">
        <v>0</v>
      </c>
      <c r="CH141" s="198">
        <v>0</v>
      </c>
      <c r="CI141" s="198">
        <v>0</v>
      </c>
      <c r="CJ141" s="198">
        <v>0</v>
      </c>
      <c r="CK141" s="88"/>
    </row>
    <row r="142" spans="1:89" x14ac:dyDescent="0.3">
      <c r="A142" s="173"/>
      <c r="B142" s="204" t="s">
        <v>261</v>
      </c>
      <c r="C142" s="198">
        <v>0</v>
      </c>
      <c r="D142" s="198">
        <v>0</v>
      </c>
      <c r="E142" s="198">
        <v>0</v>
      </c>
      <c r="F142" s="198">
        <v>0</v>
      </c>
      <c r="G142" s="198">
        <v>0</v>
      </c>
      <c r="H142" s="198">
        <v>0</v>
      </c>
      <c r="I142" s="198">
        <v>0</v>
      </c>
      <c r="J142" s="198">
        <v>0</v>
      </c>
      <c r="K142" s="198">
        <v>0</v>
      </c>
      <c r="L142" s="198">
        <v>0</v>
      </c>
      <c r="M142" s="198">
        <v>0</v>
      </c>
      <c r="N142" s="198">
        <v>0</v>
      </c>
      <c r="O142" s="198">
        <v>0</v>
      </c>
      <c r="P142" s="198">
        <v>0</v>
      </c>
      <c r="Q142" s="198">
        <v>0</v>
      </c>
      <c r="R142" s="198">
        <v>0</v>
      </c>
      <c r="S142" s="198">
        <v>0</v>
      </c>
      <c r="T142" s="198">
        <v>0</v>
      </c>
      <c r="U142" s="198">
        <v>0</v>
      </c>
      <c r="V142" s="198">
        <v>0</v>
      </c>
      <c r="W142" s="198">
        <v>107.9</v>
      </c>
      <c r="X142" s="198">
        <v>0</v>
      </c>
      <c r="Y142" s="198">
        <v>0</v>
      </c>
      <c r="Z142" s="198">
        <v>0</v>
      </c>
      <c r="AA142" s="198">
        <v>0</v>
      </c>
      <c r="AB142" s="198">
        <v>0</v>
      </c>
      <c r="AC142" s="198">
        <v>0</v>
      </c>
      <c r="AD142" s="198">
        <v>0</v>
      </c>
      <c r="AE142" s="198">
        <v>0</v>
      </c>
      <c r="AF142" s="198">
        <v>0</v>
      </c>
      <c r="AG142" s="198">
        <v>0</v>
      </c>
      <c r="AH142" s="198">
        <v>0</v>
      </c>
      <c r="AI142" s="198">
        <v>0</v>
      </c>
      <c r="AJ142" s="198">
        <v>0</v>
      </c>
      <c r="AK142" s="198">
        <v>0</v>
      </c>
      <c r="AL142" s="198">
        <v>0</v>
      </c>
      <c r="AM142" s="198">
        <v>0</v>
      </c>
      <c r="AN142" s="198">
        <v>0</v>
      </c>
      <c r="AO142" s="198">
        <v>0</v>
      </c>
      <c r="AP142" s="198">
        <v>0</v>
      </c>
      <c r="AQ142" s="198">
        <v>0</v>
      </c>
      <c r="AR142" s="198">
        <v>0</v>
      </c>
      <c r="AS142" s="198">
        <v>0</v>
      </c>
      <c r="AT142" s="198">
        <v>0</v>
      </c>
      <c r="AU142" s="198">
        <v>0</v>
      </c>
      <c r="AV142" s="198">
        <v>0</v>
      </c>
      <c r="AW142" s="198">
        <v>0</v>
      </c>
      <c r="AX142" s="198">
        <v>0</v>
      </c>
      <c r="AY142" s="198">
        <v>0</v>
      </c>
      <c r="AZ142" s="198">
        <v>0</v>
      </c>
      <c r="BA142" s="198">
        <v>0</v>
      </c>
      <c r="BB142" s="198">
        <v>0</v>
      </c>
      <c r="BC142" s="198">
        <v>0</v>
      </c>
      <c r="BD142" s="198">
        <v>0</v>
      </c>
      <c r="BE142" s="198">
        <v>0</v>
      </c>
      <c r="BF142" s="198">
        <v>0</v>
      </c>
      <c r="BG142" s="198">
        <v>0</v>
      </c>
      <c r="BH142" s="198">
        <v>0</v>
      </c>
      <c r="BI142" s="198">
        <v>0</v>
      </c>
      <c r="BJ142" s="198">
        <v>0</v>
      </c>
      <c r="BK142" s="198">
        <v>0</v>
      </c>
      <c r="BL142" s="198">
        <v>0</v>
      </c>
      <c r="BM142" s="198">
        <v>0</v>
      </c>
      <c r="BN142" s="198">
        <v>0</v>
      </c>
      <c r="BO142" s="198">
        <v>0</v>
      </c>
      <c r="BP142" s="198">
        <v>0</v>
      </c>
      <c r="BQ142" s="198">
        <v>0</v>
      </c>
      <c r="BR142" s="198">
        <v>0</v>
      </c>
      <c r="BS142" s="198">
        <v>0</v>
      </c>
      <c r="BT142" s="198">
        <v>0</v>
      </c>
      <c r="BU142" s="198">
        <v>0</v>
      </c>
      <c r="BV142" s="198">
        <v>0</v>
      </c>
      <c r="BW142" s="198">
        <v>0</v>
      </c>
      <c r="BX142" s="198">
        <v>0</v>
      </c>
      <c r="BY142" s="198">
        <v>0</v>
      </c>
      <c r="BZ142" s="198">
        <v>0</v>
      </c>
      <c r="CA142" s="198">
        <v>0</v>
      </c>
      <c r="CB142" s="198">
        <v>0</v>
      </c>
      <c r="CC142" s="198">
        <v>0</v>
      </c>
      <c r="CD142" s="198">
        <v>0</v>
      </c>
      <c r="CE142" s="198">
        <v>0</v>
      </c>
      <c r="CF142" s="198">
        <v>0</v>
      </c>
      <c r="CG142" s="198">
        <v>0</v>
      </c>
      <c r="CH142" s="198">
        <v>0</v>
      </c>
      <c r="CI142" s="198">
        <v>0</v>
      </c>
      <c r="CJ142" s="198">
        <v>0</v>
      </c>
      <c r="CK142" s="88"/>
    </row>
    <row r="143" spans="1:89" x14ac:dyDescent="0.3">
      <c r="A143" s="173"/>
      <c r="B143" s="204" t="s">
        <v>270</v>
      </c>
      <c r="C143" s="198">
        <v>0</v>
      </c>
      <c r="D143" s="198">
        <v>0</v>
      </c>
      <c r="E143" s="198">
        <v>0</v>
      </c>
      <c r="F143" s="198">
        <v>0</v>
      </c>
      <c r="G143" s="198">
        <v>0</v>
      </c>
      <c r="H143" s="198">
        <v>0</v>
      </c>
      <c r="I143" s="198">
        <v>0</v>
      </c>
      <c r="J143" s="198">
        <v>0</v>
      </c>
      <c r="K143" s="198">
        <v>0</v>
      </c>
      <c r="L143" s="198">
        <v>0</v>
      </c>
      <c r="M143" s="198">
        <v>0</v>
      </c>
      <c r="N143" s="198">
        <v>0</v>
      </c>
      <c r="O143" s="198">
        <v>0</v>
      </c>
      <c r="P143" s="198">
        <v>0</v>
      </c>
      <c r="Q143" s="198">
        <v>0</v>
      </c>
      <c r="R143" s="198">
        <v>0</v>
      </c>
      <c r="S143" s="198">
        <v>0</v>
      </c>
      <c r="T143" s="198">
        <v>0</v>
      </c>
      <c r="U143" s="198">
        <v>0</v>
      </c>
      <c r="V143" s="198">
        <v>0</v>
      </c>
      <c r="W143" s="198">
        <v>966</v>
      </c>
      <c r="X143" s="198">
        <v>0</v>
      </c>
      <c r="Y143" s="198">
        <v>0</v>
      </c>
      <c r="Z143" s="198">
        <v>0</v>
      </c>
      <c r="AA143" s="198">
        <v>0</v>
      </c>
      <c r="AB143" s="198">
        <v>0</v>
      </c>
      <c r="AC143" s="198">
        <v>0</v>
      </c>
      <c r="AD143" s="198">
        <v>0</v>
      </c>
      <c r="AE143" s="198">
        <v>0</v>
      </c>
      <c r="AF143" s="198">
        <v>0</v>
      </c>
      <c r="AG143" s="198">
        <v>0</v>
      </c>
      <c r="AH143" s="198">
        <v>0</v>
      </c>
      <c r="AI143" s="198">
        <v>0</v>
      </c>
      <c r="AJ143" s="198">
        <v>0</v>
      </c>
      <c r="AK143" s="198">
        <v>0</v>
      </c>
      <c r="AL143" s="198">
        <v>0</v>
      </c>
      <c r="AM143" s="198">
        <v>0</v>
      </c>
      <c r="AN143" s="198">
        <v>0</v>
      </c>
      <c r="AO143" s="198">
        <v>0</v>
      </c>
      <c r="AP143" s="198">
        <v>0</v>
      </c>
      <c r="AQ143" s="198">
        <v>0</v>
      </c>
      <c r="AR143" s="198">
        <v>0</v>
      </c>
      <c r="AS143" s="198">
        <v>0</v>
      </c>
      <c r="AT143" s="198">
        <v>0</v>
      </c>
      <c r="AU143" s="198">
        <v>0</v>
      </c>
      <c r="AV143" s="198">
        <v>0</v>
      </c>
      <c r="AW143" s="198">
        <v>0</v>
      </c>
      <c r="AX143" s="198">
        <v>0</v>
      </c>
      <c r="AY143" s="198">
        <v>0</v>
      </c>
      <c r="AZ143" s="198">
        <v>0</v>
      </c>
      <c r="BA143" s="198">
        <v>0</v>
      </c>
      <c r="BB143" s="198">
        <v>0</v>
      </c>
      <c r="BC143" s="198">
        <v>0</v>
      </c>
      <c r="BD143" s="198">
        <v>0</v>
      </c>
      <c r="BE143" s="198">
        <v>0</v>
      </c>
      <c r="BF143" s="198">
        <v>0</v>
      </c>
      <c r="BG143" s="198">
        <v>0</v>
      </c>
      <c r="BH143" s="198">
        <v>0</v>
      </c>
      <c r="BI143" s="198">
        <v>0</v>
      </c>
      <c r="BJ143" s="198">
        <v>0</v>
      </c>
      <c r="BK143" s="198">
        <v>0</v>
      </c>
      <c r="BL143" s="198">
        <v>0</v>
      </c>
      <c r="BM143" s="198">
        <v>0</v>
      </c>
      <c r="BN143" s="198">
        <v>0</v>
      </c>
      <c r="BO143" s="198">
        <v>0</v>
      </c>
      <c r="BP143" s="198">
        <v>0</v>
      </c>
      <c r="BQ143" s="198">
        <v>0</v>
      </c>
      <c r="BR143" s="198">
        <v>0</v>
      </c>
      <c r="BS143" s="198">
        <v>0</v>
      </c>
      <c r="BT143" s="198">
        <v>0</v>
      </c>
      <c r="BU143" s="198">
        <v>0</v>
      </c>
      <c r="BV143" s="198">
        <v>0</v>
      </c>
      <c r="BW143" s="198">
        <v>0</v>
      </c>
      <c r="BX143" s="198">
        <v>0</v>
      </c>
      <c r="BY143" s="198">
        <v>0</v>
      </c>
      <c r="BZ143" s="198">
        <v>0</v>
      </c>
      <c r="CA143" s="198">
        <v>0</v>
      </c>
      <c r="CB143" s="198">
        <v>0</v>
      </c>
      <c r="CC143" s="198">
        <v>0</v>
      </c>
      <c r="CD143" s="198">
        <v>0</v>
      </c>
      <c r="CE143" s="198">
        <v>0</v>
      </c>
      <c r="CF143" s="198">
        <v>0</v>
      </c>
      <c r="CG143" s="198">
        <v>0</v>
      </c>
      <c r="CH143" s="198">
        <v>0</v>
      </c>
      <c r="CI143" s="198">
        <v>0</v>
      </c>
      <c r="CJ143" s="198">
        <v>0</v>
      </c>
      <c r="CK143" s="88"/>
    </row>
    <row r="144" spans="1:89" x14ac:dyDescent="0.3">
      <c r="A144" s="173"/>
      <c r="B144" s="204" t="s">
        <v>269</v>
      </c>
      <c r="C144" s="198">
        <v>0</v>
      </c>
      <c r="D144" s="198">
        <v>0</v>
      </c>
      <c r="E144" s="198">
        <v>0</v>
      </c>
      <c r="F144" s="198">
        <v>0</v>
      </c>
      <c r="G144" s="198">
        <v>0</v>
      </c>
      <c r="H144" s="198">
        <v>0</v>
      </c>
      <c r="I144" s="198">
        <v>0</v>
      </c>
      <c r="J144" s="198">
        <v>0</v>
      </c>
      <c r="K144" s="198">
        <v>0</v>
      </c>
      <c r="L144" s="198">
        <v>0</v>
      </c>
      <c r="M144" s="198">
        <v>0</v>
      </c>
      <c r="N144" s="198">
        <v>0</v>
      </c>
      <c r="O144" s="198">
        <v>0</v>
      </c>
      <c r="P144" s="198">
        <v>0</v>
      </c>
      <c r="Q144" s="198">
        <v>0</v>
      </c>
      <c r="R144" s="198">
        <v>0</v>
      </c>
      <c r="S144" s="198">
        <v>0</v>
      </c>
      <c r="T144" s="198">
        <v>0</v>
      </c>
      <c r="U144" s="198">
        <v>0</v>
      </c>
      <c r="V144" s="198">
        <v>0</v>
      </c>
      <c r="W144" s="198">
        <v>356.6</v>
      </c>
      <c r="X144" s="198">
        <v>0</v>
      </c>
      <c r="Y144" s="198">
        <v>0</v>
      </c>
      <c r="Z144" s="198">
        <v>0</v>
      </c>
      <c r="AA144" s="198">
        <v>0</v>
      </c>
      <c r="AB144" s="198">
        <v>0</v>
      </c>
      <c r="AC144" s="198">
        <v>0</v>
      </c>
      <c r="AD144" s="198">
        <v>0</v>
      </c>
      <c r="AE144" s="198">
        <v>0</v>
      </c>
      <c r="AF144" s="198">
        <v>0</v>
      </c>
      <c r="AG144" s="198">
        <v>0</v>
      </c>
      <c r="AH144" s="198">
        <v>0</v>
      </c>
      <c r="AI144" s="198">
        <v>0</v>
      </c>
      <c r="AJ144" s="198">
        <v>0</v>
      </c>
      <c r="AK144" s="198">
        <v>0</v>
      </c>
      <c r="AL144" s="198">
        <v>0</v>
      </c>
      <c r="AM144" s="198">
        <v>0</v>
      </c>
      <c r="AN144" s="198">
        <v>0</v>
      </c>
      <c r="AO144" s="198">
        <v>0</v>
      </c>
      <c r="AP144" s="198">
        <v>0</v>
      </c>
      <c r="AQ144" s="198">
        <v>0</v>
      </c>
      <c r="AR144" s="198">
        <v>0</v>
      </c>
      <c r="AS144" s="198">
        <v>0</v>
      </c>
      <c r="AT144" s="198">
        <v>0</v>
      </c>
      <c r="AU144" s="198">
        <v>0</v>
      </c>
      <c r="AV144" s="198">
        <v>0</v>
      </c>
      <c r="AW144" s="198">
        <v>0</v>
      </c>
      <c r="AX144" s="198">
        <v>0</v>
      </c>
      <c r="AY144" s="198">
        <v>0</v>
      </c>
      <c r="AZ144" s="198">
        <v>0</v>
      </c>
      <c r="BA144" s="198">
        <v>0</v>
      </c>
      <c r="BB144" s="198">
        <v>0</v>
      </c>
      <c r="BC144" s="198">
        <v>0</v>
      </c>
      <c r="BD144" s="198">
        <v>0</v>
      </c>
      <c r="BE144" s="198">
        <v>0</v>
      </c>
      <c r="BF144" s="198">
        <v>0</v>
      </c>
      <c r="BG144" s="198">
        <v>0</v>
      </c>
      <c r="BH144" s="198">
        <v>0</v>
      </c>
      <c r="BI144" s="198">
        <v>0</v>
      </c>
      <c r="BJ144" s="198">
        <v>0</v>
      </c>
      <c r="BK144" s="198">
        <v>0</v>
      </c>
      <c r="BL144" s="198">
        <v>0</v>
      </c>
      <c r="BM144" s="198">
        <v>0</v>
      </c>
      <c r="BN144" s="198">
        <v>0</v>
      </c>
      <c r="BO144" s="198">
        <v>0</v>
      </c>
      <c r="BP144" s="198">
        <v>0</v>
      </c>
      <c r="BQ144" s="198">
        <v>0</v>
      </c>
      <c r="BR144" s="198">
        <v>0</v>
      </c>
      <c r="BS144" s="198">
        <v>0</v>
      </c>
      <c r="BT144" s="198">
        <v>0</v>
      </c>
      <c r="BU144" s="198">
        <v>0</v>
      </c>
      <c r="BV144" s="198">
        <v>0</v>
      </c>
      <c r="BW144" s="198">
        <v>0</v>
      </c>
      <c r="BX144" s="198">
        <v>0</v>
      </c>
      <c r="BY144" s="198">
        <v>0</v>
      </c>
      <c r="BZ144" s="198">
        <v>0</v>
      </c>
      <c r="CA144" s="198">
        <v>0</v>
      </c>
      <c r="CB144" s="198">
        <v>0</v>
      </c>
      <c r="CC144" s="198">
        <v>0</v>
      </c>
      <c r="CD144" s="198">
        <v>0</v>
      </c>
      <c r="CE144" s="198">
        <v>0</v>
      </c>
      <c r="CF144" s="198">
        <v>0</v>
      </c>
      <c r="CG144" s="198">
        <v>0</v>
      </c>
      <c r="CH144" s="198">
        <v>0</v>
      </c>
      <c r="CI144" s="198">
        <v>0</v>
      </c>
      <c r="CJ144" s="198">
        <v>0</v>
      </c>
      <c r="CK144" s="88"/>
    </row>
    <row r="145" spans="1:89" x14ac:dyDescent="0.3">
      <c r="A145" s="173"/>
      <c r="B145" s="204" t="s">
        <v>271</v>
      </c>
      <c r="C145" s="198">
        <v>0</v>
      </c>
      <c r="D145" s="198">
        <v>0</v>
      </c>
      <c r="E145" s="198">
        <v>0</v>
      </c>
      <c r="F145" s="198">
        <v>0</v>
      </c>
      <c r="G145" s="198">
        <v>0</v>
      </c>
      <c r="H145" s="198">
        <v>0</v>
      </c>
      <c r="I145" s="198">
        <v>0</v>
      </c>
      <c r="J145" s="198">
        <v>0</v>
      </c>
      <c r="K145" s="198">
        <v>0</v>
      </c>
      <c r="L145" s="198">
        <v>0</v>
      </c>
      <c r="M145" s="198">
        <v>0</v>
      </c>
      <c r="N145" s="198">
        <v>0</v>
      </c>
      <c r="O145" s="198">
        <v>0</v>
      </c>
      <c r="P145" s="198">
        <v>0</v>
      </c>
      <c r="Q145" s="198">
        <v>0</v>
      </c>
      <c r="R145" s="198">
        <v>0</v>
      </c>
      <c r="S145" s="198">
        <v>0</v>
      </c>
      <c r="T145" s="198">
        <v>0</v>
      </c>
      <c r="U145" s="198">
        <v>0</v>
      </c>
      <c r="V145" s="198">
        <v>0</v>
      </c>
      <c r="W145" s="198">
        <v>1877.1</v>
      </c>
      <c r="X145" s="198">
        <v>0</v>
      </c>
      <c r="Y145" s="198">
        <v>0</v>
      </c>
      <c r="Z145" s="198">
        <v>0</v>
      </c>
      <c r="AA145" s="198">
        <v>0</v>
      </c>
      <c r="AB145" s="198">
        <v>0</v>
      </c>
      <c r="AC145" s="198">
        <v>0</v>
      </c>
      <c r="AD145" s="198">
        <v>0</v>
      </c>
      <c r="AE145" s="198">
        <v>0</v>
      </c>
      <c r="AF145" s="198">
        <v>0</v>
      </c>
      <c r="AG145" s="198">
        <v>0</v>
      </c>
      <c r="AH145" s="198">
        <v>0</v>
      </c>
      <c r="AI145" s="198">
        <v>0</v>
      </c>
      <c r="AJ145" s="198">
        <v>0</v>
      </c>
      <c r="AK145" s="198">
        <v>0</v>
      </c>
      <c r="AL145" s="198">
        <v>0</v>
      </c>
      <c r="AM145" s="198">
        <v>0</v>
      </c>
      <c r="AN145" s="198">
        <v>0</v>
      </c>
      <c r="AO145" s="198">
        <v>0</v>
      </c>
      <c r="AP145" s="198">
        <v>0</v>
      </c>
      <c r="AQ145" s="198">
        <v>0</v>
      </c>
      <c r="AR145" s="198">
        <v>0</v>
      </c>
      <c r="AS145" s="198">
        <v>0</v>
      </c>
      <c r="AT145" s="198">
        <v>0</v>
      </c>
      <c r="AU145" s="198">
        <v>0</v>
      </c>
      <c r="AV145" s="198">
        <v>0</v>
      </c>
      <c r="AW145" s="198">
        <v>0</v>
      </c>
      <c r="AX145" s="198">
        <v>0</v>
      </c>
      <c r="AY145" s="198">
        <v>0</v>
      </c>
      <c r="AZ145" s="198">
        <v>0</v>
      </c>
      <c r="BA145" s="198">
        <v>0</v>
      </c>
      <c r="BB145" s="198">
        <v>0</v>
      </c>
      <c r="BC145" s="198">
        <v>0</v>
      </c>
      <c r="BD145" s="198">
        <v>0</v>
      </c>
      <c r="BE145" s="198">
        <v>0</v>
      </c>
      <c r="BF145" s="198">
        <v>0</v>
      </c>
      <c r="BG145" s="198">
        <v>0</v>
      </c>
      <c r="BH145" s="198">
        <v>0</v>
      </c>
      <c r="BI145" s="198">
        <v>0</v>
      </c>
      <c r="BJ145" s="198">
        <v>0</v>
      </c>
      <c r="BK145" s="198">
        <v>0</v>
      </c>
      <c r="BL145" s="198">
        <v>0</v>
      </c>
      <c r="BM145" s="198">
        <v>0</v>
      </c>
      <c r="BN145" s="198">
        <v>0</v>
      </c>
      <c r="BO145" s="198">
        <v>0</v>
      </c>
      <c r="BP145" s="198">
        <v>0</v>
      </c>
      <c r="BQ145" s="198">
        <v>0</v>
      </c>
      <c r="BR145" s="198">
        <v>0</v>
      </c>
      <c r="BS145" s="198">
        <v>0</v>
      </c>
      <c r="BT145" s="198">
        <v>0</v>
      </c>
      <c r="BU145" s="198">
        <v>0</v>
      </c>
      <c r="BV145" s="198">
        <v>0</v>
      </c>
      <c r="BW145" s="198">
        <v>0</v>
      </c>
      <c r="BX145" s="198">
        <v>0</v>
      </c>
      <c r="BY145" s="198">
        <v>0</v>
      </c>
      <c r="BZ145" s="198">
        <v>0</v>
      </c>
      <c r="CA145" s="198">
        <v>0</v>
      </c>
      <c r="CB145" s="198">
        <v>0</v>
      </c>
      <c r="CC145" s="198">
        <v>0</v>
      </c>
      <c r="CD145" s="198">
        <v>0</v>
      </c>
      <c r="CE145" s="198">
        <v>0</v>
      </c>
      <c r="CF145" s="198">
        <v>0</v>
      </c>
      <c r="CG145" s="198">
        <v>0</v>
      </c>
      <c r="CH145" s="198">
        <v>0</v>
      </c>
      <c r="CI145" s="198">
        <v>0</v>
      </c>
      <c r="CJ145" s="198">
        <v>0</v>
      </c>
      <c r="CK145" s="88"/>
    </row>
    <row r="146" spans="1:89" x14ac:dyDescent="0.3">
      <c r="A146" s="173"/>
      <c r="B146" s="204" t="s">
        <v>268</v>
      </c>
      <c r="C146" s="198">
        <v>0</v>
      </c>
      <c r="D146" s="198">
        <v>0</v>
      </c>
      <c r="E146" s="198">
        <v>0</v>
      </c>
      <c r="F146" s="198">
        <v>0</v>
      </c>
      <c r="G146" s="198">
        <v>0</v>
      </c>
      <c r="H146" s="198">
        <v>0</v>
      </c>
      <c r="I146" s="198">
        <v>0</v>
      </c>
      <c r="J146" s="198">
        <v>0</v>
      </c>
      <c r="K146" s="198">
        <v>0</v>
      </c>
      <c r="L146" s="198">
        <v>0</v>
      </c>
      <c r="M146" s="198">
        <v>0</v>
      </c>
      <c r="N146" s="198">
        <v>0</v>
      </c>
      <c r="O146" s="198">
        <v>0</v>
      </c>
      <c r="P146" s="198">
        <v>0</v>
      </c>
      <c r="Q146" s="198">
        <v>0</v>
      </c>
      <c r="R146" s="198">
        <v>0</v>
      </c>
      <c r="S146" s="198">
        <v>0</v>
      </c>
      <c r="T146" s="198">
        <v>0</v>
      </c>
      <c r="U146" s="198">
        <v>0</v>
      </c>
      <c r="V146" s="198">
        <v>0</v>
      </c>
      <c r="W146" s="198">
        <v>296.2</v>
      </c>
      <c r="X146" s="198">
        <v>0</v>
      </c>
      <c r="Y146" s="198">
        <v>0</v>
      </c>
      <c r="Z146" s="198">
        <v>0</v>
      </c>
      <c r="AA146" s="198">
        <v>0</v>
      </c>
      <c r="AB146" s="198">
        <v>0</v>
      </c>
      <c r="AC146" s="198">
        <v>0</v>
      </c>
      <c r="AD146" s="198">
        <v>0</v>
      </c>
      <c r="AE146" s="198">
        <v>0</v>
      </c>
      <c r="AF146" s="198">
        <v>0</v>
      </c>
      <c r="AG146" s="198">
        <v>0</v>
      </c>
      <c r="AH146" s="198">
        <v>0</v>
      </c>
      <c r="AI146" s="198">
        <v>0</v>
      </c>
      <c r="AJ146" s="198">
        <v>0</v>
      </c>
      <c r="AK146" s="198">
        <v>0</v>
      </c>
      <c r="AL146" s="198">
        <v>0</v>
      </c>
      <c r="AM146" s="198">
        <v>0</v>
      </c>
      <c r="AN146" s="198">
        <v>0</v>
      </c>
      <c r="AO146" s="198">
        <v>0</v>
      </c>
      <c r="AP146" s="198">
        <v>0</v>
      </c>
      <c r="AQ146" s="198">
        <v>0</v>
      </c>
      <c r="AR146" s="198">
        <v>0</v>
      </c>
      <c r="AS146" s="198">
        <v>0</v>
      </c>
      <c r="AT146" s="198">
        <v>0</v>
      </c>
      <c r="AU146" s="198">
        <v>0</v>
      </c>
      <c r="AV146" s="198">
        <v>0</v>
      </c>
      <c r="AW146" s="198">
        <v>0</v>
      </c>
      <c r="AX146" s="198">
        <v>0</v>
      </c>
      <c r="AY146" s="198">
        <v>0</v>
      </c>
      <c r="AZ146" s="198">
        <v>0</v>
      </c>
      <c r="BA146" s="198">
        <v>0</v>
      </c>
      <c r="BB146" s="198">
        <v>0</v>
      </c>
      <c r="BC146" s="198">
        <v>0</v>
      </c>
      <c r="BD146" s="198">
        <v>0</v>
      </c>
      <c r="BE146" s="198">
        <v>0</v>
      </c>
      <c r="BF146" s="198">
        <v>0</v>
      </c>
      <c r="BG146" s="198">
        <v>0</v>
      </c>
      <c r="BH146" s="198">
        <v>0</v>
      </c>
      <c r="BI146" s="198">
        <v>0</v>
      </c>
      <c r="BJ146" s="198">
        <v>0</v>
      </c>
      <c r="BK146" s="198">
        <v>0</v>
      </c>
      <c r="BL146" s="198">
        <v>0</v>
      </c>
      <c r="BM146" s="198">
        <v>0</v>
      </c>
      <c r="BN146" s="198">
        <v>0</v>
      </c>
      <c r="BO146" s="198">
        <v>0</v>
      </c>
      <c r="BP146" s="198">
        <v>0</v>
      </c>
      <c r="BQ146" s="198">
        <v>0</v>
      </c>
      <c r="BR146" s="198">
        <v>0</v>
      </c>
      <c r="BS146" s="198">
        <v>0</v>
      </c>
      <c r="BT146" s="198">
        <v>0</v>
      </c>
      <c r="BU146" s="198">
        <v>0</v>
      </c>
      <c r="BV146" s="198">
        <v>0</v>
      </c>
      <c r="BW146" s="198">
        <v>0</v>
      </c>
      <c r="BX146" s="198">
        <v>0</v>
      </c>
      <c r="BY146" s="198">
        <v>0</v>
      </c>
      <c r="BZ146" s="198">
        <v>0</v>
      </c>
      <c r="CA146" s="198">
        <v>0</v>
      </c>
      <c r="CB146" s="198">
        <v>0</v>
      </c>
      <c r="CC146" s="198">
        <v>0</v>
      </c>
      <c r="CD146" s="198">
        <v>0</v>
      </c>
      <c r="CE146" s="198">
        <v>0</v>
      </c>
      <c r="CF146" s="198">
        <v>0</v>
      </c>
      <c r="CG146" s="198">
        <v>0</v>
      </c>
      <c r="CH146" s="198">
        <v>0</v>
      </c>
      <c r="CI146" s="198">
        <v>0</v>
      </c>
      <c r="CJ146" s="198">
        <v>0</v>
      </c>
      <c r="CK146" s="88"/>
    </row>
    <row r="147" spans="1:89" x14ac:dyDescent="0.3">
      <c r="A147" s="173"/>
      <c r="B147" s="204" t="s">
        <v>260</v>
      </c>
      <c r="C147" s="198">
        <v>0</v>
      </c>
      <c r="D147" s="198">
        <v>0</v>
      </c>
      <c r="E147" s="198">
        <v>0</v>
      </c>
      <c r="F147" s="198">
        <v>0</v>
      </c>
      <c r="G147" s="198">
        <v>0</v>
      </c>
      <c r="H147" s="198">
        <v>0</v>
      </c>
      <c r="I147" s="198">
        <v>0</v>
      </c>
      <c r="J147" s="198">
        <v>0</v>
      </c>
      <c r="K147" s="198">
        <v>0</v>
      </c>
      <c r="L147" s="198">
        <v>0</v>
      </c>
      <c r="M147" s="198">
        <v>0</v>
      </c>
      <c r="N147" s="198">
        <v>0</v>
      </c>
      <c r="O147" s="198">
        <v>0</v>
      </c>
      <c r="P147" s="198">
        <v>0</v>
      </c>
      <c r="Q147" s="198">
        <v>0</v>
      </c>
      <c r="R147" s="198">
        <v>0</v>
      </c>
      <c r="S147" s="198">
        <v>0</v>
      </c>
      <c r="T147" s="198">
        <v>0</v>
      </c>
      <c r="U147" s="198">
        <v>0</v>
      </c>
      <c r="V147" s="198">
        <v>0</v>
      </c>
      <c r="W147" s="198">
        <v>2635</v>
      </c>
      <c r="X147" s="198">
        <v>0</v>
      </c>
      <c r="Y147" s="198">
        <v>0</v>
      </c>
      <c r="Z147" s="198">
        <v>0</v>
      </c>
      <c r="AA147" s="198">
        <v>0</v>
      </c>
      <c r="AB147" s="198">
        <v>0</v>
      </c>
      <c r="AC147" s="198">
        <v>0</v>
      </c>
      <c r="AD147" s="198">
        <v>0</v>
      </c>
      <c r="AE147" s="198">
        <v>0</v>
      </c>
      <c r="AF147" s="198">
        <v>0</v>
      </c>
      <c r="AG147" s="198">
        <v>0</v>
      </c>
      <c r="AH147" s="198">
        <v>0</v>
      </c>
      <c r="AI147" s="198">
        <v>0</v>
      </c>
      <c r="AJ147" s="198">
        <v>0</v>
      </c>
      <c r="AK147" s="198">
        <v>0</v>
      </c>
      <c r="AL147" s="198">
        <v>0</v>
      </c>
      <c r="AM147" s="198">
        <v>0</v>
      </c>
      <c r="AN147" s="198">
        <v>0</v>
      </c>
      <c r="AO147" s="198">
        <v>0</v>
      </c>
      <c r="AP147" s="198">
        <v>0</v>
      </c>
      <c r="AQ147" s="198">
        <v>0</v>
      </c>
      <c r="AR147" s="198">
        <v>0</v>
      </c>
      <c r="AS147" s="198">
        <v>0</v>
      </c>
      <c r="AT147" s="198">
        <v>0</v>
      </c>
      <c r="AU147" s="198">
        <v>0</v>
      </c>
      <c r="AV147" s="198">
        <v>0</v>
      </c>
      <c r="AW147" s="198">
        <v>0</v>
      </c>
      <c r="AX147" s="198">
        <v>0</v>
      </c>
      <c r="AY147" s="198">
        <v>0</v>
      </c>
      <c r="AZ147" s="198">
        <v>0</v>
      </c>
      <c r="BA147" s="198">
        <v>0</v>
      </c>
      <c r="BB147" s="198">
        <v>0</v>
      </c>
      <c r="BC147" s="198">
        <v>0</v>
      </c>
      <c r="BD147" s="198">
        <v>0</v>
      </c>
      <c r="BE147" s="198">
        <v>0</v>
      </c>
      <c r="BF147" s="198">
        <v>0</v>
      </c>
      <c r="BG147" s="198">
        <v>0</v>
      </c>
      <c r="BH147" s="198">
        <v>0</v>
      </c>
      <c r="BI147" s="198">
        <v>0</v>
      </c>
      <c r="BJ147" s="198">
        <v>0</v>
      </c>
      <c r="BK147" s="198">
        <v>0</v>
      </c>
      <c r="BL147" s="198">
        <v>0</v>
      </c>
      <c r="BM147" s="198">
        <v>0</v>
      </c>
      <c r="BN147" s="198">
        <v>0</v>
      </c>
      <c r="BO147" s="198">
        <v>0</v>
      </c>
      <c r="BP147" s="198">
        <v>0</v>
      </c>
      <c r="BQ147" s="198">
        <v>0</v>
      </c>
      <c r="BR147" s="198">
        <v>0</v>
      </c>
      <c r="BS147" s="198">
        <v>0</v>
      </c>
      <c r="BT147" s="198">
        <v>0</v>
      </c>
      <c r="BU147" s="198">
        <v>0</v>
      </c>
      <c r="BV147" s="198">
        <v>0</v>
      </c>
      <c r="BW147" s="198">
        <v>0</v>
      </c>
      <c r="BX147" s="198">
        <v>0</v>
      </c>
      <c r="BY147" s="198">
        <v>0</v>
      </c>
      <c r="BZ147" s="198">
        <v>0</v>
      </c>
      <c r="CA147" s="198">
        <v>0</v>
      </c>
      <c r="CB147" s="198">
        <v>0</v>
      </c>
      <c r="CC147" s="198">
        <v>0</v>
      </c>
      <c r="CD147" s="198">
        <v>0</v>
      </c>
      <c r="CE147" s="198">
        <v>0</v>
      </c>
      <c r="CF147" s="198">
        <v>0</v>
      </c>
      <c r="CG147" s="198">
        <v>0</v>
      </c>
      <c r="CH147" s="198">
        <v>0</v>
      </c>
      <c r="CI147" s="198">
        <v>0</v>
      </c>
      <c r="CJ147" s="198">
        <v>0</v>
      </c>
      <c r="CK147" s="88"/>
    </row>
    <row r="148" spans="1:89" x14ac:dyDescent="0.3">
      <c r="A148" s="173"/>
      <c r="B148" s="204" t="s">
        <v>266</v>
      </c>
      <c r="C148" s="198">
        <v>0</v>
      </c>
      <c r="D148" s="198">
        <v>0</v>
      </c>
      <c r="E148" s="198">
        <v>0</v>
      </c>
      <c r="F148" s="198">
        <v>0</v>
      </c>
      <c r="G148" s="198">
        <v>0</v>
      </c>
      <c r="H148" s="198">
        <v>0</v>
      </c>
      <c r="I148" s="198">
        <v>0</v>
      </c>
      <c r="J148" s="198">
        <v>0</v>
      </c>
      <c r="K148" s="198">
        <v>0</v>
      </c>
      <c r="L148" s="198">
        <v>0</v>
      </c>
      <c r="M148" s="198">
        <v>0</v>
      </c>
      <c r="N148" s="198">
        <v>0</v>
      </c>
      <c r="O148" s="198">
        <v>0</v>
      </c>
      <c r="P148" s="198">
        <v>0</v>
      </c>
      <c r="Q148" s="198">
        <v>0</v>
      </c>
      <c r="R148" s="198">
        <v>0</v>
      </c>
      <c r="S148" s="198">
        <v>0</v>
      </c>
      <c r="T148" s="198">
        <v>0</v>
      </c>
      <c r="U148" s="198">
        <v>0</v>
      </c>
      <c r="V148" s="198">
        <v>0</v>
      </c>
      <c r="W148" s="198">
        <v>11405.1</v>
      </c>
      <c r="X148" s="198">
        <v>0</v>
      </c>
      <c r="Y148" s="198">
        <v>0</v>
      </c>
      <c r="Z148" s="198">
        <v>0</v>
      </c>
      <c r="AA148" s="198">
        <v>0</v>
      </c>
      <c r="AB148" s="198">
        <v>0</v>
      </c>
      <c r="AC148" s="198">
        <v>0</v>
      </c>
      <c r="AD148" s="198">
        <v>0</v>
      </c>
      <c r="AE148" s="198">
        <v>0</v>
      </c>
      <c r="AF148" s="198">
        <v>0</v>
      </c>
      <c r="AG148" s="198">
        <v>0</v>
      </c>
      <c r="AH148" s="198">
        <v>0</v>
      </c>
      <c r="AI148" s="198">
        <v>0</v>
      </c>
      <c r="AJ148" s="198">
        <v>0</v>
      </c>
      <c r="AK148" s="198">
        <v>0</v>
      </c>
      <c r="AL148" s="198">
        <v>0</v>
      </c>
      <c r="AM148" s="198">
        <v>0</v>
      </c>
      <c r="AN148" s="198">
        <v>0</v>
      </c>
      <c r="AO148" s="198">
        <v>0</v>
      </c>
      <c r="AP148" s="198">
        <v>0</v>
      </c>
      <c r="AQ148" s="198">
        <v>0</v>
      </c>
      <c r="AR148" s="198">
        <v>0</v>
      </c>
      <c r="AS148" s="198">
        <v>0</v>
      </c>
      <c r="AT148" s="198">
        <v>0</v>
      </c>
      <c r="AU148" s="198">
        <v>0</v>
      </c>
      <c r="AV148" s="198">
        <v>0</v>
      </c>
      <c r="AW148" s="198">
        <v>0</v>
      </c>
      <c r="AX148" s="198">
        <v>0</v>
      </c>
      <c r="AY148" s="198">
        <v>0</v>
      </c>
      <c r="AZ148" s="198">
        <v>0</v>
      </c>
      <c r="BA148" s="198">
        <v>0</v>
      </c>
      <c r="BB148" s="198">
        <v>0</v>
      </c>
      <c r="BC148" s="198">
        <v>0</v>
      </c>
      <c r="BD148" s="198">
        <v>0</v>
      </c>
      <c r="BE148" s="198">
        <v>0</v>
      </c>
      <c r="BF148" s="198">
        <v>0</v>
      </c>
      <c r="BG148" s="198">
        <v>0</v>
      </c>
      <c r="BH148" s="198">
        <v>0</v>
      </c>
      <c r="BI148" s="198">
        <v>0</v>
      </c>
      <c r="BJ148" s="198">
        <v>0</v>
      </c>
      <c r="BK148" s="198">
        <v>0</v>
      </c>
      <c r="BL148" s="198">
        <v>0</v>
      </c>
      <c r="BM148" s="198">
        <v>0</v>
      </c>
      <c r="BN148" s="198">
        <v>0</v>
      </c>
      <c r="BO148" s="198">
        <v>0</v>
      </c>
      <c r="BP148" s="198">
        <v>0</v>
      </c>
      <c r="BQ148" s="198">
        <v>0</v>
      </c>
      <c r="BR148" s="198">
        <v>0</v>
      </c>
      <c r="BS148" s="198">
        <v>0</v>
      </c>
      <c r="BT148" s="198">
        <v>0</v>
      </c>
      <c r="BU148" s="198">
        <v>0</v>
      </c>
      <c r="BV148" s="198">
        <v>0</v>
      </c>
      <c r="BW148" s="198">
        <v>0</v>
      </c>
      <c r="BX148" s="198">
        <v>0</v>
      </c>
      <c r="BY148" s="198">
        <v>0</v>
      </c>
      <c r="BZ148" s="198">
        <v>0</v>
      </c>
      <c r="CA148" s="198">
        <v>0</v>
      </c>
      <c r="CB148" s="198">
        <v>0</v>
      </c>
      <c r="CC148" s="198">
        <v>0</v>
      </c>
      <c r="CD148" s="198">
        <v>0</v>
      </c>
      <c r="CE148" s="198">
        <v>0</v>
      </c>
      <c r="CF148" s="198">
        <v>0</v>
      </c>
      <c r="CG148" s="198">
        <v>0</v>
      </c>
      <c r="CH148" s="198">
        <v>0</v>
      </c>
      <c r="CI148" s="198">
        <v>0</v>
      </c>
      <c r="CJ148" s="198">
        <v>0</v>
      </c>
      <c r="CK148" s="88"/>
    </row>
    <row r="149" spans="1:89" x14ac:dyDescent="0.3">
      <c r="A149" s="173"/>
      <c r="B149" s="204" t="s">
        <v>263</v>
      </c>
      <c r="C149" s="198">
        <v>0</v>
      </c>
      <c r="D149" s="198">
        <v>0</v>
      </c>
      <c r="E149" s="198">
        <v>0</v>
      </c>
      <c r="F149" s="198">
        <v>0</v>
      </c>
      <c r="G149" s="198">
        <v>0</v>
      </c>
      <c r="H149" s="198">
        <v>0</v>
      </c>
      <c r="I149" s="198">
        <v>0</v>
      </c>
      <c r="J149" s="198">
        <v>0</v>
      </c>
      <c r="K149" s="198">
        <v>0</v>
      </c>
      <c r="L149" s="198">
        <v>0</v>
      </c>
      <c r="M149" s="198">
        <v>0</v>
      </c>
      <c r="N149" s="198">
        <v>0</v>
      </c>
      <c r="O149" s="198">
        <v>0</v>
      </c>
      <c r="P149" s="198">
        <v>0</v>
      </c>
      <c r="Q149" s="198">
        <v>0</v>
      </c>
      <c r="R149" s="198">
        <v>0</v>
      </c>
      <c r="S149" s="198">
        <v>0</v>
      </c>
      <c r="T149" s="198">
        <v>0</v>
      </c>
      <c r="U149" s="198">
        <v>0</v>
      </c>
      <c r="V149" s="198">
        <v>0</v>
      </c>
      <c r="W149" s="198">
        <v>16090.6</v>
      </c>
      <c r="X149" s="198">
        <v>0</v>
      </c>
      <c r="Y149" s="198">
        <v>0</v>
      </c>
      <c r="Z149" s="198">
        <v>0</v>
      </c>
      <c r="AA149" s="198">
        <v>0</v>
      </c>
      <c r="AB149" s="198">
        <v>0</v>
      </c>
      <c r="AC149" s="198">
        <v>0</v>
      </c>
      <c r="AD149" s="198">
        <v>0</v>
      </c>
      <c r="AE149" s="198">
        <v>0</v>
      </c>
      <c r="AF149" s="198">
        <v>0</v>
      </c>
      <c r="AG149" s="198">
        <v>0</v>
      </c>
      <c r="AH149" s="198">
        <v>0</v>
      </c>
      <c r="AI149" s="198">
        <v>0</v>
      </c>
      <c r="AJ149" s="198">
        <v>0</v>
      </c>
      <c r="AK149" s="198">
        <v>0</v>
      </c>
      <c r="AL149" s="198">
        <v>0</v>
      </c>
      <c r="AM149" s="198">
        <v>0</v>
      </c>
      <c r="AN149" s="198">
        <v>0</v>
      </c>
      <c r="AO149" s="198">
        <v>0</v>
      </c>
      <c r="AP149" s="198">
        <v>0</v>
      </c>
      <c r="AQ149" s="198">
        <v>0</v>
      </c>
      <c r="AR149" s="198">
        <v>0</v>
      </c>
      <c r="AS149" s="198">
        <v>0</v>
      </c>
      <c r="AT149" s="198">
        <v>0</v>
      </c>
      <c r="AU149" s="198">
        <v>0</v>
      </c>
      <c r="AV149" s="198">
        <v>0</v>
      </c>
      <c r="AW149" s="198">
        <v>0</v>
      </c>
      <c r="AX149" s="198">
        <v>0</v>
      </c>
      <c r="AY149" s="198">
        <v>0</v>
      </c>
      <c r="AZ149" s="198">
        <v>0</v>
      </c>
      <c r="BA149" s="198">
        <v>0</v>
      </c>
      <c r="BB149" s="198">
        <v>0</v>
      </c>
      <c r="BC149" s="198">
        <v>0</v>
      </c>
      <c r="BD149" s="198">
        <v>0</v>
      </c>
      <c r="BE149" s="198">
        <v>0</v>
      </c>
      <c r="BF149" s="198">
        <v>0</v>
      </c>
      <c r="BG149" s="198">
        <v>0</v>
      </c>
      <c r="BH149" s="198">
        <v>0</v>
      </c>
      <c r="BI149" s="198">
        <v>0</v>
      </c>
      <c r="BJ149" s="198">
        <v>0</v>
      </c>
      <c r="BK149" s="198">
        <v>0</v>
      </c>
      <c r="BL149" s="198">
        <v>0</v>
      </c>
      <c r="BM149" s="198">
        <v>0</v>
      </c>
      <c r="BN149" s="198">
        <v>0</v>
      </c>
      <c r="BO149" s="198">
        <v>0</v>
      </c>
      <c r="BP149" s="198">
        <v>0</v>
      </c>
      <c r="BQ149" s="198">
        <v>0</v>
      </c>
      <c r="BR149" s="198">
        <v>0</v>
      </c>
      <c r="BS149" s="198">
        <v>0</v>
      </c>
      <c r="BT149" s="198">
        <v>0</v>
      </c>
      <c r="BU149" s="198">
        <v>0</v>
      </c>
      <c r="BV149" s="198">
        <v>0</v>
      </c>
      <c r="BW149" s="198">
        <v>0</v>
      </c>
      <c r="BX149" s="198">
        <v>0</v>
      </c>
      <c r="BY149" s="198">
        <v>0</v>
      </c>
      <c r="BZ149" s="198">
        <v>0</v>
      </c>
      <c r="CA149" s="198">
        <v>0</v>
      </c>
      <c r="CB149" s="198">
        <v>0</v>
      </c>
      <c r="CC149" s="198">
        <v>0</v>
      </c>
      <c r="CD149" s="198">
        <v>0</v>
      </c>
      <c r="CE149" s="198">
        <v>0</v>
      </c>
      <c r="CF149" s="198">
        <v>0</v>
      </c>
      <c r="CG149" s="198">
        <v>0</v>
      </c>
      <c r="CH149" s="198">
        <v>0</v>
      </c>
      <c r="CI149" s="198">
        <v>0</v>
      </c>
      <c r="CJ149" s="198">
        <v>0</v>
      </c>
      <c r="CK149" s="88"/>
    </row>
    <row r="150" spans="1:89" x14ac:dyDescent="0.3">
      <c r="A150" s="173"/>
      <c r="B150" s="204" t="s">
        <v>265</v>
      </c>
      <c r="C150" s="198">
        <v>0</v>
      </c>
      <c r="D150" s="198">
        <v>0</v>
      </c>
      <c r="E150" s="198">
        <v>0</v>
      </c>
      <c r="F150" s="198">
        <v>0</v>
      </c>
      <c r="G150" s="198">
        <v>0</v>
      </c>
      <c r="H150" s="198">
        <v>0</v>
      </c>
      <c r="I150" s="198">
        <v>0</v>
      </c>
      <c r="J150" s="198">
        <v>0</v>
      </c>
      <c r="K150" s="198">
        <v>0</v>
      </c>
      <c r="L150" s="198">
        <v>0</v>
      </c>
      <c r="M150" s="198">
        <v>0</v>
      </c>
      <c r="N150" s="198">
        <v>0</v>
      </c>
      <c r="O150" s="198">
        <v>0</v>
      </c>
      <c r="P150" s="198">
        <v>0</v>
      </c>
      <c r="Q150" s="198">
        <v>0</v>
      </c>
      <c r="R150" s="198">
        <v>0</v>
      </c>
      <c r="S150" s="198">
        <v>0</v>
      </c>
      <c r="T150" s="198">
        <v>0</v>
      </c>
      <c r="U150" s="198">
        <v>0</v>
      </c>
      <c r="V150" s="198">
        <v>0</v>
      </c>
      <c r="W150" s="198">
        <v>20501.7</v>
      </c>
      <c r="X150" s="198">
        <v>0</v>
      </c>
      <c r="Y150" s="198">
        <v>0</v>
      </c>
      <c r="Z150" s="198">
        <v>0</v>
      </c>
      <c r="AA150" s="198">
        <v>0</v>
      </c>
      <c r="AB150" s="198">
        <v>0</v>
      </c>
      <c r="AC150" s="198">
        <v>0</v>
      </c>
      <c r="AD150" s="198">
        <v>0</v>
      </c>
      <c r="AE150" s="198">
        <v>0</v>
      </c>
      <c r="AF150" s="198">
        <v>0</v>
      </c>
      <c r="AG150" s="198">
        <v>0</v>
      </c>
      <c r="AH150" s="198">
        <v>0</v>
      </c>
      <c r="AI150" s="198">
        <v>0</v>
      </c>
      <c r="AJ150" s="198">
        <v>0</v>
      </c>
      <c r="AK150" s="198">
        <v>0</v>
      </c>
      <c r="AL150" s="198">
        <v>0</v>
      </c>
      <c r="AM150" s="198">
        <v>0</v>
      </c>
      <c r="AN150" s="198">
        <v>0</v>
      </c>
      <c r="AO150" s="198">
        <v>0</v>
      </c>
      <c r="AP150" s="198">
        <v>0</v>
      </c>
      <c r="AQ150" s="198">
        <v>0</v>
      </c>
      <c r="AR150" s="198">
        <v>0</v>
      </c>
      <c r="AS150" s="198">
        <v>0</v>
      </c>
      <c r="AT150" s="198">
        <v>0</v>
      </c>
      <c r="AU150" s="198">
        <v>0</v>
      </c>
      <c r="AV150" s="198">
        <v>0</v>
      </c>
      <c r="AW150" s="198">
        <v>0</v>
      </c>
      <c r="AX150" s="198">
        <v>0</v>
      </c>
      <c r="AY150" s="198">
        <v>0</v>
      </c>
      <c r="AZ150" s="198">
        <v>0</v>
      </c>
      <c r="BA150" s="198">
        <v>0</v>
      </c>
      <c r="BB150" s="198">
        <v>0</v>
      </c>
      <c r="BC150" s="198">
        <v>0</v>
      </c>
      <c r="BD150" s="198">
        <v>0</v>
      </c>
      <c r="BE150" s="198">
        <v>0</v>
      </c>
      <c r="BF150" s="198">
        <v>0</v>
      </c>
      <c r="BG150" s="198">
        <v>0</v>
      </c>
      <c r="BH150" s="198">
        <v>0</v>
      </c>
      <c r="BI150" s="198">
        <v>0</v>
      </c>
      <c r="BJ150" s="198">
        <v>0</v>
      </c>
      <c r="BK150" s="198">
        <v>0</v>
      </c>
      <c r="BL150" s="198">
        <v>0</v>
      </c>
      <c r="BM150" s="198">
        <v>0</v>
      </c>
      <c r="BN150" s="198">
        <v>0</v>
      </c>
      <c r="BO150" s="198">
        <v>0</v>
      </c>
      <c r="BP150" s="198">
        <v>0</v>
      </c>
      <c r="BQ150" s="198">
        <v>0</v>
      </c>
      <c r="BR150" s="198">
        <v>0</v>
      </c>
      <c r="BS150" s="198">
        <v>0</v>
      </c>
      <c r="BT150" s="198">
        <v>0</v>
      </c>
      <c r="BU150" s="198">
        <v>0</v>
      </c>
      <c r="BV150" s="198">
        <v>0</v>
      </c>
      <c r="BW150" s="198">
        <v>0</v>
      </c>
      <c r="BX150" s="198">
        <v>0</v>
      </c>
      <c r="BY150" s="198">
        <v>0</v>
      </c>
      <c r="BZ150" s="198">
        <v>0</v>
      </c>
      <c r="CA150" s="198">
        <v>0</v>
      </c>
      <c r="CB150" s="198">
        <v>0</v>
      </c>
      <c r="CC150" s="198">
        <v>0</v>
      </c>
      <c r="CD150" s="198">
        <v>0</v>
      </c>
      <c r="CE150" s="198">
        <v>0</v>
      </c>
      <c r="CF150" s="198">
        <v>0</v>
      </c>
      <c r="CG150" s="198">
        <v>0</v>
      </c>
      <c r="CH150" s="198">
        <v>0</v>
      </c>
      <c r="CI150" s="198">
        <v>0</v>
      </c>
      <c r="CJ150" s="198">
        <v>0</v>
      </c>
      <c r="CK150" s="88"/>
    </row>
    <row r="151" spans="1:89" x14ac:dyDescent="0.3">
      <c r="A151" s="173"/>
      <c r="B151" s="204" t="s">
        <v>267</v>
      </c>
      <c r="C151" s="198">
        <v>0</v>
      </c>
      <c r="D151" s="198">
        <v>0</v>
      </c>
      <c r="E151" s="198">
        <v>0</v>
      </c>
      <c r="F151" s="198">
        <v>0</v>
      </c>
      <c r="G151" s="198">
        <v>0</v>
      </c>
      <c r="H151" s="198">
        <v>0</v>
      </c>
      <c r="I151" s="198">
        <v>0</v>
      </c>
      <c r="J151" s="198">
        <v>0</v>
      </c>
      <c r="K151" s="198">
        <v>0</v>
      </c>
      <c r="L151" s="198">
        <v>0</v>
      </c>
      <c r="M151" s="198">
        <v>0</v>
      </c>
      <c r="N151" s="198">
        <v>0</v>
      </c>
      <c r="O151" s="198">
        <v>0</v>
      </c>
      <c r="P151" s="198">
        <v>0</v>
      </c>
      <c r="Q151" s="198">
        <v>0</v>
      </c>
      <c r="R151" s="198">
        <v>0</v>
      </c>
      <c r="S151" s="198">
        <v>0</v>
      </c>
      <c r="T151" s="198">
        <v>0</v>
      </c>
      <c r="U151" s="198">
        <v>0</v>
      </c>
      <c r="V151" s="198">
        <v>0</v>
      </c>
      <c r="W151" s="198">
        <v>10482.1</v>
      </c>
      <c r="X151" s="198">
        <v>0</v>
      </c>
      <c r="Y151" s="198">
        <v>0</v>
      </c>
      <c r="Z151" s="198">
        <v>0</v>
      </c>
      <c r="AA151" s="198">
        <v>0</v>
      </c>
      <c r="AB151" s="198">
        <v>0</v>
      </c>
      <c r="AC151" s="198">
        <v>0</v>
      </c>
      <c r="AD151" s="198">
        <v>0</v>
      </c>
      <c r="AE151" s="198">
        <v>0</v>
      </c>
      <c r="AF151" s="198">
        <v>0</v>
      </c>
      <c r="AG151" s="198">
        <v>0</v>
      </c>
      <c r="AH151" s="198">
        <v>0</v>
      </c>
      <c r="AI151" s="198">
        <v>0</v>
      </c>
      <c r="AJ151" s="198">
        <v>0</v>
      </c>
      <c r="AK151" s="198">
        <v>0</v>
      </c>
      <c r="AL151" s="198">
        <v>0</v>
      </c>
      <c r="AM151" s="198">
        <v>0</v>
      </c>
      <c r="AN151" s="198">
        <v>0</v>
      </c>
      <c r="AO151" s="198">
        <v>0</v>
      </c>
      <c r="AP151" s="198">
        <v>0</v>
      </c>
      <c r="AQ151" s="198">
        <v>0</v>
      </c>
      <c r="AR151" s="198">
        <v>0</v>
      </c>
      <c r="AS151" s="198">
        <v>0</v>
      </c>
      <c r="AT151" s="198">
        <v>0</v>
      </c>
      <c r="AU151" s="198">
        <v>0</v>
      </c>
      <c r="AV151" s="198">
        <v>0</v>
      </c>
      <c r="AW151" s="198">
        <v>0</v>
      </c>
      <c r="AX151" s="198">
        <v>0</v>
      </c>
      <c r="AY151" s="198">
        <v>0</v>
      </c>
      <c r="AZ151" s="198">
        <v>0</v>
      </c>
      <c r="BA151" s="198">
        <v>0</v>
      </c>
      <c r="BB151" s="198">
        <v>0</v>
      </c>
      <c r="BC151" s="198">
        <v>0</v>
      </c>
      <c r="BD151" s="198">
        <v>0</v>
      </c>
      <c r="BE151" s="198">
        <v>0</v>
      </c>
      <c r="BF151" s="198">
        <v>0</v>
      </c>
      <c r="BG151" s="198">
        <v>0</v>
      </c>
      <c r="BH151" s="198">
        <v>0</v>
      </c>
      <c r="BI151" s="198">
        <v>0</v>
      </c>
      <c r="BJ151" s="198">
        <v>0</v>
      </c>
      <c r="BK151" s="198">
        <v>0</v>
      </c>
      <c r="BL151" s="198">
        <v>0</v>
      </c>
      <c r="BM151" s="198">
        <v>0</v>
      </c>
      <c r="BN151" s="198">
        <v>0</v>
      </c>
      <c r="BO151" s="198">
        <v>0</v>
      </c>
      <c r="BP151" s="198">
        <v>0</v>
      </c>
      <c r="BQ151" s="198">
        <v>0</v>
      </c>
      <c r="BR151" s="198">
        <v>0</v>
      </c>
      <c r="BS151" s="198">
        <v>0</v>
      </c>
      <c r="BT151" s="198">
        <v>0</v>
      </c>
      <c r="BU151" s="198">
        <v>0</v>
      </c>
      <c r="BV151" s="198">
        <v>0</v>
      </c>
      <c r="BW151" s="198">
        <v>0</v>
      </c>
      <c r="BX151" s="198">
        <v>0</v>
      </c>
      <c r="BY151" s="198">
        <v>0</v>
      </c>
      <c r="BZ151" s="198">
        <v>0</v>
      </c>
      <c r="CA151" s="198">
        <v>0</v>
      </c>
      <c r="CB151" s="198">
        <v>0</v>
      </c>
      <c r="CC151" s="198">
        <v>0</v>
      </c>
      <c r="CD151" s="198">
        <v>0</v>
      </c>
      <c r="CE151" s="198">
        <v>0</v>
      </c>
      <c r="CF151" s="198">
        <v>0</v>
      </c>
      <c r="CG151" s="198">
        <v>0</v>
      </c>
      <c r="CH151" s="198">
        <v>0</v>
      </c>
      <c r="CI151" s="198">
        <v>0</v>
      </c>
      <c r="CJ151" s="198">
        <v>0</v>
      </c>
      <c r="CK151" s="88"/>
    </row>
    <row r="152" spans="1:89" x14ac:dyDescent="0.3">
      <c r="A152" s="173"/>
      <c r="B152" s="204" t="s">
        <v>264</v>
      </c>
      <c r="C152" s="198">
        <v>0</v>
      </c>
      <c r="D152" s="198">
        <v>0</v>
      </c>
      <c r="E152" s="198">
        <v>0</v>
      </c>
      <c r="F152" s="198">
        <v>0</v>
      </c>
      <c r="G152" s="198">
        <v>0</v>
      </c>
      <c r="H152" s="198">
        <v>0</v>
      </c>
      <c r="I152" s="198">
        <v>0</v>
      </c>
      <c r="J152" s="198">
        <v>0</v>
      </c>
      <c r="K152" s="198">
        <v>0</v>
      </c>
      <c r="L152" s="198">
        <v>0</v>
      </c>
      <c r="M152" s="198">
        <v>0</v>
      </c>
      <c r="N152" s="198">
        <v>0</v>
      </c>
      <c r="O152" s="198">
        <v>0</v>
      </c>
      <c r="P152" s="198">
        <v>0</v>
      </c>
      <c r="Q152" s="198">
        <v>0</v>
      </c>
      <c r="R152" s="198">
        <v>0</v>
      </c>
      <c r="S152" s="198">
        <v>0</v>
      </c>
      <c r="T152" s="198">
        <v>0</v>
      </c>
      <c r="U152" s="198">
        <v>0</v>
      </c>
      <c r="V152" s="198">
        <v>0</v>
      </c>
      <c r="W152" s="198">
        <v>2092</v>
      </c>
      <c r="X152" s="198">
        <v>0</v>
      </c>
      <c r="Y152" s="198">
        <v>0</v>
      </c>
      <c r="Z152" s="198">
        <v>0</v>
      </c>
      <c r="AA152" s="198">
        <v>0</v>
      </c>
      <c r="AB152" s="198">
        <v>0</v>
      </c>
      <c r="AC152" s="198">
        <v>0</v>
      </c>
      <c r="AD152" s="198">
        <v>0</v>
      </c>
      <c r="AE152" s="198">
        <v>0</v>
      </c>
      <c r="AF152" s="198">
        <v>0</v>
      </c>
      <c r="AG152" s="198">
        <v>0</v>
      </c>
      <c r="AH152" s="198">
        <v>0</v>
      </c>
      <c r="AI152" s="198">
        <v>0</v>
      </c>
      <c r="AJ152" s="198">
        <v>0</v>
      </c>
      <c r="AK152" s="198">
        <v>0</v>
      </c>
      <c r="AL152" s="198">
        <v>0</v>
      </c>
      <c r="AM152" s="198">
        <v>0</v>
      </c>
      <c r="AN152" s="198">
        <v>0</v>
      </c>
      <c r="AO152" s="198">
        <v>0</v>
      </c>
      <c r="AP152" s="198">
        <v>0</v>
      </c>
      <c r="AQ152" s="198">
        <v>0</v>
      </c>
      <c r="AR152" s="198">
        <v>0</v>
      </c>
      <c r="AS152" s="198">
        <v>0</v>
      </c>
      <c r="AT152" s="198">
        <v>0</v>
      </c>
      <c r="AU152" s="198">
        <v>0</v>
      </c>
      <c r="AV152" s="198">
        <v>0</v>
      </c>
      <c r="AW152" s="198">
        <v>0</v>
      </c>
      <c r="AX152" s="198">
        <v>0</v>
      </c>
      <c r="AY152" s="198">
        <v>0</v>
      </c>
      <c r="AZ152" s="198">
        <v>0</v>
      </c>
      <c r="BA152" s="198">
        <v>0</v>
      </c>
      <c r="BB152" s="198">
        <v>0</v>
      </c>
      <c r="BC152" s="198">
        <v>0</v>
      </c>
      <c r="BD152" s="198">
        <v>0</v>
      </c>
      <c r="BE152" s="198">
        <v>0</v>
      </c>
      <c r="BF152" s="198">
        <v>0</v>
      </c>
      <c r="BG152" s="198">
        <v>0</v>
      </c>
      <c r="BH152" s="198">
        <v>0</v>
      </c>
      <c r="BI152" s="198">
        <v>0</v>
      </c>
      <c r="BJ152" s="198">
        <v>0</v>
      </c>
      <c r="BK152" s="198">
        <v>0</v>
      </c>
      <c r="BL152" s="198">
        <v>0</v>
      </c>
      <c r="BM152" s="198">
        <v>0</v>
      </c>
      <c r="BN152" s="198">
        <v>0</v>
      </c>
      <c r="BO152" s="198">
        <v>0</v>
      </c>
      <c r="BP152" s="198">
        <v>0</v>
      </c>
      <c r="BQ152" s="198">
        <v>0</v>
      </c>
      <c r="BR152" s="198">
        <v>0</v>
      </c>
      <c r="BS152" s="198">
        <v>0</v>
      </c>
      <c r="BT152" s="198">
        <v>0</v>
      </c>
      <c r="BU152" s="198">
        <v>0</v>
      </c>
      <c r="BV152" s="198">
        <v>0</v>
      </c>
      <c r="BW152" s="198">
        <v>0</v>
      </c>
      <c r="BX152" s="198">
        <v>0</v>
      </c>
      <c r="BY152" s="198">
        <v>0</v>
      </c>
      <c r="BZ152" s="198">
        <v>0</v>
      </c>
      <c r="CA152" s="198">
        <v>0</v>
      </c>
      <c r="CB152" s="198">
        <v>0</v>
      </c>
      <c r="CC152" s="198">
        <v>0</v>
      </c>
      <c r="CD152" s="198">
        <v>0</v>
      </c>
      <c r="CE152" s="198">
        <v>0</v>
      </c>
      <c r="CF152" s="198">
        <v>0</v>
      </c>
      <c r="CG152" s="198">
        <v>0</v>
      </c>
      <c r="CH152" s="198">
        <v>0</v>
      </c>
      <c r="CI152" s="198">
        <v>0</v>
      </c>
      <c r="CJ152" s="198">
        <v>0</v>
      </c>
      <c r="CK152" s="88"/>
    </row>
    <row r="153" spans="1:89" x14ac:dyDescent="0.3">
      <c r="A153" s="173"/>
      <c r="B153" s="204" t="s">
        <v>276</v>
      </c>
      <c r="C153" s="198">
        <v>0</v>
      </c>
      <c r="D153" s="198">
        <v>0</v>
      </c>
      <c r="E153" s="198">
        <v>0</v>
      </c>
      <c r="F153" s="198">
        <v>0</v>
      </c>
      <c r="G153" s="198">
        <v>0</v>
      </c>
      <c r="H153" s="198">
        <v>0</v>
      </c>
      <c r="I153" s="198">
        <v>0</v>
      </c>
      <c r="J153" s="198">
        <v>0</v>
      </c>
      <c r="K153" s="198">
        <v>0</v>
      </c>
      <c r="L153" s="198">
        <v>0</v>
      </c>
      <c r="M153" s="198">
        <v>0</v>
      </c>
      <c r="N153" s="198">
        <v>0</v>
      </c>
      <c r="O153" s="198">
        <v>0</v>
      </c>
      <c r="P153" s="198">
        <v>0</v>
      </c>
      <c r="Q153" s="198">
        <v>0</v>
      </c>
      <c r="R153" s="198">
        <v>0</v>
      </c>
      <c r="S153" s="198">
        <v>0</v>
      </c>
      <c r="T153" s="198">
        <v>0</v>
      </c>
      <c r="U153" s="198">
        <v>0</v>
      </c>
      <c r="V153" s="198">
        <v>0</v>
      </c>
      <c r="W153" s="198">
        <v>2193.1</v>
      </c>
      <c r="X153" s="198">
        <v>0</v>
      </c>
      <c r="Y153" s="198">
        <v>0.6</v>
      </c>
      <c r="Z153" s="198">
        <v>0.1</v>
      </c>
      <c r="AA153" s="198">
        <v>0.1</v>
      </c>
      <c r="AB153" s="198">
        <v>0.1</v>
      </c>
      <c r="AC153" s="198">
        <v>0.1</v>
      </c>
      <c r="AD153" s="198">
        <v>0.1</v>
      </c>
      <c r="AE153" s="198">
        <v>0</v>
      </c>
      <c r="AF153" s="198">
        <v>0</v>
      </c>
      <c r="AG153" s="198">
        <v>0.1</v>
      </c>
      <c r="AH153" s="198">
        <v>0</v>
      </c>
      <c r="AI153" s="198">
        <v>0</v>
      </c>
      <c r="AJ153" s="198">
        <v>0.1</v>
      </c>
      <c r="AK153" s="198">
        <v>0</v>
      </c>
      <c r="AL153" s="198">
        <v>0.1</v>
      </c>
      <c r="AM153" s="198">
        <v>0.1</v>
      </c>
      <c r="AN153" s="198">
        <v>0</v>
      </c>
      <c r="AO153" s="198">
        <v>0</v>
      </c>
      <c r="AP153" s="198">
        <v>0.2</v>
      </c>
      <c r="AQ153" s="198">
        <v>0</v>
      </c>
      <c r="AR153" s="198">
        <v>0</v>
      </c>
      <c r="AS153" s="198">
        <v>0</v>
      </c>
      <c r="AT153" s="198">
        <v>0</v>
      </c>
      <c r="AU153" s="198">
        <v>0</v>
      </c>
      <c r="AV153" s="198">
        <v>1.5</v>
      </c>
      <c r="AW153" s="198">
        <v>0</v>
      </c>
      <c r="AX153" s="198">
        <v>0</v>
      </c>
      <c r="AY153" s="198">
        <v>0</v>
      </c>
      <c r="AZ153" s="198">
        <v>0</v>
      </c>
      <c r="BA153" s="198">
        <v>0</v>
      </c>
      <c r="BB153" s="198">
        <v>0</v>
      </c>
      <c r="BC153" s="198">
        <v>0</v>
      </c>
      <c r="BD153" s="198">
        <v>0</v>
      </c>
      <c r="BE153" s="198">
        <v>0</v>
      </c>
      <c r="BF153" s="198">
        <v>0</v>
      </c>
      <c r="BG153" s="198">
        <v>0</v>
      </c>
      <c r="BH153" s="198">
        <v>0</v>
      </c>
      <c r="BI153" s="198">
        <v>0</v>
      </c>
      <c r="BJ153" s="198">
        <v>0</v>
      </c>
      <c r="BK153" s="198">
        <v>0</v>
      </c>
      <c r="BL153" s="198">
        <v>0</v>
      </c>
      <c r="BM153" s="198">
        <v>0</v>
      </c>
      <c r="BN153" s="198">
        <v>0</v>
      </c>
      <c r="BO153" s="198">
        <v>0</v>
      </c>
      <c r="BP153" s="198">
        <v>0</v>
      </c>
      <c r="BQ153" s="198">
        <v>0</v>
      </c>
      <c r="BR153" s="198">
        <v>0</v>
      </c>
      <c r="BS153" s="198">
        <v>0</v>
      </c>
      <c r="BT153" s="198">
        <v>0</v>
      </c>
      <c r="BU153" s="198">
        <v>0</v>
      </c>
      <c r="BV153" s="198">
        <v>0</v>
      </c>
      <c r="BW153" s="198">
        <v>0</v>
      </c>
      <c r="BX153" s="198">
        <v>0</v>
      </c>
      <c r="BY153" s="198">
        <v>0</v>
      </c>
      <c r="BZ153" s="198">
        <v>0</v>
      </c>
      <c r="CA153" s="198">
        <v>0</v>
      </c>
      <c r="CB153" s="198">
        <v>0</v>
      </c>
      <c r="CC153" s="198">
        <v>0</v>
      </c>
      <c r="CD153" s="198">
        <v>0</v>
      </c>
      <c r="CE153" s="198">
        <v>0</v>
      </c>
      <c r="CF153" s="198">
        <v>0</v>
      </c>
      <c r="CG153" s="198">
        <v>0</v>
      </c>
      <c r="CH153" s="198">
        <v>0</v>
      </c>
      <c r="CI153" s="198">
        <v>0</v>
      </c>
      <c r="CJ153" s="198">
        <v>0</v>
      </c>
      <c r="CK153" s="88"/>
    </row>
    <row r="154" spans="1:89" x14ac:dyDescent="0.3">
      <c r="A154" s="173"/>
      <c r="B154" s="204" t="s">
        <v>274</v>
      </c>
      <c r="C154" s="198">
        <v>0</v>
      </c>
      <c r="D154" s="198">
        <v>0</v>
      </c>
      <c r="E154" s="198">
        <v>0</v>
      </c>
      <c r="F154" s="198">
        <v>0</v>
      </c>
      <c r="G154" s="198">
        <v>0</v>
      </c>
      <c r="H154" s="198">
        <v>0</v>
      </c>
      <c r="I154" s="198">
        <v>0</v>
      </c>
      <c r="J154" s="198">
        <v>0</v>
      </c>
      <c r="K154" s="198">
        <v>0</v>
      </c>
      <c r="L154" s="198">
        <v>0</v>
      </c>
      <c r="M154" s="198">
        <v>0</v>
      </c>
      <c r="N154" s="198">
        <v>0</v>
      </c>
      <c r="O154" s="198">
        <v>0</v>
      </c>
      <c r="P154" s="198">
        <v>0</v>
      </c>
      <c r="Q154" s="198">
        <v>0</v>
      </c>
      <c r="R154" s="198">
        <v>0</v>
      </c>
      <c r="S154" s="198">
        <v>0</v>
      </c>
      <c r="T154" s="198">
        <v>0</v>
      </c>
      <c r="U154" s="198">
        <v>0</v>
      </c>
      <c r="V154" s="198">
        <v>0</v>
      </c>
      <c r="W154" s="198">
        <v>7210.6</v>
      </c>
      <c r="X154" s="198">
        <v>0</v>
      </c>
      <c r="Y154" s="198">
        <v>2.9</v>
      </c>
      <c r="Z154" s="198">
        <v>0.2</v>
      </c>
      <c r="AA154" s="198">
        <v>0.8</v>
      </c>
      <c r="AB154" s="198">
        <v>0.4</v>
      </c>
      <c r="AC154" s="198">
        <v>0.2</v>
      </c>
      <c r="AD154" s="198">
        <v>0.1</v>
      </c>
      <c r="AE154" s="198">
        <v>0.1</v>
      </c>
      <c r="AF154" s="198">
        <v>0</v>
      </c>
      <c r="AG154" s="198">
        <v>1.4</v>
      </c>
      <c r="AH154" s="198">
        <v>0</v>
      </c>
      <c r="AI154" s="198">
        <v>0</v>
      </c>
      <c r="AJ154" s="198">
        <v>0.4</v>
      </c>
      <c r="AK154" s="198">
        <v>0.3</v>
      </c>
      <c r="AL154" s="198">
        <v>0.3</v>
      </c>
      <c r="AM154" s="198">
        <v>0.2</v>
      </c>
      <c r="AN154" s="198">
        <v>0.2</v>
      </c>
      <c r="AO154" s="198">
        <v>0</v>
      </c>
      <c r="AP154" s="198">
        <v>0.7</v>
      </c>
      <c r="AQ154" s="198">
        <v>0</v>
      </c>
      <c r="AR154" s="198">
        <v>0</v>
      </c>
      <c r="AS154" s="198">
        <v>0</v>
      </c>
      <c r="AT154" s="198">
        <v>0</v>
      </c>
      <c r="AU154" s="198">
        <v>0</v>
      </c>
      <c r="AV154" s="198">
        <v>12.7</v>
      </c>
      <c r="AW154" s="198">
        <v>0</v>
      </c>
      <c r="AX154" s="198">
        <v>0</v>
      </c>
      <c r="AY154" s="198">
        <v>0</v>
      </c>
      <c r="AZ154" s="198">
        <v>0</v>
      </c>
      <c r="BA154" s="198">
        <v>0</v>
      </c>
      <c r="BB154" s="198">
        <v>0</v>
      </c>
      <c r="BC154" s="198">
        <v>0</v>
      </c>
      <c r="BD154" s="198">
        <v>0</v>
      </c>
      <c r="BE154" s="198">
        <v>0</v>
      </c>
      <c r="BF154" s="198">
        <v>0</v>
      </c>
      <c r="BG154" s="198">
        <v>0</v>
      </c>
      <c r="BH154" s="198">
        <v>0</v>
      </c>
      <c r="BI154" s="198">
        <v>0</v>
      </c>
      <c r="BJ154" s="198">
        <v>0</v>
      </c>
      <c r="BK154" s="198">
        <v>0</v>
      </c>
      <c r="BL154" s="198">
        <v>0</v>
      </c>
      <c r="BM154" s="198">
        <v>0</v>
      </c>
      <c r="BN154" s="198">
        <v>0</v>
      </c>
      <c r="BO154" s="198">
        <v>0</v>
      </c>
      <c r="BP154" s="198">
        <v>0</v>
      </c>
      <c r="BQ154" s="198">
        <v>0</v>
      </c>
      <c r="BR154" s="198">
        <v>0</v>
      </c>
      <c r="BS154" s="198">
        <v>0</v>
      </c>
      <c r="BT154" s="198">
        <v>0</v>
      </c>
      <c r="BU154" s="198">
        <v>0</v>
      </c>
      <c r="BV154" s="198">
        <v>0</v>
      </c>
      <c r="BW154" s="198">
        <v>0</v>
      </c>
      <c r="BX154" s="198">
        <v>0</v>
      </c>
      <c r="BY154" s="198">
        <v>0</v>
      </c>
      <c r="BZ154" s="198">
        <v>0</v>
      </c>
      <c r="CA154" s="198">
        <v>0</v>
      </c>
      <c r="CB154" s="198">
        <v>0</v>
      </c>
      <c r="CC154" s="198">
        <v>0</v>
      </c>
      <c r="CD154" s="198">
        <v>0</v>
      </c>
      <c r="CE154" s="198">
        <v>0</v>
      </c>
      <c r="CF154" s="198">
        <v>0</v>
      </c>
      <c r="CG154" s="198">
        <v>0</v>
      </c>
      <c r="CH154" s="198">
        <v>2831.8</v>
      </c>
      <c r="CI154" s="198">
        <v>0</v>
      </c>
      <c r="CJ154" s="198">
        <v>0</v>
      </c>
      <c r="CK154" s="88"/>
    </row>
    <row r="155" spans="1:89" x14ac:dyDescent="0.3">
      <c r="A155" s="173"/>
      <c r="B155" s="204" t="s">
        <v>272</v>
      </c>
      <c r="C155" s="198">
        <v>0</v>
      </c>
      <c r="D155" s="198">
        <v>0</v>
      </c>
      <c r="E155" s="198">
        <v>0</v>
      </c>
      <c r="F155" s="198">
        <v>0</v>
      </c>
      <c r="G155" s="198">
        <v>0</v>
      </c>
      <c r="H155" s="198">
        <v>0</v>
      </c>
      <c r="I155" s="198">
        <v>0</v>
      </c>
      <c r="J155" s="198">
        <v>0</v>
      </c>
      <c r="K155" s="198">
        <v>0</v>
      </c>
      <c r="L155" s="198">
        <v>0</v>
      </c>
      <c r="M155" s="198">
        <v>0</v>
      </c>
      <c r="N155" s="198">
        <v>0</v>
      </c>
      <c r="O155" s="198">
        <v>0</v>
      </c>
      <c r="P155" s="198">
        <v>0</v>
      </c>
      <c r="Q155" s="198">
        <v>0</v>
      </c>
      <c r="R155" s="198">
        <v>0</v>
      </c>
      <c r="S155" s="198">
        <v>0</v>
      </c>
      <c r="T155" s="198">
        <v>0</v>
      </c>
      <c r="U155" s="198">
        <v>0</v>
      </c>
      <c r="V155" s="198">
        <v>0</v>
      </c>
      <c r="W155" s="198">
        <v>12579.4</v>
      </c>
      <c r="X155" s="198">
        <v>0</v>
      </c>
      <c r="Y155" s="198">
        <v>520</v>
      </c>
      <c r="Z155" s="198">
        <v>401.7</v>
      </c>
      <c r="AA155" s="198">
        <v>3.6</v>
      </c>
      <c r="AB155" s="198">
        <v>2.2999999999999998</v>
      </c>
      <c r="AC155" s="198">
        <v>1.9</v>
      </c>
      <c r="AD155" s="198">
        <v>1.2</v>
      </c>
      <c r="AE155" s="198">
        <v>1.8</v>
      </c>
      <c r="AF155" s="198">
        <v>0</v>
      </c>
      <c r="AG155" s="198">
        <v>5.6</v>
      </c>
      <c r="AH155" s="198">
        <v>0</v>
      </c>
      <c r="AI155" s="198">
        <v>0</v>
      </c>
      <c r="AJ155" s="198">
        <v>2.1</v>
      </c>
      <c r="AK155" s="198">
        <v>1.8</v>
      </c>
      <c r="AL155" s="198">
        <v>2.6</v>
      </c>
      <c r="AM155" s="198">
        <v>0.8</v>
      </c>
      <c r="AN155" s="198">
        <v>0.9</v>
      </c>
      <c r="AO155" s="198">
        <v>0</v>
      </c>
      <c r="AP155" s="198">
        <v>5.7</v>
      </c>
      <c r="AQ155" s="198">
        <v>0</v>
      </c>
      <c r="AR155" s="198">
        <v>0</v>
      </c>
      <c r="AS155" s="198">
        <v>0</v>
      </c>
      <c r="AT155" s="198">
        <v>0</v>
      </c>
      <c r="AU155" s="198">
        <v>0</v>
      </c>
      <c r="AV155" s="198">
        <v>49.9</v>
      </c>
      <c r="AW155" s="198">
        <v>0</v>
      </c>
      <c r="AX155" s="198">
        <v>0</v>
      </c>
      <c r="AY155" s="198">
        <v>0</v>
      </c>
      <c r="AZ155" s="198">
        <v>0</v>
      </c>
      <c r="BA155" s="198">
        <v>0</v>
      </c>
      <c r="BB155" s="198">
        <v>0</v>
      </c>
      <c r="BC155" s="198">
        <v>0</v>
      </c>
      <c r="BD155" s="198">
        <v>0</v>
      </c>
      <c r="BE155" s="198">
        <v>0</v>
      </c>
      <c r="BF155" s="198">
        <v>0</v>
      </c>
      <c r="BG155" s="198">
        <v>0</v>
      </c>
      <c r="BH155" s="198">
        <v>0</v>
      </c>
      <c r="BI155" s="198">
        <v>0</v>
      </c>
      <c r="BJ155" s="198">
        <v>0</v>
      </c>
      <c r="BK155" s="198">
        <v>0</v>
      </c>
      <c r="BL155" s="198">
        <v>0</v>
      </c>
      <c r="BM155" s="198">
        <v>0</v>
      </c>
      <c r="BN155" s="198">
        <v>0</v>
      </c>
      <c r="BO155" s="198">
        <v>0</v>
      </c>
      <c r="BP155" s="198">
        <v>0</v>
      </c>
      <c r="BQ155" s="198">
        <v>0</v>
      </c>
      <c r="BR155" s="198">
        <v>0</v>
      </c>
      <c r="BS155" s="198">
        <v>0</v>
      </c>
      <c r="BT155" s="198">
        <v>0</v>
      </c>
      <c r="BU155" s="198">
        <v>0</v>
      </c>
      <c r="BV155" s="198">
        <v>0</v>
      </c>
      <c r="BW155" s="198">
        <v>0</v>
      </c>
      <c r="BX155" s="198">
        <v>0</v>
      </c>
      <c r="BY155" s="198">
        <v>0</v>
      </c>
      <c r="BZ155" s="198">
        <v>0</v>
      </c>
      <c r="CA155" s="198">
        <v>0</v>
      </c>
      <c r="CB155" s="198">
        <v>0</v>
      </c>
      <c r="CC155" s="198">
        <v>0</v>
      </c>
      <c r="CD155" s="198">
        <v>0</v>
      </c>
      <c r="CE155" s="198">
        <v>0</v>
      </c>
      <c r="CF155" s="198">
        <v>0</v>
      </c>
      <c r="CG155" s="198">
        <v>0</v>
      </c>
      <c r="CH155" s="198">
        <v>0</v>
      </c>
      <c r="CI155" s="198">
        <v>0</v>
      </c>
      <c r="CJ155" s="198">
        <v>0</v>
      </c>
      <c r="CK155" s="88"/>
    </row>
    <row r="156" spans="1:89" x14ac:dyDescent="0.3">
      <c r="A156" s="173"/>
      <c r="B156" s="204" t="s">
        <v>273</v>
      </c>
      <c r="C156" s="198">
        <v>0</v>
      </c>
      <c r="D156" s="198">
        <v>0</v>
      </c>
      <c r="E156" s="198">
        <v>0</v>
      </c>
      <c r="F156" s="198">
        <v>0</v>
      </c>
      <c r="G156" s="198">
        <v>0</v>
      </c>
      <c r="H156" s="198">
        <v>0</v>
      </c>
      <c r="I156" s="198">
        <v>0</v>
      </c>
      <c r="J156" s="198">
        <v>0</v>
      </c>
      <c r="K156" s="198">
        <v>0</v>
      </c>
      <c r="L156" s="198">
        <v>0</v>
      </c>
      <c r="M156" s="198">
        <v>0</v>
      </c>
      <c r="N156" s="198">
        <v>0</v>
      </c>
      <c r="O156" s="198">
        <v>0</v>
      </c>
      <c r="P156" s="198">
        <v>0</v>
      </c>
      <c r="Q156" s="198">
        <v>0</v>
      </c>
      <c r="R156" s="198">
        <v>0</v>
      </c>
      <c r="S156" s="198">
        <v>0</v>
      </c>
      <c r="T156" s="198">
        <v>0</v>
      </c>
      <c r="U156" s="198">
        <v>0</v>
      </c>
      <c r="V156" s="198">
        <v>0</v>
      </c>
      <c r="W156" s="198">
        <v>18463.7</v>
      </c>
      <c r="X156" s="198">
        <v>0</v>
      </c>
      <c r="Y156" s="198">
        <v>252.3</v>
      </c>
      <c r="Z156" s="198">
        <v>352.7</v>
      </c>
      <c r="AA156" s="198">
        <v>0.4</v>
      </c>
      <c r="AB156" s="198">
        <v>0.3</v>
      </c>
      <c r="AC156" s="198">
        <v>0.1</v>
      </c>
      <c r="AD156" s="198">
        <v>0.1</v>
      </c>
      <c r="AE156" s="198">
        <v>0.1</v>
      </c>
      <c r="AF156" s="198">
        <v>0</v>
      </c>
      <c r="AG156" s="198">
        <v>0.2</v>
      </c>
      <c r="AH156" s="198">
        <v>0</v>
      </c>
      <c r="AI156" s="198">
        <v>0</v>
      </c>
      <c r="AJ156" s="198">
        <v>0.2</v>
      </c>
      <c r="AK156" s="198">
        <v>0.4</v>
      </c>
      <c r="AL156" s="198">
        <v>0.4</v>
      </c>
      <c r="AM156" s="198">
        <v>0.3</v>
      </c>
      <c r="AN156" s="198">
        <v>0</v>
      </c>
      <c r="AO156" s="198">
        <v>0</v>
      </c>
      <c r="AP156" s="198">
        <v>0.8</v>
      </c>
      <c r="AQ156" s="198">
        <v>0</v>
      </c>
      <c r="AR156" s="198">
        <v>0</v>
      </c>
      <c r="AS156" s="198">
        <v>0</v>
      </c>
      <c r="AT156" s="198">
        <v>0</v>
      </c>
      <c r="AU156" s="198">
        <v>0</v>
      </c>
      <c r="AV156" s="198">
        <v>4.8</v>
      </c>
      <c r="AW156" s="198">
        <v>0</v>
      </c>
      <c r="AX156" s="198">
        <v>0</v>
      </c>
      <c r="AY156" s="198">
        <v>0</v>
      </c>
      <c r="AZ156" s="198">
        <v>0</v>
      </c>
      <c r="BA156" s="198">
        <v>0</v>
      </c>
      <c r="BB156" s="198">
        <v>0</v>
      </c>
      <c r="BC156" s="198">
        <v>0</v>
      </c>
      <c r="BD156" s="198">
        <v>0</v>
      </c>
      <c r="BE156" s="198">
        <v>0</v>
      </c>
      <c r="BF156" s="198">
        <v>0</v>
      </c>
      <c r="BG156" s="198">
        <v>0</v>
      </c>
      <c r="BH156" s="198">
        <v>0</v>
      </c>
      <c r="BI156" s="198">
        <v>0</v>
      </c>
      <c r="BJ156" s="198">
        <v>0</v>
      </c>
      <c r="BK156" s="198">
        <v>0</v>
      </c>
      <c r="BL156" s="198">
        <v>0</v>
      </c>
      <c r="BM156" s="198">
        <v>0</v>
      </c>
      <c r="BN156" s="198">
        <v>0</v>
      </c>
      <c r="BO156" s="198">
        <v>0</v>
      </c>
      <c r="BP156" s="198">
        <v>0</v>
      </c>
      <c r="BQ156" s="198">
        <v>0</v>
      </c>
      <c r="BR156" s="198">
        <v>0</v>
      </c>
      <c r="BS156" s="198">
        <v>0</v>
      </c>
      <c r="BT156" s="198">
        <v>0</v>
      </c>
      <c r="BU156" s="198">
        <v>0</v>
      </c>
      <c r="BV156" s="198">
        <v>0</v>
      </c>
      <c r="BW156" s="198">
        <v>0</v>
      </c>
      <c r="BX156" s="198">
        <v>0</v>
      </c>
      <c r="BY156" s="198">
        <v>0</v>
      </c>
      <c r="BZ156" s="198">
        <v>0</v>
      </c>
      <c r="CA156" s="198">
        <v>0</v>
      </c>
      <c r="CB156" s="198">
        <v>0</v>
      </c>
      <c r="CC156" s="198">
        <v>0</v>
      </c>
      <c r="CD156" s="198">
        <v>0</v>
      </c>
      <c r="CE156" s="198">
        <v>0</v>
      </c>
      <c r="CF156" s="198">
        <v>0</v>
      </c>
      <c r="CG156" s="198">
        <v>0</v>
      </c>
      <c r="CH156" s="198">
        <v>5701.8</v>
      </c>
      <c r="CI156" s="198">
        <v>0</v>
      </c>
      <c r="CJ156" s="198">
        <v>0</v>
      </c>
      <c r="CK156" s="88"/>
    </row>
    <row r="157" spans="1:89" x14ac:dyDescent="0.3">
      <c r="A157" s="173"/>
      <c r="B157" s="204" t="s">
        <v>275</v>
      </c>
      <c r="C157" s="198">
        <v>0</v>
      </c>
      <c r="D157" s="198">
        <v>0</v>
      </c>
      <c r="E157" s="198">
        <v>0</v>
      </c>
      <c r="F157" s="198">
        <v>0</v>
      </c>
      <c r="G157" s="198">
        <v>0</v>
      </c>
      <c r="H157" s="198">
        <v>0</v>
      </c>
      <c r="I157" s="198">
        <v>0</v>
      </c>
      <c r="J157" s="198">
        <v>0</v>
      </c>
      <c r="K157" s="198">
        <v>0</v>
      </c>
      <c r="L157" s="198">
        <v>0</v>
      </c>
      <c r="M157" s="198">
        <v>0</v>
      </c>
      <c r="N157" s="198">
        <v>0</v>
      </c>
      <c r="O157" s="198">
        <v>0</v>
      </c>
      <c r="P157" s="198">
        <v>0</v>
      </c>
      <c r="Q157" s="198">
        <v>0</v>
      </c>
      <c r="R157" s="198">
        <v>0</v>
      </c>
      <c r="S157" s="198">
        <v>0</v>
      </c>
      <c r="T157" s="198">
        <v>0</v>
      </c>
      <c r="U157" s="198">
        <v>0</v>
      </c>
      <c r="V157" s="198">
        <v>0</v>
      </c>
      <c r="W157" s="198">
        <v>1491.4</v>
      </c>
      <c r="X157" s="198">
        <v>0</v>
      </c>
      <c r="Y157" s="198">
        <v>1.6</v>
      </c>
      <c r="Z157" s="198">
        <v>0.3</v>
      </c>
      <c r="AA157" s="198">
        <v>1.2</v>
      </c>
      <c r="AB157" s="198">
        <v>0.4</v>
      </c>
      <c r="AC157" s="198">
        <v>1.2</v>
      </c>
      <c r="AD157" s="198">
        <v>1.4</v>
      </c>
      <c r="AE157" s="198">
        <v>0.6</v>
      </c>
      <c r="AF157" s="198">
        <v>0</v>
      </c>
      <c r="AG157" s="198">
        <v>1.9</v>
      </c>
      <c r="AH157" s="198">
        <v>0</v>
      </c>
      <c r="AI157" s="198">
        <v>0</v>
      </c>
      <c r="AJ157" s="198">
        <v>0.8</v>
      </c>
      <c r="AK157" s="198">
        <v>1.1000000000000001</v>
      </c>
      <c r="AL157" s="198">
        <v>1</v>
      </c>
      <c r="AM157" s="198">
        <v>1.3</v>
      </c>
      <c r="AN157" s="198">
        <v>0.7</v>
      </c>
      <c r="AO157" s="198">
        <v>0</v>
      </c>
      <c r="AP157" s="198">
        <v>7.7</v>
      </c>
      <c r="AQ157" s="198">
        <v>0</v>
      </c>
      <c r="AR157" s="198">
        <v>0</v>
      </c>
      <c r="AS157" s="198">
        <v>0</v>
      </c>
      <c r="AT157" s="198">
        <v>0</v>
      </c>
      <c r="AU157" s="198">
        <v>0</v>
      </c>
      <c r="AV157" s="198">
        <v>29.5</v>
      </c>
      <c r="AW157" s="198">
        <v>0</v>
      </c>
      <c r="AX157" s="198">
        <v>0</v>
      </c>
      <c r="AY157" s="198">
        <v>0</v>
      </c>
      <c r="AZ157" s="198">
        <v>0</v>
      </c>
      <c r="BA157" s="198">
        <v>0</v>
      </c>
      <c r="BB157" s="198">
        <v>0</v>
      </c>
      <c r="BC157" s="198">
        <v>0</v>
      </c>
      <c r="BD157" s="198">
        <v>0</v>
      </c>
      <c r="BE157" s="198">
        <v>0</v>
      </c>
      <c r="BF157" s="198">
        <v>0</v>
      </c>
      <c r="BG157" s="198">
        <v>0</v>
      </c>
      <c r="BH157" s="198">
        <v>0</v>
      </c>
      <c r="BI157" s="198">
        <v>0</v>
      </c>
      <c r="BJ157" s="198">
        <v>0</v>
      </c>
      <c r="BK157" s="198">
        <v>0</v>
      </c>
      <c r="BL157" s="198">
        <v>0</v>
      </c>
      <c r="BM157" s="198">
        <v>0</v>
      </c>
      <c r="BN157" s="198">
        <v>0</v>
      </c>
      <c r="BO157" s="198">
        <v>0</v>
      </c>
      <c r="BP157" s="198">
        <v>0</v>
      </c>
      <c r="BQ157" s="198">
        <v>0</v>
      </c>
      <c r="BR157" s="198">
        <v>0</v>
      </c>
      <c r="BS157" s="198">
        <v>0</v>
      </c>
      <c r="BT157" s="198">
        <v>0</v>
      </c>
      <c r="BU157" s="198">
        <v>0</v>
      </c>
      <c r="BV157" s="198">
        <v>0</v>
      </c>
      <c r="BW157" s="198">
        <v>0</v>
      </c>
      <c r="BX157" s="198">
        <v>0</v>
      </c>
      <c r="BY157" s="198">
        <v>0</v>
      </c>
      <c r="BZ157" s="198">
        <v>0</v>
      </c>
      <c r="CA157" s="198">
        <v>0</v>
      </c>
      <c r="CB157" s="198">
        <v>0</v>
      </c>
      <c r="CC157" s="198">
        <v>0</v>
      </c>
      <c r="CD157" s="198">
        <v>0</v>
      </c>
      <c r="CE157" s="198">
        <v>0</v>
      </c>
      <c r="CF157" s="198">
        <v>0</v>
      </c>
      <c r="CG157" s="198">
        <v>0</v>
      </c>
      <c r="CH157" s="198">
        <v>0</v>
      </c>
      <c r="CI157" s="198">
        <v>0</v>
      </c>
      <c r="CJ157" s="198">
        <v>0</v>
      </c>
      <c r="CK157" s="88"/>
    </row>
    <row r="158" spans="1:89" x14ac:dyDescent="0.3">
      <c r="A158" s="173"/>
      <c r="B158" s="204" t="s">
        <v>148</v>
      </c>
      <c r="C158" s="198">
        <v>0</v>
      </c>
      <c r="D158" s="198">
        <v>0</v>
      </c>
      <c r="E158" s="198">
        <v>0</v>
      </c>
      <c r="F158" s="198">
        <v>1498.7</v>
      </c>
      <c r="G158" s="198">
        <v>0</v>
      </c>
      <c r="H158" s="198">
        <v>0</v>
      </c>
      <c r="I158" s="198">
        <v>75.400000000000006</v>
      </c>
      <c r="J158" s="198">
        <v>3</v>
      </c>
      <c r="K158" s="198">
        <v>0</v>
      </c>
      <c r="L158" s="198">
        <v>0</v>
      </c>
      <c r="M158" s="198">
        <v>0</v>
      </c>
      <c r="N158" s="198">
        <v>5</v>
      </c>
      <c r="O158" s="198">
        <v>0</v>
      </c>
      <c r="P158" s="198">
        <v>0</v>
      </c>
      <c r="Q158" s="198">
        <v>0</v>
      </c>
      <c r="R158" s="198">
        <v>0</v>
      </c>
      <c r="S158" s="198">
        <v>0</v>
      </c>
      <c r="T158" s="198">
        <v>0</v>
      </c>
      <c r="U158" s="198">
        <v>0</v>
      </c>
      <c r="V158" s="198">
        <v>0</v>
      </c>
      <c r="W158" s="198">
        <v>0</v>
      </c>
      <c r="X158" s="198">
        <v>0</v>
      </c>
      <c r="Y158" s="198">
        <v>0</v>
      </c>
      <c r="Z158" s="198">
        <v>0</v>
      </c>
      <c r="AA158" s="198">
        <v>0</v>
      </c>
      <c r="AB158" s="198">
        <v>0</v>
      </c>
      <c r="AC158" s="198">
        <v>0</v>
      </c>
      <c r="AD158" s="198">
        <v>0</v>
      </c>
      <c r="AE158" s="198">
        <v>0</v>
      </c>
      <c r="AF158" s="198">
        <v>0</v>
      </c>
      <c r="AG158" s="198">
        <v>0</v>
      </c>
      <c r="AH158" s="198">
        <v>0</v>
      </c>
      <c r="AI158" s="198">
        <v>0</v>
      </c>
      <c r="AJ158" s="198">
        <v>0</v>
      </c>
      <c r="AK158" s="198">
        <v>0</v>
      </c>
      <c r="AL158" s="198">
        <v>0</v>
      </c>
      <c r="AM158" s="198">
        <v>0</v>
      </c>
      <c r="AN158" s="198">
        <v>0</v>
      </c>
      <c r="AO158" s="198">
        <v>0</v>
      </c>
      <c r="AP158" s="198">
        <v>0</v>
      </c>
      <c r="AQ158" s="198">
        <v>0</v>
      </c>
      <c r="AR158" s="198">
        <v>0</v>
      </c>
      <c r="AS158" s="198">
        <v>0</v>
      </c>
      <c r="AT158" s="198">
        <v>0</v>
      </c>
      <c r="AU158" s="198">
        <v>0</v>
      </c>
      <c r="AV158" s="198">
        <v>0</v>
      </c>
      <c r="AW158" s="198">
        <v>0</v>
      </c>
      <c r="AX158" s="198">
        <v>0</v>
      </c>
      <c r="AY158" s="198">
        <v>0</v>
      </c>
      <c r="AZ158" s="198">
        <v>0</v>
      </c>
      <c r="BA158" s="198">
        <v>0</v>
      </c>
      <c r="BB158" s="198">
        <v>0</v>
      </c>
      <c r="BC158" s="198">
        <v>0</v>
      </c>
      <c r="BD158" s="198">
        <v>0</v>
      </c>
      <c r="BE158" s="198">
        <v>0</v>
      </c>
      <c r="BF158" s="198">
        <v>0</v>
      </c>
      <c r="BG158" s="198">
        <v>0</v>
      </c>
      <c r="BH158" s="198">
        <v>0</v>
      </c>
      <c r="BI158" s="198">
        <v>0</v>
      </c>
      <c r="BJ158" s="198">
        <v>0</v>
      </c>
      <c r="BK158" s="198">
        <v>0</v>
      </c>
      <c r="BL158" s="198">
        <v>0</v>
      </c>
      <c r="BM158" s="198">
        <v>0</v>
      </c>
      <c r="BN158" s="198">
        <v>0</v>
      </c>
      <c r="BO158" s="198">
        <v>0</v>
      </c>
      <c r="BP158" s="198">
        <v>0</v>
      </c>
      <c r="BQ158" s="198">
        <v>0</v>
      </c>
      <c r="BR158" s="198">
        <v>0</v>
      </c>
      <c r="BS158" s="198">
        <v>0</v>
      </c>
      <c r="BT158" s="198">
        <v>0</v>
      </c>
      <c r="BU158" s="198">
        <v>0</v>
      </c>
      <c r="BV158" s="198">
        <v>0</v>
      </c>
      <c r="BW158" s="198">
        <v>0</v>
      </c>
      <c r="BX158" s="198">
        <v>0</v>
      </c>
      <c r="BY158" s="198">
        <v>0</v>
      </c>
      <c r="BZ158" s="198">
        <v>0</v>
      </c>
      <c r="CA158" s="198">
        <v>0</v>
      </c>
      <c r="CB158" s="198">
        <v>0</v>
      </c>
      <c r="CC158" s="198">
        <v>0</v>
      </c>
      <c r="CD158" s="198">
        <v>0</v>
      </c>
      <c r="CE158" s="198">
        <v>0</v>
      </c>
      <c r="CF158" s="198">
        <v>0</v>
      </c>
      <c r="CG158" s="198">
        <v>0</v>
      </c>
      <c r="CH158" s="198">
        <v>0</v>
      </c>
      <c r="CI158" s="198">
        <v>0</v>
      </c>
      <c r="CJ158" s="198">
        <v>0</v>
      </c>
      <c r="CK158" s="88"/>
    </row>
    <row r="159" spans="1:89" x14ac:dyDescent="0.3">
      <c r="A159" s="173"/>
      <c r="B159" s="204" t="s">
        <v>199</v>
      </c>
      <c r="C159" s="198">
        <v>0</v>
      </c>
      <c r="D159" s="198">
        <v>0</v>
      </c>
      <c r="E159" s="198">
        <v>0</v>
      </c>
      <c r="F159" s="198">
        <v>0</v>
      </c>
      <c r="G159" s="198">
        <v>0</v>
      </c>
      <c r="H159" s="198">
        <v>0</v>
      </c>
      <c r="I159" s="198">
        <v>0</v>
      </c>
      <c r="J159" s="198">
        <v>0</v>
      </c>
      <c r="K159" s="198">
        <v>0</v>
      </c>
      <c r="L159" s="198">
        <v>0</v>
      </c>
      <c r="M159" s="198">
        <v>0</v>
      </c>
      <c r="N159" s="198">
        <v>0</v>
      </c>
      <c r="O159" s="198">
        <v>0</v>
      </c>
      <c r="P159" s="198">
        <v>8.4</v>
      </c>
      <c r="Q159" s="198">
        <v>0</v>
      </c>
      <c r="R159" s="198">
        <v>0</v>
      </c>
      <c r="S159" s="198">
        <v>0</v>
      </c>
      <c r="T159" s="198">
        <v>0</v>
      </c>
      <c r="U159" s="198">
        <v>0</v>
      </c>
      <c r="V159" s="198">
        <v>0</v>
      </c>
      <c r="W159" s="198">
        <v>0</v>
      </c>
      <c r="X159" s="198">
        <v>0</v>
      </c>
      <c r="Y159" s="198">
        <v>0</v>
      </c>
      <c r="Z159" s="198">
        <v>0</v>
      </c>
      <c r="AA159" s="198">
        <v>0</v>
      </c>
      <c r="AB159" s="198">
        <v>0</v>
      </c>
      <c r="AC159" s="198">
        <v>0</v>
      </c>
      <c r="AD159" s="198">
        <v>0</v>
      </c>
      <c r="AE159" s="198">
        <v>0</v>
      </c>
      <c r="AF159" s="198">
        <v>0</v>
      </c>
      <c r="AG159" s="198">
        <v>0</v>
      </c>
      <c r="AH159" s="198">
        <v>0</v>
      </c>
      <c r="AI159" s="198">
        <v>0</v>
      </c>
      <c r="AJ159" s="198">
        <v>0</v>
      </c>
      <c r="AK159" s="198">
        <v>0</v>
      </c>
      <c r="AL159" s="198">
        <v>0</v>
      </c>
      <c r="AM159" s="198">
        <v>0</v>
      </c>
      <c r="AN159" s="198">
        <v>0</v>
      </c>
      <c r="AO159" s="198">
        <v>0</v>
      </c>
      <c r="AP159" s="198">
        <v>0</v>
      </c>
      <c r="AQ159" s="198">
        <v>0</v>
      </c>
      <c r="AR159" s="198">
        <v>0</v>
      </c>
      <c r="AS159" s="198">
        <v>0</v>
      </c>
      <c r="AT159" s="198">
        <v>0</v>
      </c>
      <c r="AU159" s="198">
        <v>0</v>
      </c>
      <c r="AV159" s="198">
        <v>0</v>
      </c>
      <c r="AW159" s="198">
        <v>0</v>
      </c>
      <c r="AX159" s="198">
        <v>0</v>
      </c>
      <c r="AY159" s="198">
        <v>0</v>
      </c>
      <c r="AZ159" s="198">
        <v>0</v>
      </c>
      <c r="BA159" s="198">
        <v>0</v>
      </c>
      <c r="BB159" s="198">
        <v>0</v>
      </c>
      <c r="BC159" s="198">
        <v>0</v>
      </c>
      <c r="BD159" s="198">
        <v>0</v>
      </c>
      <c r="BE159" s="198">
        <v>0</v>
      </c>
      <c r="BF159" s="198">
        <v>0</v>
      </c>
      <c r="BG159" s="198">
        <v>0</v>
      </c>
      <c r="BH159" s="198">
        <v>0</v>
      </c>
      <c r="BI159" s="198">
        <v>0</v>
      </c>
      <c r="BJ159" s="198">
        <v>0</v>
      </c>
      <c r="BK159" s="198">
        <v>0</v>
      </c>
      <c r="BL159" s="198">
        <v>0</v>
      </c>
      <c r="BM159" s="198">
        <v>0</v>
      </c>
      <c r="BN159" s="198">
        <v>0</v>
      </c>
      <c r="BO159" s="198">
        <v>0</v>
      </c>
      <c r="BP159" s="198">
        <v>0</v>
      </c>
      <c r="BQ159" s="198">
        <v>0</v>
      </c>
      <c r="BR159" s="198">
        <v>0</v>
      </c>
      <c r="BS159" s="198">
        <v>0</v>
      </c>
      <c r="BT159" s="198">
        <v>0</v>
      </c>
      <c r="BU159" s="198">
        <v>0</v>
      </c>
      <c r="BV159" s="198">
        <v>0</v>
      </c>
      <c r="BW159" s="198">
        <v>0</v>
      </c>
      <c r="BX159" s="198">
        <v>0</v>
      </c>
      <c r="BY159" s="198">
        <v>0</v>
      </c>
      <c r="BZ159" s="198">
        <v>0</v>
      </c>
      <c r="CA159" s="198">
        <v>0</v>
      </c>
      <c r="CB159" s="198">
        <v>0</v>
      </c>
      <c r="CC159" s="198">
        <v>0</v>
      </c>
      <c r="CD159" s="198">
        <v>0</v>
      </c>
      <c r="CE159" s="198">
        <v>0</v>
      </c>
      <c r="CF159" s="198">
        <v>0</v>
      </c>
      <c r="CG159" s="198">
        <v>0</v>
      </c>
      <c r="CH159" s="198">
        <v>0</v>
      </c>
      <c r="CI159" s="198">
        <v>0</v>
      </c>
      <c r="CJ159" s="198">
        <v>0</v>
      </c>
      <c r="CK159" s="88"/>
    </row>
    <row r="160" spans="1:89" x14ac:dyDescent="0.3">
      <c r="A160" s="173"/>
      <c r="B160" s="204" t="s">
        <v>194</v>
      </c>
      <c r="C160" s="198">
        <v>0</v>
      </c>
      <c r="D160" s="198">
        <v>0</v>
      </c>
      <c r="E160" s="198">
        <v>0</v>
      </c>
      <c r="F160" s="198">
        <v>0</v>
      </c>
      <c r="G160" s="198">
        <v>0</v>
      </c>
      <c r="H160" s="198">
        <v>0</v>
      </c>
      <c r="I160" s="198">
        <v>0</v>
      </c>
      <c r="J160" s="198">
        <v>0</v>
      </c>
      <c r="K160" s="198">
        <v>0</v>
      </c>
      <c r="L160" s="198">
        <v>0</v>
      </c>
      <c r="M160" s="198">
        <v>0</v>
      </c>
      <c r="N160" s="198">
        <v>0</v>
      </c>
      <c r="O160" s="198">
        <v>0</v>
      </c>
      <c r="P160" s="198">
        <v>285.3</v>
      </c>
      <c r="Q160" s="198">
        <v>0</v>
      </c>
      <c r="R160" s="198">
        <v>0</v>
      </c>
      <c r="S160" s="198">
        <v>0</v>
      </c>
      <c r="T160" s="198">
        <v>0</v>
      </c>
      <c r="U160" s="198">
        <v>0</v>
      </c>
      <c r="V160" s="198">
        <v>0</v>
      </c>
      <c r="W160" s="198">
        <v>512</v>
      </c>
      <c r="X160" s="198">
        <v>12.6</v>
      </c>
      <c r="Y160" s="198">
        <v>0</v>
      </c>
      <c r="Z160" s="198">
        <v>0</v>
      </c>
      <c r="AA160" s="198">
        <v>0</v>
      </c>
      <c r="AB160" s="198">
        <v>0</v>
      </c>
      <c r="AC160" s="198">
        <v>0</v>
      </c>
      <c r="AD160" s="198">
        <v>0</v>
      </c>
      <c r="AE160" s="198">
        <v>0</v>
      </c>
      <c r="AF160" s="198">
        <v>0</v>
      </c>
      <c r="AG160" s="198">
        <v>0</v>
      </c>
      <c r="AH160" s="198">
        <v>0</v>
      </c>
      <c r="AI160" s="198">
        <v>0</v>
      </c>
      <c r="AJ160" s="198">
        <v>0</v>
      </c>
      <c r="AK160" s="198">
        <v>0</v>
      </c>
      <c r="AL160" s="198">
        <v>0</v>
      </c>
      <c r="AM160" s="198">
        <v>0</v>
      </c>
      <c r="AN160" s="198">
        <v>0</v>
      </c>
      <c r="AO160" s="198">
        <v>0</v>
      </c>
      <c r="AP160" s="198">
        <v>0</v>
      </c>
      <c r="AQ160" s="198">
        <v>0</v>
      </c>
      <c r="AR160" s="198">
        <v>0</v>
      </c>
      <c r="AS160" s="198">
        <v>0</v>
      </c>
      <c r="AT160" s="198">
        <v>0</v>
      </c>
      <c r="AU160" s="198">
        <v>0</v>
      </c>
      <c r="AV160" s="198">
        <v>0</v>
      </c>
      <c r="AW160" s="198">
        <v>0</v>
      </c>
      <c r="AX160" s="198">
        <v>0</v>
      </c>
      <c r="AY160" s="198">
        <v>0</v>
      </c>
      <c r="AZ160" s="198">
        <v>0</v>
      </c>
      <c r="BA160" s="198">
        <v>0</v>
      </c>
      <c r="BB160" s="198">
        <v>0</v>
      </c>
      <c r="BC160" s="198">
        <v>0</v>
      </c>
      <c r="BD160" s="198">
        <v>0</v>
      </c>
      <c r="BE160" s="198">
        <v>0</v>
      </c>
      <c r="BF160" s="198">
        <v>0</v>
      </c>
      <c r="BG160" s="198">
        <v>0</v>
      </c>
      <c r="BH160" s="198">
        <v>0</v>
      </c>
      <c r="BI160" s="198">
        <v>0</v>
      </c>
      <c r="BJ160" s="198">
        <v>0</v>
      </c>
      <c r="BK160" s="198">
        <v>0</v>
      </c>
      <c r="BL160" s="198">
        <v>0</v>
      </c>
      <c r="BM160" s="198">
        <v>0</v>
      </c>
      <c r="BN160" s="198">
        <v>0</v>
      </c>
      <c r="BO160" s="198">
        <v>0</v>
      </c>
      <c r="BP160" s="198">
        <v>0</v>
      </c>
      <c r="BQ160" s="198">
        <v>0</v>
      </c>
      <c r="BR160" s="198">
        <v>0</v>
      </c>
      <c r="BS160" s="198">
        <v>0</v>
      </c>
      <c r="BT160" s="198">
        <v>0</v>
      </c>
      <c r="BU160" s="198">
        <v>0</v>
      </c>
      <c r="BV160" s="198">
        <v>0</v>
      </c>
      <c r="BW160" s="198">
        <v>0</v>
      </c>
      <c r="BX160" s="198">
        <v>0</v>
      </c>
      <c r="BY160" s="198">
        <v>0</v>
      </c>
      <c r="BZ160" s="198">
        <v>0</v>
      </c>
      <c r="CA160" s="198">
        <v>0</v>
      </c>
      <c r="CB160" s="198">
        <v>0</v>
      </c>
      <c r="CC160" s="198">
        <v>0</v>
      </c>
      <c r="CD160" s="198">
        <v>0</v>
      </c>
      <c r="CE160" s="198">
        <v>0</v>
      </c>
      <c r="CF160" s="198">
        <v>0</v>
      </c>
      <c r="CG160" s="198">
        <v>0</v>
      </c>
      <c r="CH160" s="198">
        <v>0</v>
      </c>
      <c r="CI160" s="198">
        <v>0</v>
      </c>
      <c r="CJ160" s="198">
        <v>0</v>
      </c>
      <c r="CK160" s="88"/>
    </row>
    <row r="161" spans="1:89" x14ac:dyDescent="0.3">
      <c r="A161" s="173"/>
      <c r="B161" s="204" t="s">
        <v>195</v>
      </c>
      <c r="C161" s="198">
        <v>0</v>
      </c>
      <c r="D161" s="198">
        <v>0</v>
      </c>
      <c r="E161" s="198">
        <v>0</v>
      </c>
      <c r="F161" s="198">
        <v>0</v>
      </c>
      <c r="G161" s="198">
        <v>0</v>
      </c>
      <c r="H161" s="198">
        <v>0</v>
      </c>
      <c r="I161" s="198">
        <v>0</v>
      </c>
      <c r="J161" s="198">
        <v>0</v>
      </c>
      <c r="K161" s="198">
        <v>0</v>
      </c>
      <c r="L161" s="198">
        <v>0</v>
      </c>
      <c r="M161" s="198">
        <v>0</v>
      </c>
      <c r="N161" s="198">
        <v>0</v>
      </c>
      <c r="O161" s="198">
        <v>0</v>
      </c>
      <c r="P161" s="198">
        <v>2</v>
      </c>
      <c r="Q161" s="198">
        <v>0</v>
      </c>
      <c r="R161" s="198">
        <v>0</v>
      </c>
      <c r="S161" s="198">
        <v>0</v>
      </c>
      <c r="T161" s="198">
        <v>0</v>
      </c>
      <c r="U161" s="198">
        <v>0</v>
      </c>
      <c r="V161" s="198">
        <v>0</v>
      </c>
      <c r="W161" s="198">
        <v>0</v>
      </c>
      <c r="X161" s="198">
        <v>0</v>
      </c>
      <c r="Y161" s="198">
        <v>0</v>
      </c>
      <c r="Z161" s="198">
        <v>0</v>
      </c>
      <c r="AA161" s="198">
        <v>0</v>
      </c>
      <c r="AB161" s="198">
        <v>0</v>
      </c>
      <c r="AC161" s="198">
        <v>0</v>
      </c>
      <c r="AD161" s="198">
        <v>0</v>
      </c>
      <c r="AE161" s="198">
        <v>0</v>
      </c>
      <c r="AF161" s="198">
        <v>0</v>
      </c>
      <c r="AG161" s="198">
        <v>0</v>
      </c>
      <c r="AH161" s="198">
        <v>0</v>
      </c>
      <c r="AI161" s="198">
        <v>0</v>
      </c>
      <c r="AJ161" s="198">
        <v>0</v>
      </c>
      <c r="AK161" s="198">
        <v>0</v>
      </c>
      <c r="AL161" s="198">
        <v>0</v>
      </c>
      <c r="AM161" s="198">
        <v>0</v>
      </c>
      <c r="AN161" s="198">
        <v>0</v>
      </c>
      <c r="AO161" s="198">
        <v>0</v>
      </c>
      <c r="AP161" s="198">
        <v>0</v>
      </c>
      <c r="AQ161" s="198">
        <v>0</v>
      </c>
      <c r="AR161" s="198">
        <v>0</v>
      </c>
      <c r="AS161" s="198">
        <v>0</v>
      </c>
      <c r="AT161" s="198">
        <v>0</v>
      </c>
      <c r="AU161" s="198">
        <v>0</v>
      </c>
      <c r="AV161" s="198">
        <v>0</v>
      </c>
      <c r="AW161" s="198">
        <v>0</v>
      </c>
      <c r="AX161" s="198">
        <v>0</v>
      </c>
      <c r="AY161" s="198">
        <v>0</v>
      </c>
      <c r="AZ161" s="198">
        <v>0</v>
      </c>
      <c r="BA161" s="198">
        <v>0</v>
      </c>
      <c r="BB161" s="198">
        <v>0</v>
      </c>
      <c r="BC161" s="198">
        <v>0</v>
      </c>
      <c r="BD161" s="198">
        <v>0</v>
      </c>
      <c r="BE161" s="198">
        <v>0</v>
      </c>
      <c r="BF161" s="198">
        <v>0</v>
      </c>
      <c r="BG161" s="198">
        <v>0</v>
      </c>
      <c r="BH161" s="198">
        <v>0</v>
      </c>
      <c r="BI161" s="198">
        <v>0</v>
      </c>
      <c r="BJ161" s="198">
        <v>0</v>
      </c>
      <c r="BK161" s="198">
        <v>0</v>
      </c>
      <c r="BL161" s="198">
        <v>0</v>
      </c>
      <c r="BM161" s="198">
        <v>0</v>
      </c>
      <c r="BN161" s="198">
        <v>0</v>
      </c>
      <c r="BO161" s="198">
        <v>0</v>
      </c>
      <c r="BP161" s="198">
        <v>0</v>
      </c>
      <c r="BQ161" s="198">
        <v>0</v>
      </c>
      <c r="BR161" s="198">
        <v>0</v>
      </c>
      <c r="BS161" s="198">
        <v>0</v>
      </c>
      <c r="BT161" s="198">
        <v>0</v>
      </c>
      <c r="BU161" s="198">
        <v>0</v>
      </c>
      <c r="BV161" s="198">
        <v>0</v>
      </c>
      <c r="BW161" s="198">
        <v>0</v>
      </c>
      <c r="BX161" s="198">
        <v>0</v>
      </c>
      <c r="BY161" s="198">
        <v>0</v>
      </c>
      <c r="BZ161" s="198">
        <v>0</v>
      </c>
      <c r="CA161" s="198">
        <v>0</v>
      </c>
      <c r="CB161" s="198">
        <v>0</v>
      </c>
      <c r="CC161" s="198">
        <v>0</v>
      </c>
      <c r="CD161" s="198">
        <v>0</v>
      </c>
      <c r="CE161" s="198">
        <v>0</v>
      </c>
      <c r="CF161" s="198">
        <v>0</v>
      </c>
      <c r="CG161" s="198">
        <v>0</v>
      </c>
      <c r="CH161" s="198">
        <v>0</v>
      </c>
      <c r="CI161" s="198">
        <v>0</v>
      </c>
      <c r="CJ161" s="198">
        <v>0</v>
      </c>
      <c r="CK161" s="88"/>
    </row>
    <row r="162" spans="1:89" x14ac:dyDescent="0.3">
      <c r="A162" s="173"/>
      <c r="B162" s="204" t="s">
        <v>321</v>
      </c>
      <c r="C162" s="198">
        <v>0</v>
      </c>
      <c r="D162" s="198">
        <v>0</v>
      </c>
      <c r="E162" s="198">
        <v>0</v>
      </c>
      <c r="F162" s="198">
        <v>0</v>
      </c>
      <c r="G162" s="198">
        <v>0</v>
      </c>
      <c r="H162" s="198">
        <v>0</v>
      </c>
      <c r="I162" s="198">
        <v>0</v>
      </c>
      <c r="J162" s="198">
        <v>0</v>
      </c>
      <c r="K162" s="198">
        <v>0</v>
      </c>
      <c r="L162" s="198">
        <v>0</v>
      </c>
      <c r="M162" s="198">
        <v>0</v>
      </c>
      <c r="N162" s="198">
        <v>0</v>
      </c>
      <c r="O162" s="198">
        <v>0</v>
      </c>
      <c r="P162" s="198">
        <v>0</v>
      </c>
      <c r="Q162" s="198">
        <v>0</v>
      </c>
      <c r="R162" s="198">
        <v>0</v>
      </c>
      <c r="S162" s="198">
        <v>0</v>
      </c>
      <c r="T162" s="198">
        <v>0</v>
      </c>
      <c r="U162" s="198">
        <v>0</v>
      </c>
      <c r="V162" s="198">
        <v>0</v>
      </c>
      <c r="W162" s="198">
        <v>0</v>
      </c>
      <c r="X162" s="198">
        <v>0</v>
      </c>
      <c r="Y162" s="198">
        <v>0</v>
      </c>
      <c r="Z162" s="198">
        <v>0</v>
      </c>
      <c r="AA162" s="198">
        <v>0</v>
      </c>
      <c r="AB162" s="198">
        <v>0</v>
      </c>
      <c r="AC162" s="198">
        <v>0</v>
      </c>
      <c r="AD162" s="198">
        <v>0</v>
      </c>
      <c r="AE162" s="198">
        <v>0</v>
      </c>
      <c r="AF162" s="198">
        <v>0</v>
      </c>
      <c r="AG162" s="198">
        <v>0</v>
      </c>
      <c r="AH162" s="198">
        <v>0</v>
      </c>
      <c r="AI162" s="198">
        <v>0</v>
      </c>
      <c r="AJ162" s="198">
        <v>0</v>
      </c>
      <c r="AK162" s="198">
        <v>0</v>
      </c>
      <c r="AL162" s="198">
        <v>48.2</v>
      </c>
      <c r="AM162" s="198">
        <v>0</v>
      </c>
      <c r="AN162" s="198">
        <v>0</v>
      </c>
      <c r="AO162" s="198">
        <v>0</v>
      </c>
      <c r="AP162" s="198">
        <v>0</v>
      </c>
      <c r="AQ162" s="198">
        <v>0</v>
      </c>
      <c r="AR162" s="198">
        <v>0</v>
      </c>
      <c r="AS162" s="198">
        <v>0</v>
      </c>
      <c r="AT162" s="198">
        <v>0</v>
      </c>
      <c r="AU162" s="198">
        <v>0</v>
      </c>
      <c r="AV162" s="198">
        <v>0</v>
      </c>
      <c r="AW162" s="198">
        <v>0</v>
      </c>
      <c r="AX162" s="198">
        <v>0</v>
      </c>
      <c r="AY162" s="198">
        <v>0</v>
      </c>
      <c r="AZ162" s="198">
        <v>0</v>
      </c>
      <c r="BA162" s="198">
        <v>0</v>
      </c>
      <c r="BB162" s="198">
        <v>0</v>
      </c>
      <c r="BC162" s="198">
        <v>0</v>
      </c>
      <c r="BD162" s="198">
        <v>0</v>
      </c>
      <c r="BE162" s="198">
        <v>0</v>
      </c>
      <c r="BF162" s="198">
        <v>0</v>
      </c>
      <c r="BG162" s="198">
        <v>0</v>
      </c>
      <c r="BH162" s="198">
        <v>0</v>
      </c>
      <c r="BI162" s="198">
        <v>0</v>
      </c>
      <c r="BJ162" s="198">
        <v>0</v>
      </c>
      <c r="BK162" s="198">
        <v>0</v>
      </c>
      <c r="BL162" s="198">
        <v>0</v>
      </c>
      <c r="BM162" s="198">
        <v>0</v>
      </c>
      <c r="BN162" s="198">
        <v>0</v>
      </c>
      <c r="BO162" s="198">
        <v>0</v>
      </c>
      <c r="BP162" s="198">
        <v>0</v>
      </c>
      <c r="BQ162" s="198">
        <v>0</v>
      </c>
      <c r="BR162" s="198">
        <v>0</v>
      </c>
      <c r="BS162" s="198">
        <v>0</v>
      </c>
      <c r="BT162" s="198">
        <v>0</v>
      </c>
      <c r="BU162" s="198">
        <v>0</v>
      </c>
      <c r="BV162" s="198">
        <v>0</v>
      </c>
      <c r="BW162" s="198">
        <v>0</v>
      </c>
      <c r="BX162" s="198">
        <v>0</v>
      </c>
      <c r="BY162" s="198">
        <v>0</v>
      </c>
      <c r="BZ162" s="198">
        <v>0</v>
      </c>
      <c r="CA162" s="198">
        <v>0</v>
      </c>
      <c r="CB162" s="198">
        <v>0</v>
      </c>
      <c r="CC162" s="198">
        <v>0</v>
      </c>
      <c r="CD162" s="198">
        <v>0</v>
      </c>
      <c r="CE162" s="198">
        <v>0</v>
      </c>
      <c r="CF162" s="198">
        <v>0</v>
      </c>
      <c r="CG162" s="198">
        <v>0</v>
      </c>
      <c r="CH162" s="198">
        <v>0</v>
      </c>
      <c r="CI162" s="198">
        <v>0</v>
      </c>
      <c r="CJ162" s="198">
        <v>0</v>
      </c>
      <c r="CK162" s="88"/>
    </row>
    <row r="163" spans="1:89" x14ac:dyDescent="0.3">
      <c r="A163" s="173"/>
      <c r="B163" s="204" t="s">
        <v>304</v>
      </c>
      <c r="C163" s="198">
        <v>0</v>
      </c>
      <c r="D163" s="198">
        <v>0</v>
      </c>
      <c r="E163" s="198">
        <v>0</v>
      </c>
      <c r="F163" s="198">
        <v>0</v>
      </c>
      <c r="G163" s="198">
        <v>0</v>
      </c>
      <c r="H163" s="198">
        <v>0</v>
      </c>
      <c r="I163" s="198">
        <v>0</v>
      </c>
      <c r="J163" s="198">
        <v>0</v>
      </c>
      <c r="K163" s="198">
        <v>0</v>
      </c>
      <c r="L163" s="198">
        <v>0</v>
      </c>
      <c r="M163" s="198">
        <v>0</v>
      </c>
      <c r="N163" s="198">
        <v>0</v>
      </c>
      <c r="O163" s="198">
        <v>0</v>
      </c>
      <c r="P163" s="198">
        <v>0</v>
      </c>
      <c r="Q163" s="198">
        <v>0</v>
      </c>
      <c r="R163" s="198">
        <v>0</v>
      </c>
      <c r="S163" s="198">
        <v>0</v>
      </c>
      <c r="T163" s="198">
        <v>0</v>
      </c>
      <c r="U163" s="198">
        <v>0</v>
      </c>
      <c r="V163" s="198">
        <v>0</v>
      </c>
      <c r="W163" s="198">
        <v>0</v>
      </c>
      <c r="X163" s="198">
        <v>0</v>
      </c>
      <c r="Y163" s="198">
        <v>0</v>
      </c>
      <c r="Z163" s="198">
        <v>0</v>
      </c>
      <c r="AA163" s="198">
        <v>0</v>
      </c>
      <c r="AB163" s="198">
        <v>0</v>
      </c>
      <c r="AC163" s="198">
        <v>0</v>
      </c>
      <c r="AD163" s="198">
        <v>0</v>
      </c>
      <c r="AE163" s="198">
        <v>0</v>
      </c>
      <c r="AF163" s="198">
        <v>0</v>
      </c>
      <c r="AG163" s="198">
        <v>0</v>
      </c>
      <c r="AH163" s="198">
        <v>122.1</v>
      </c>
      <c r="AI163" s="198">
        <v>0</v>
      </c>
      <c r="AJ163" s="198">
        <v>0</v>
      </c>
      <c r="AK163" s="198">
        <v>0</v>
      </c>
      <c r="AL163" s="198">
        <v>0</v>
      </c>
      <c r="AM163" s="198">
        <v>0</v>
      </c>
      <c r="AN163" s="198">
        <v>0</v>
      </c>
      <c r="AO163" s="198">
        <v>0</v>
      </c>
      <c r="AP163" s="198">
        <v>0</v>
      </c>
      <c r="AQ163" s="198">
        <v>0</v>
      </c>
      <c r="AR163" s="198">
        <v>0</v>
      </c>
      <c r="AS163" s="198">
        <v>0</v>
      </c>
      <c r="AT163" s="198">
        <v>0</v>
      </c>
      <c r="AU163" s="198">
        <v>0</v>
      </c>
      <c r="AV163" s="198">
        <v>0</v>
      </c>
      <c r="AW163" s="198">
        <v>0</v>
      </c>
      <c r="AX163" s="198">
        <v>0</v>
      </c>
      <c r="AY163" s="198">
        <v>0</v>
      </c>
      <c r="AZ163" s="198">
        <v>0</v>
      </c>
      <c r="BA163" s="198">
        <v>0</v>
      </c>
      <c r="BB163" s="198">
        <v>0</v>
      </c>
      <c r="BC163" s="198">
        <v>0</v>
      </c>
      <c r="BD163" s="198">
        <v>0</v>
      </c>
      <c r="BE163" s="198">
        <v>0</v>
      </c>
      <c r="BF163" s="198">
        <v>0</v>
      </c>
      <c r="BG163" s="198">
        <v>0</v>
      </c>
      <c r="BH163" s="198">
        <v>0</v>
      </c>
      <c r="BI163" s="198">
        <v>0</v>
      </c>
      <c r="BJ163" s="198">
        <v>0</v>
      </c>
      <c r="BK163" s="198">
        <v>0</v>
      </c>
      <c r="BL163" s="198">
        <v>0</v>
      </c>
      <c r="BM163" s="198">
        <v>0</v>
      </c>
      <c r="BN163" s="198">
        <v>0</v>
      </c>
      <c r="BO163" s="198">
        <v>0</v>
      </c>
      <c r="BP163" s="198">
        <v>0</v>
      </c>
      <c r="BQ163" s="198">
        <v>0</v>
      </c>
      <c r="BR163" s="198">
        <v>0</v>
      </c>
      <c r="BS163" s="198">
        <v>0</v>
      </c>
      <c r="BT163" s="198">
        <v>0</v>
      </c>
      <c r="BU163" s="198">
        <v>0</v>
      </c>
      <c r="BV163" s="198">
        <v>0</v>
      </c>
      <c r="BW163" s="198">
        <v>0</v>
      </c>
      <c r="BX163" s="198">
        <v>0</v>
      </c>
      <c r="BY163" s="198">
        <v>0</v>
      </c>
      <c r="BZ163" s="198">
        <v>0</v>
      </c>
      <c r="CA163" s="198">
        <v>0</v>
      </c>
      <c r="CB163" s="198">
        <v>0</v>
      </c>
      <c r="CC163" s="198">
        <v>0</v>
      </c>
      <c r="CD163" s="198">
        <v>0</v>
      </c>
      <c r="CE163" s="198">
        <v>0</v>
      </c>
      <c r="CF163" s="198">
        <v>0</v>
      </c>
      <c r="CG163" s="198">
        <v>0</v>
      </c>
      <c r="CH163" s="198">
        <v>0</v>
      </c>
      <c r="CI163" s="198">
        <v>0</v>
      </c>
      <c r="CJ163" s="198">
        <v>0</v>
      </c>
      <c r="CK163" s="88"/>
    </row>
    <row r="164" spans="1:89" x14ac:dyDescent="0.3">
      <c r="A164" s="173"/>
      <c r="B164" s="204" t="s">
        <v>215</v>
      </c>
      <c r="C164" s="198">
        <v>0</v>
      </c>
      <c r="D164" s="198">
        <v>0</v>
      </c>
      <c r="E164" s="198">
        <v>0</v>
      </c>
      <c r="F164" s="198">
        <v>0</v>
      </c>
      <c r="G164" s="198">
        <v>0</v>
      </c>
      <c r="H164" s="198">
        <v>0</v>
      </c>
      <c r="I164" s="198">
        <v>0</v>
      </c>
      <c r="J164" s="198">
        <v>0</v>
      </c>
      <c r="K164" s="198">
        <v>0</v>
      </c>
      <c r="L164" s="198">
        <v>0</v>
      </c>
      <c r="M164" s="198">
        <v>0</v>
      </c>
      <c r="N164" s="198">
        <v>0</v>
      </c>
      <c r="O164" s="198">
        <v>0</v>
      </c>
      <c r="P164" s="198">
        <v>0</v>
      </c>
      <c r="Q164" s="198">
        <v>0</v>
      </c>
      <c r="R164" s="198">
        <v>0</v>
      </c>
      <c r="S164" s="198">
        <v>509.5</v>
      </c>
      <c r="T164" s="198">
        <v>0</v>
      </c>
      <c r="U164" s="198">
        <v>425.1</v>
      </c>
      <c r="V164" s="198">
        <v>0</v>
      </c>
      <c r="W164" s="198">
        <v>0</v>
      </c>
      <c r="X164" s="198">
        <v>0</v>
      </c>
      <c r="Y164" s="198">
        <v>2362.1</v>
      </c>
      <c r="Z164" s="198">
        <v>0</v>
      </c>
      <c r="AA164" s="198">
        <v>0</v>
      </c>
      <c r="AB164" s="198">
        <v>0</v>
      </c>
      <c r="AC164" s="198">
        <v>0</v>
      </c>
      <c r="AD164" s="198">
        <v>322.89999999999998</v>
      </c>
      <c r="AE164" s="198">
        <v>252.6</v>
      </c>
      <c r="AF164" s="198">
        <v>0</v>
      </c>
      <c r="AG164" s="198">
        <v>0</v>
      </c>
      <c r="AH164" s="198">
        <v>192.8</v>
      </c>
      <c r="AI164" s="198">
        <v>0</v>
      </c>
      <c r="AJ164" s="198">
        <v>0</v>
      </c>
      <c r="AK164" s="198">
        <v>485.3</v>
      </c>
      <c r="AL164" s="198">
        <v>0</v>
      </c>
      <c r="AM164" s="198">
        <v>0</v>
      </c>
      <c r="AN164" s="198">
        <v>0</v>
      </c>
      <c r="AO164" s="198">
        <v>326.8</v>
      </c>
      <c r="AP164" s="198">
        <v>0</v>
      </c>
      <c r="AQ164" s="198">
        <v>0</v>
      </c>
      <c r="AR164" s="198">
        <v>0</v>
      </c>
      <c r="AS164" s="198">
        <v>0</v>
      </c>
      <c r="AT164" s="198">
        <v>0</v>
      </c>
      <c r="AU164" s="198">
        <v>0</v>
      </c>
      <c r="AV164" s="198">
        <v>0</v>
      </c>
      <c r="AW164" s="198">
        <v>0</v>
      </c>
      <c r="AX164" s="198">
        <v>0</v>
      </c>
      <c r="AY164" s="198">
        <v>0</v>
      </c>
      <c r="AZ164" s="198">
        <v>0</v>
      </c>
      <c r="BA164" s="198">
        <v>0</v>
      </c>
      <c r="BB164" s="198">
        <v>0</v>
      </c>
      <c r="BC164" s="198">
        <v>0</v>
      </c>
      <c r="BD164" s="198">
        <v>0</v>
      </c>
      <c r="BE164" s="198">
        <v>0</v>
      </c>
      <c r="BF164" s="198">
        <v>0</v>
      </c>
      <c r="BG164" s="198">
        <v>0</v>
      </c>
      <c r="BH164" s="198">
        <v>0</v>
      </c>
      <c r="BI164" s="198">
        <v>0</v>
      </c>
      <c r="BJ164" s="198">
        <v>0</v>
      </c>
      <c r="BK164" s="198">
        <v>0</v>
      </c>
      <c r="BL164" s="198">
        <v>0</v>
      </c>
      <c r="BM164" s="198">
        <v>0</v>
      </c>
      <c r="BN164" s="198">
        <v>0</v>
      </c>
      <c r="BO164" s="198">
        <v>0</v>
      </c>
      <c r="BP164" s="198">
        <v>0</v>
      </c>
      <c r="BQ164" s="198">
        <v>0</v>
      </c>
      <c r="BR164" s="198">
        <v>0</v>
      </c>
      <c r="BS164" s="198">
        <v>0</v>
      </c>
      <c r="BT164" s="198">
        <v>0</v>
      </c>
      <c r="BU164" s="198">
        <v>0</v>
      </c>
      <c r="BV164" s="198">
        <v>0</v>
      </c>
      <c r="BW164" s="198">
        <v>0</v>
      </c>
      <c r="BX164" s="198">
        <v>0</v>
      </c>
      <c r="BY164" s="198">
        <v>0</v>
      </c>
      <c r="BZ164" s="198">
        <v>0</v>
      </c>
      <c r="CA164" s="198">
        <v>0</v>
      </c>
      <c r="CB164" s="198">
        <v>0</v>
      </c>
      <c r="CC164" s="198">
        <v>0</v>
      </c>
      <c r="CD164" s="198">
        <v>0</v>
      </c>
      <c r="CE164" s="198">
        <v>0</v>
      </c>
      <c r="CF164" s="198">
        <v>0</v>
      </c>
      <c r="CG164" s="198">
        <v>0</v>
      </c>
      <c r="CH164" s="198">
        <v>0</v>
      </c>
      <c r="CI164" s="198">
        <v>0</v>
      </c>
      <c r="CJ164" s="198">
        <v>0</v>
      </c>
      <c r="CK164" s="88"/>
    </row>
    <row r="165" spans="1:89" x14ac:dyDescent="0.3">
      <c r="A165" s="173"/>
      <c r="B165" s="204" t="s">
        <v>163</v>
      </c>
      <c r="C165" s="200">
        <v>0</v>
      </c>
      <c r="D165" s="200">
        <v>0</v>
      </c>
      <c r="E165" s="200">
        <v>0</v>
      </c>
      <c r="F165" s="200">
        <v>0</v>
      </c>
      <c r="G165" s="198">
        <v>133.69999999999999</v>
      </c>
      <c r="H165" s="198">
        <v>0</v>
      </c>
      <c r="I165" s="198">
        <v>0</v>
      </c>
      <c r="J165" s="198">
        <v>0</v>
      </c>
      <c r="K165" s="198">
        <v>0</v>
      </c>
      <c r="L165" s="198">
        <v>0</v>
      </c>
      <c r="M165" s="198">
        <v>0</v>
      </c>
      <c r="N165" s="198">
        <v>0</v>
      </c>
      <c r="O165" s="198">
        <v>0</v>
      </c>
      <c r="P165" s="198">
        <v>0</v>
      </c>
      <c r="Q165" s="198">
        <v>371.6</v>
      </c>
      <c r="R165" s="198">
        <v>0</v>
      </c>
      <c r="S165" s="198">
        <v>0</v>
      </c>
      <c r="T165" s="198">
        <v>0</v>
      </c>
      <c r="U165" s="198">
        <v>0</v>
      </c>
      <c r="V165" s="198">
        <v>0</v>
      </c>
      <c r="W165" s="198">
        <v>0</v>
      </c>
      <c r="X165" s="198">
        <v>0</v>
      </c>
      <c r="Y165" s="198">
        <v>0</v>
      </c>
      <c r="Z165" s="198">
        <v>0</v>
      </c>
      <c r="AA165" s="198">
        <v>0</v>
      </c>
      <c r="AB165" s="198">
        <v>0</v>
      </c>
      <c r="AC165" s="198">
        <v>0</v>
      </c>
      <c r="AD165" s="198">
        <v>0</v>
      </c>
      <c r="AE165" s="198">
        <v>0</v>
      </c>
      <c r="AF165" s="198">
        <v>0</v>
      </c>
      <c r="AG165" s="198">
        <v>0</v>
      </c>
      <c r="AH165" s="198">
        <v>0</v>
      </c>
      <c r="AI165" s="198">
        <v>0</v>
      </c>
      <c r="AJ165" s="198">
        <v>0</v>
      </c>
      <c r="AK165" s="198">
        <v>0</v>
      </c>
      <c r="AL165" s="198">
        <v>0</v>
      </c>
      <c r="AM165" s="198">
        <v>0</v>
      </c>
      <c r="AN165" s="198">
        <v>0</v>
      </c>
      <c r="AO165" s="198">
        <v>0</v>
      </c>
      <c r="AP165" s="198">
        <v>0</v>
      </c>
      <c r="AQ165" s="198">
        <v>0</v>
      </c>
      <c r="AR165" s="198">
        <v>0</v>
      </c>
      <c r="AS165" s="198">
        <v>0</v>
      </c>
      <c r="AT165" s="198">
        <v>0</v>
      </c>
      <c r="AU165" s="198">
        <v>0</v>
      </c>
      <c r="AV165" s="198">
        <v>0</v>
      </c>
      <c r="AW165" s="198">
        <v>0</v>
      </c>
      <c r="AX165" s="198">
        <v>0</v>
      </c>
      <c r="AY165" s="198">
        <v>0</v>
      </c>
      <c r="AZ165" s="198">
        <v>0</v>
      </c>
      <c r="BA165" s="198">
        <v>0</v>
      </c>
      <c r="BB165" s="198">
        <v>0</v>
      </c>
      <c r="BC165" s="198">
        <v>0</v>
      </c>
      <c r="BD165" s="198">
        <v>0</v>
      </c>
      <c r="BE165" s="198">
        <v>0</v>
      </c>
      <c r="BF165" s="198">
        <v>0</v>
      </c>
      <c r="BG165" s="198">
        <v>0</v>
      </c>
      <c r="BH165" s="198">
        <v>0</v>
      </c>
      <c r="BI165" s="198">
        <v>0</v>
      </c>
      <c r="BJ165" s="198">
        <v>0</v>
      </c>
      <c r="BK165" s="198">
        <v>0</v>
      </c>
      <c r="BL165" s="198">
        <v>0</v>
      </c>
      <c r="BM165" s="198">
        <v>0</v>
      </c>
      <c r="BN165" s="198">
        <v>0</v>
      </c>
      <c r="BO165" s="198">
        <v>0</v>
      </c>
      <c r="BP165" s="198">
        <v>0</v>
      </c>
      <c r="BQ165" s="198">
        <v>0</v>
      </c>
      <c r="BR165" s="198">
        <v>0</v>
      </c>
      <c r="BS165" s="198">
        <v>0</v>
      </c>
      <c r="BT165" s="198">
        <v>0</v>
      </c>
      <c r="BU165" s="198">
        <v>0</v>
      </c>
      <c r="BV165" s="198">
        <v>0</v>
      </c>
      <c r="BW165" s="198">
        <v>0</v>
      </c>
      <c r="BX165" s="198">
        <v>0</v>
      </c>
      <c r="BY165" s="198">
        <v>0</v>
      </c>
      <c r="BZ165" s="198">
        <v>0</v>
      </c>
      <c r="CA165" s="198">
        <v>0</v>
      </c>
      <c r="CB165" s="198">
        <v>0</v>
      </c>
      <c r="CC165" s="198">
        <v>0</v>
      </c>
      <c r="CD165" s="198">
        <v>0</v>
      </c>
      <c r="CE165" s="198">
        <v>0</v>
      </c>
      <c r="CF165" s="198">
        <v>0</v>
      </c>
      <c r="CG165" s="198">
        <v>0</v>
      </c>
      <c r="CH165" s="198">
        <v>0</v>
      </c>
      <c r="CI165" s="198">
        <v>0</v>
      </c>
      <c r="CJ165" s="198">
        <v>0</v>
      </c>
      <c r="CK165" s="88"/>
    </row>
    <row r="166" spans="1:89" x14ac:dyDescent="0.3">
      <c r="A166" s="173"/>
      <c r="B166" s="204" t="s">
        <v>409</v>
      </c>
      <c r="C166" s="200">
        <v>0</v>
      </c>
      <c r="D166" s="200">
        <v>0</v>
      </c>
      <c r="E166" s="200">
        <v>0</v>
      </c>
      <c r="F166" s="200">
        <v>0</v>
      </c>
      <c r="G166" s="198">
        <v>0</v>
      </c>
      <c r="H166" s="198">
        <v>0</v>
      </c>
      <c r="I166" s="198">
        <v>0</v>
      </c>
      <c r="J166" s="198">
        <v>0</v>
      </c>
      <c r="K166" s="198">
        <v>0</v>
      </c>
      <c r="L166" s="198">
        <v>0</v>
      </c>
      <c r="M166" s="198">
        <v>0</v>
      </c>
      <c r="N166" s="198">
        <v>0</v>
      </c>
      <c r="O166" s="198">
        <v>0</v>
      </c>
      <c r="P166" s="198">
        <v>0</v>
      </c>
      <c r="Q166" s="198">
        <v>0</v>
      </c>
      <c r="R166" s="198">
        <v>0</v>
      </c>
      <c r="S166" s="198">
        <v>0</v>
      </c>
      <c r="T166" s="198">
        <v>0</v>
      </c>
      <c r="U166" s="198">
        <v>0</v>
      </c>
      <c r="V166" s="198">
        <v>0</v>
      </c>
      <c r="W166" s="198">
        <v>0</v>
      </c>
      <c r="X166" s="198">
        <v>0</v>
      </c>
      <c r="Y166" s="198">
        <v>0</v>
      </c>
      <c r="Z166" s="198">
        <v>0</v>
      </c>
      <c r="AA166" s="198">
        <v>0</v>
      </c>
      <c r="AB166" s="198">
        <v>0</v>
      </c>
      <c r="AC166" s="198">
        <v>0</v>
      </c>
      <c r="AD166" s="198">
        <v>0</v>
      </c>
      <c r="AE166" s="198">
        <v>0</v>
      </c>
      <c r="AF166" s="198">
        <v>0</v>
      </c>
      <c r="AG166" s="198">
        <v>0</v>
      </c>
      <c r="AH166" s="198">
        <v>0</v>
      </c>
      <c r="AI166" s="198">
        <v>0</v>
      </c>
      <c r="AJ166" s="198">
        <v>0</v>
      </c>
      <c r="AK166" s="198">
        <v>0</v>
      </c>
      <c r="AL166" s="198">
        <v>0</v>
      </c>
      <c r="AM166" s="198">
        <v>0</v>
      </c>
      <c r="AN166" s="198">
        <v>0</v>
      </c>
      <c r="AO166" s="198">
        <v>0</v>
      </c>
      <c r="AP166" s="198">
        <v>0</v>
      </c>
      <c r="AQ166" s="198">
        <v>0</v>
      </c>
      <c r="AR166" s="198">
        <v>0</v>
      </c>
      <c r="AS166" s="198">
        <v>0</v>
      </c>
      <c r="AT166" s="198">
        <v>0</v>
      </c>
      <c r="AU166" s="198">
        <v>0</v>
      </c>
      <c r="AV166" s="198">
        <v>0</v>
      </c>
      <c r="AW166" s="198">
        <v>0</v>
      </c>
      <c r="AX166" s="198">
        <v>0</v>
      </c>
      <c r="AY166" s="198">
        <v>0</v>
      </c>
      <c r="AZ166" s="198">
        <v>0</v>
      </c>
      <c r="BA166" s="198">
        <v>0</v>
      </c>
      <c r="BB166" s="198">
        <v>0</v>
      </c>
      <c r="BC166" s="198">
        <v>0</v>
      </c>
      <c r="BD166" s="198">
        <v>0</v>
      </c>
      <c r="BE166" s="198">
        <v>0</v>
      </c>
      <c r="BF166" s="198">
        <v>0</v>
      </c>
      <c r="BG166" s="198">
        <v>0</v>
      </c>
      <c r="BH166" s="198">
        <v>0</v>
      </c>
      <c r="BI166" s="198">
        <v>0</v>
      </c>
      <c r="BJ166" s="198">
        <v>0</v>
      </c>
      <c r="BK166" s="198">
        <v>0</v>
      </c>
      <c r="BL166" s="198">
        <v>0</v>
      </c>
      <c r="BM166" s="198">
        <v>0</v>
      </c>
      <c r="BN166" s="198">
        <v>0</v>
      </c>
      <c r="BO166" s="198">
        <v>0</v>
      </c>
      <c r="BP166" s="198">
        <v>0</v>
      </c>
      <c r="BQ166" s="198">
        <v>0</v>
      </c>
      <c r="BR166" s="198">
        <v>0</v>
      </c>
      <c r="BS166" s="198">
        <v>0</v>
      </c>
      <c r="BT166" s="198">
        <v>0</v>
      </c>
      <c r="BU166" s="198">
        <v>0</v>
      </c>
      <c r="BV166" s="198">
        <v>0</v>
      </c>
      <c r="BW166" s="198">
        <v>0</v>
      </c>
      <c r="BX166" s="198">
        <v>0</v>
      </c>
      <c r="BY166" s="198">
        <v>0</v>
      </c>
      <c r="BZ166" s="198">
        <v>0</v>
      </c>
      <c r="CA166" s="198">
        <v>0</v>
      </c>
      <c r="CB166" s="198">
        <v>1415.3</v>
      </c>
      <c r="CC166" s="198">
        <v>0</v>
      </c>
      <c r="CD166" s="198">
        <v>0</v>
      </c>
      <c r="CE166" s="198">
        <v>0</v>
      </c>
      <c r="CF166" s="198">
        <v>0</v>
      </c>
      <c r="CG166" s="198">
        <v>0</v>
      </c>
      <c r="CH166" s="198">
        <v>0</v>
      </c>
      <c r="CI166" s="198">
        <v>0</v>
      </c>
      <c r="CJ166" s="198">
        <v>0</v>
      </c>
      <c r="CK166" s="88"/>
    </row>
    <row r="167" spans="1:89" x14ac:dyDescent="0.3">
      <c r="A167" s="173"/>
      <c r="B167" s="204" t="s">
        <v>325</v>
      </c>
      <c r="C167" s="200">
        <v>0</v>
      </c>
      <c r="D167" s="200">
        <v>0</v>
      </c>
      <c r="E167" s="200">
        <v>0</v>
      </c>
      <c r="F167" s="200">
        <v>0</v>
      </c>
      <c r="G167" s="198">
        <v>0</v>
      </c>
      <c r="H167" s="198">
        <v>0</v>
      </c>
      <c r="I167" s="198">
        <v>0</v>
      </c>
      <c r="J167" s="198">
        <v>0</v>
      </c>
      <c r="K167" s="198">
        <v>0</v>
      </c>
      <c r="L167" s="198">
        <v>0</v>
      </c>
      <c r="M167" s="198">
        <v>0</v>
      </c>
      <c r="N167" s="198">
        <v>0</v>
      </c>
      <c r="O167" s="198">
        <v>0</v>
      </c>
      <c r="P167" s="198">
        <v>0</v>
      </c>
      <c r="Q167" s="198">
        <v>0</v>
      </c>
      <c r="R167" s="198">
        <v>0</v>
      </c>
      <c r="S167" s="198">
        <v>0</v>
      </c>
      <c r="T167" s="198">
        <v>0</v>
      </c>
      <c r="U167" s="198">
        <v>0</v>
      </c>
      <c r="V167" s="198">
        <v>0</v>
      </c>
      <c r="W167" s="198">
        <v>0</v>
      </c>
      <c r="X167" s="198">
        <v>0</v>
      </c>
      <c r="Y167" s="198">
        <v>0</v>
      </c>
      <c r="Z167" s="198">
        <v>0</v>
      </c>
      <c r="AA167" s="198">
        <v>0</v>
      </c>
      <c r="AB167" s="198">
        <v>0</v>
      </c>
      <c r="AC167" s="198">
        <v>0</v>
      </c>
      <c r="AD167" s="198">
        <v>0</v>
      </c>
      <c r="AE167" s="198">
        <v>0</v>
      </c>
      <c r="AF167" s="198">
        <v>0</v>
      </c>
      <c r="AG167" s="198">
        <v>0</v>
      </c>
      <c r="AH167" s="198">
        <v>0</v>
      </c>
      <c r="AI167" s="198">
        <v>0</v>
      </c>
      <c r="AJ167" s="198">
        <v>0</v>
      </c>
      <c r="AK167" s="198">
        <v>0</v>
      </c>
      <c r="AL167" s="198">
        <v>0</v>
      </c>
      <c r="AM167" s="198">
        <v>0</v>
      </c>
      <c r="AN167" s="198">
        <v>0</v>
      </c>
      <c r="AO167" s="198">
        <v>0</v>
      </c>
      <c r="AP167" s="198">
        <v>0</v>
      </c>
      <c r="AQ167" s="198">
        <v>4041.7</v>
      </c>
      <c r="AR167" s="198">
        <v>0</v>
      </c>
      <c r="AS167" s="198">
        <v>285.8</v>
      </c>
      <c r="AT167" s="198">
        <v>0</v>
      </c>
      <c r="AU167" s="198">
        <v>231.9</v>
      </c>
      <c r="AV167" s="198">
        <v>0</v>
      </c>
      <c r="AW167" s="198">
        <v>130.1</v>
      </c>
      <c r="AX167" s="198">
        <v>0</v>
      </c>
      <c r="AY167" s="198">
        <v>0</v>
      </c>
      <c r="AZ167" s="198">
        <v>0</v>
      </c>
      <c r="BA167" s="198">
        <v>0</v>
      </c>
      <c r="BB167" s="198">
        <v>0</v>
      </c>
      <c r="BC167" s="198">
        <v>0</v>
      </c>
      <c r="BD167" s="198">
        <v>0</v>
      </c>
      <c r="BE167" s="198">
        <v>0</v>
      </c>
      <c r="BF167" s="198">
        <v>0</v>
      </c>
      <c r="BG167" s="198">
        <v>0</v>
      </c>
      <c r="BH167" s="198">
        <v>0</v>
      </c>
      <c r="BI167" s="198">
        <v>0</v>
      </c>
      <c r="BJ167" s="198">
        <v>0</v>
      </c>
      <c r="BK167" s="198">
        <v>0</v>
      </c>
      <c r="BL167" s="198">
        <v>0</v>
      </c>
      <c r="BM167" s="198">
        <v>0</v>
      </c>
      <c r="BN167" s="198">
        <v>0</v>
      </c>
      <c r="BO167" s="198">
        <v>0</v>
      </c>
      <c r="BP167" s="198">
        <v>0</v>
      </c>
      <c r="BQ167" s="198">
        <v>0</v>
      </c>
      <c r="BR167" s="198">
        <v>0</v>
      </c>
      <c r="BS167" s="198">
        <v>0</v>
      </c>
      <c r="BT167" s="198">
        <v>0</v>
      </c>
      <c r="BU167" s="198">
        <v>0</v>
      </c>
      <c r="BV167" s="198">
        <v>0</v>
      </c>
      <c r="BW167" s="198">
        <v>0</v>
      </c>
      <c r="BX167" s="198">
        <v>0</v>
      </c>
      <c r="BY167" s="198">
        <v>0</v>
      </c>
      <c r="BZ167" s="198">
        <v>0</v>
      </c>
      <c r="CA167" s="198">
        <v>0</v>
      </c>
      <c r="CB167" s="198">
        <v>0</v>
      </c>
      <c r="CC167" s="198">
        <v>0</v>
      </c>
      <c r="CD167" s="198">
        <v>0</v>
      </c>
      <c r="CE167" s="198">
        <v>0</v>
      </c>
      <c r="CF167" s="198">
        <v>0</v>
      </c>
      <c r="CG167" s="198">
        <v>0</v>
      </c>
      <c r="CH167" s="198">
        <v>0</v>
      </c>
      <c r="CI167" s="198">
        <v>0</v>
      </c>
      <c r="CJ167" s="198">
        <v>0</v>
      </c>
      <c r="CK167" s="88"/>
    </row>
    <row r="168" spans="1:89" x14ac:dyDescent="0.3">
      <c r="A168" s="173"/>
      <c r="B168" s="204" t="s">
        <v>301</v>
      </c>
      <c r="C168" s="200">
        <v>0</v>
      </c>
      <c r="D168" s="200">
        <v>0</v>
      </c>
      <c r="E168" s="200">
        <v>0</v>
      </c>
      <c r="F168" s="200">
        <v>0</v>
      </c>
      <c r="G168" s="198">
        <v>0</v>
      </c>
      <c r="H168" s="198">
        <v>0</v>
      </c>
      <c r="I168" s="198">
        <v>0</v>
      </c>
      <c r="J168" s="198">
        <v>0</v>
      </c>
      <c r="K168" s="198">
        <v>0</v>
      </c>
      <c r="L168" s="198">
        <v>0</v>
      </c>
      <c r="M168" s="198">
        <v>0</v>
      </c>
      <c r="N168" s="198">
        <v>0</v>
      </c>
      <c r="O168" s="198">
        <v>0</v>
      </c>
      <c r="P168" s="198">
        <v>0</v>
      </c>
      <c r="Q168" s="198">
        <v>0</v>
      </c>
      <c r="R168" s="198">
        <v>0</v>
      </c>
      <c r="S168" s="198">
        <v>0</v>
      </c>
      <c r="T168" s="198">
        <v>0</v>
      </c>
      <c r="U168" s="198">
        <v>0</v>
      </c>
      <c r="V168" s="198">
        <v>0</v>
      </c>
      <c r="W168" s="198">
        <v>0</v>
      </c>
      <c r="X168" s="198">
        <v>0</v>
      </c>
      <c r="Y168" s="198">
        <v>0</v>
      </c>
      <c r="Z168" s="198">
        <v>0</v>
      </c>
      <c r="AA168" s="198">
        <v>0</v>
      </c>
      <c r="AB168" s="198">
        <v>0</v>
      </c>
      <c r="AC168" s="198">
        <v>0</v>
      </c>
      <c r="AD168" s="198">
        <v>0</v>
      </c>
      <c r="AE168" s="198">
        <v>0</v>
      </c>
      <c r="AF168" s="198">
        <v>0</v>
      </c>
      <c r="AG168" s="198">
        <v>84.6</v>
      </c>
      <c r="AH168" s="198">
        <v>0</v>
      </c>
      <c r="AI168" s="198">
        <v>0</v>
      </c>
      <c r="AJ168" s="198">
        <v>0</v>
      </c>
      <c r="AK168" s="198">
        <v>0</v>
      </c>
      <c r="AL168" s="198">
        <v>0</v>
      </c>
      <c r="AM168" s="198">
        <v>0</v>
      </c>
      <c r="AN168" s="198">
        <v>0</v>
      </c>
      <c r="AO168" s="198">
        <v>62</v>
      </c>
      <c r="AP168" s="198">
        <v>0</v>
      </c>
      <c r="AQ168" s="198">
        <v>0</v>
      </c>
      <c r="AR168" s="198">
        <v>0</v>
      </c>
      <c r="AS168" s="198">
        <v>45.8</v>
      </c>
      <c r="AT168" s="198">
        <v>0</v>
      </c>
      <c r="AU168" s="198">
        <v>0</v>
      </c>
      <c r="AV168" s="198">
        <v>0</v>
      </c>
      <c r="AW168" s="198">
        <v>0</v>
      </c>
      <c r="AX168" s="198">
        <v>0</v>
      </c>
      <c r="AY168" s="198">
        <v>58.3</v>
      </c>
      <c r="AZ168" s="198">
        <v>0</v>
      </c>
      <c r="BA168" s="198">
        <v>0</v>
      </c>
      <c r="BB168" s="198">
        <v>0</v>
      </c>
      <c r="BC168" s="198">
        <v>0</v>
      </c>
      <c r="BD168" s="198">
        <v>0</v>
      </c>
      <c r="BE168" s="198">
        <v>0</v>
      </c>
      <c r="BF168" s="198">
        <v>0</v>
      </c>
      <c r="BG168" s="198">
        <v>0</v>
      </c>
      <c r="BH168" s="198">
        <v>0</v>
      </c>
      <c r="BI168" s="198">
        <v>0</v>
      </c>
      <c r="BJ168" s="198">
        <v>0</v>
      </c>
      <c r="BK168" s="198">
        <v>0</v>
      </c>
      <c r="BL168" s="198">
        <v>0</v>
      </c>
      <c r="BM168" s="198">
        <v>0</v>
      </c>
      <c r="BN168" s="198">
        <v>0</v>
      </c>
      <c r="BO168" s="198">
        <v>0</v>
      </c>
      <c r="BP168" s="198">
        <v>0</v>
      </c>
      <c r="BQ168" s="198">
        <v>0</v>
      </c>
      <c r="BR168" s="198">
        <v>0</v>
      </c>
      <c r="BS168" s="198">
        <v>0</v>
      </c>
      <c r="BT168" s="198">
        <v>0</v>
      </c>
      <c r="BU168" s="198">
        <v>0</v>
      </c>
      <c r="BV168" s="198">
        <v>0</v>
      </c>
      <c r="BW168" s="198">
        <v>0</v>
      </c>
      <c r="BX168" s="198">
        <v>0</v>
      </c>
      <c r="BY168" s="198">
        <v>0</v>
      </c>
      <c r="BZ168" s="198">
        <v>0</v>
      </c>
      <c r="CA168" s="198">
        <v>0</v>
      </c>
      <c r="CB168" s="198">
        <v>0</v>
      </c>
      <c r="CC168" s="198">
        <v>0</v>
      </c>
      <c r="CD168" s="198">
        <v>0</v>
      </c>
      <c r="CE168" s="198">
        <v>0</v>
      </c>
      <c r="CF168" s="198">
        <v>0</v>
      </c>
      <c r="CG168" s="198">
        <v>0</v>
      </c>
      <c r="CH168" s="198">
        <v>0</v>
      </c>
      <c r="CI168" s="198">
        <v>0</v>
      </c>
      <c r="CJ168" s="198">
        <v>0</v>
      </c>
      <c r="CK168" s="88"/>
    </row>
    <row r="169" spans="1:89" x14ac:dyDescent="0.3">
      <c r="A169" s="173"/>
      <c r="B169" s="204" t="s">
        <v>323</v>
      </c>
      <c r="C169" s="198">
        <v>0</v>
      </c>
      <c r="D169" s="198">
        <v>0</v>
      </c>
      <c r="E169" s="198">
        <v>0</v>
      </c>
      <c r="F169" s="198">
        <v>0</v>
      </c>
      <c r="G169" s="198">
        <v>0</v>
      </c>
      <c r="H169" s="198">
        <v>0</v>
      </c>
      <c r="I169" s="198">
        <v>0</v>
      </c>
      <c r="J169" s="198">
        <v>0</v>
      </c>
      <c r="K169" s="198">
        <v>0</v>
      </c>
      <c r="L169" s="198">
        <v>0</v>
      </c>
      <c r="M169" s="198">
        <v>0</v>
      </c>
      <c r="N169" s="198">
        <v>0</v>
      </c>
      <c r="O169" s="198">
        <v>0</v>
      </c>
      <c r="P169" s="198">
        <v>0</v>
      </c>
      <c r="Q169" s="198">
        <v>0</v>
      </c>
      <c r="R169" s="198">
        <v>0</v>
      </c>
      <c r="S169" s="198">
        <v>0</v>
      </c>
      <c r="T169" s="198">
        <v>0</v>
      </c>
      <c r="U169" s="198">
        <v>0</v>
      </c>
      <c r="V169" s="198">
        <v>0</v>
      </c>
      <c r="W169" s="198">
        <v>0</v>
      </c>
      <c r="X169" s="198">
        <v>0</v>
      </c>
      <c r="Y169" s="198">
        <v>0</v>
      </c>
      <c r="Z169" s="198">
        <v>0</v>
      </c>
      <c r="AA169" s="198">
        <v>0</v>
      </c>
      <c r="AB169" s="198">
        <v>0</v>
      </c>
      <c r="AC169" s="198">
        <v>0</v>
      </c>
      <c r="AD169" s="198">
        <v>0</v>
      </c>
      <c r="AE169" s="198">
        <v>0</v>
      </c>
      <c r="AF169" s="198">
        <v>0</v>
      </c>
      <c r="AG169" s="198">
        <v>0</v>
      </c>
      <c r="AH169" s="198">
        <v>0</v>
      </c>
      <c r="AI169" s="198">
        <v>0</v>
      </c>
      <c r="AJ169" s="198">
        <v>0</v>
      </c>
      <c r="AK169" s="198">
        <v>0</v>
      </c>
      <c r="AL169" s="198">
        <v>0</v>
      </c>
      <c r="AM169" s="198">
        <v>0</v>
      </c>
      <c r="AN169" s="198">
        <v>0</v>
      </c>
      <c r="AO169" s="198">
        <v>0</v>
      </c>
      <c r="AP169" s="198">
        <v>35.9</v>
      </c>
      <c r="AQ169" s="198">
        <v>46.1</v>
      </c>
      <c r="AR169" s="198">
        <v>0</v>
      </c>
      <c r="AS169" s="198">
        <v>0</v>
      </c>
      <c r="AT169" s="198">
        <v>0</v>
      </c>
      <c r="AU169" s="198">
        <v>0</v>
      </c>
      <c r="AV169" s="198">
        <v>0</v>
      </c>
      <c r="AW169" s="198">
        <v>0</v>
      </c>
      <c r="AX169" s="198">
        <v>0</v>
      </c>
      <c r="AY169" s="198">
        <v>0</v>
      </c>
      <c r="AZ169" s="198">
        <v>0</v>
      </c>
      <c r="BA169" s="198">
        <v>0</v>
      </c>
      <c r="BB169" s="198">
        <v>0</v>
      </c>
      <c r="BC169" s="198">
        <v>0</v>
      </c>
      <c r="BD169" s="198">
        <v>0</v>
      </c>
      <c r="BE169" s="198">
        <v>0</v>
      </c>
      <c r="BF169" s="198">
        <v>0</v>
      </c>
      <c r="BG169" s="198">
        <v>0</v>
      </c>
      <c r="BH169" s="198">
        <v>0</v>
      </c>
      <c r="BI169" s="198">
        <v>0</v>
      </c>
      <c r="BJ169" s="198">
        <v>0</v>
      </c>
      <c r="BK169" s="198">
        <v>0</v>
      </c>
      <c r="BL169" s="198">
        <v>0</v>
      </c>
      <c r="BM169" s="198">
        <v>0</v>
      </c>
      <c r="BN169" s="198">
        <v>0</v>
      </c>
      <c r="BO169" s="198">
        <v>0</v>
      </c>
      <c r="BP169" s="198">
        <v>0</v>
      </c>
      <c r="BQ169" s="198">
        <v>0</v>
      </c>
      <c r="BR169" s="198">
        <v>0</v>
      </c>
      <c r="BS169" s="198">
        <v>0</v>
      </c>
      <c r="BT169" s="198">
        <v>0</v>
      </c>
      <c r="BU169" s="198">
        <v>0</v>
      </c>
      <c r="BV169" s="198">
        <v>0</v>
      </c>
      <c r="BW169" s="198">
        <v>0</v>
      </c>
      <c r="BX169" s="198">
        <v>0</v>
      </c>
      <c r="BY169" s="198">
        <v>0</v>
      </c>
      <c r="BZ169" s="198">
        <v>0</v>
      </c>
      <c r="CA169" s="198">
        <v>0</v>
      </c>
      <c r="CB169" s="198">
        <v>0</v>
      </c>
      <c r="CC169" s="198">
        <v>0</v>
      </c>
      <c r="CD169" s="198">
        <v>0</v>
      </c>
      <c r="CE169" s="198">
        <v>0</v>
      </c>
      <c r="CF169" s="198">
        <v>0</v>
      </c>
      <c r="CG169" s="198">
        <v>0</v>
      </c>
      <c r="CH169" s="198">
        <v>0</v>
      </c>
      <c r="CI169" s="198">
        <v>0</v>
      </c>
      <c r="CJ169" s="198">
        <v>0</v>
      </c>
      <c r="CK169" s="88"/>
    </row>
    <row r="170" spans="1:89" x14ac:dyDescent="0.3">
      <c r="A170" s="173"/>
      <c r="B170" s="204" t="s">
        <v>290</v>
      </c>
      <c r="C170" s="198">
        <v>0</v>
      </c>
      <c r="D170" s="198">
        <v>0</v>
      </c>
      <c r="E170" s="198">
        <v>0</v>
      </c>
      <c r="F170" s="198">
        <v>0</v>
      </c>
      <c r="G170" s="198">
        <v>0</v>
      </c>
      <c r="H170" s="198">
        <v>0</v>
      </c>
      <c r="I170" s="198">
        <v>0</v>
      </c>
      <c r="J170" s="198">
        <v>0</v>
      </c>
      <c r="K170" s="198">
        <v>0</v>
      </c>
      <c r="L170" s="198">
        <v>0</v>
      </c>
      <c r="M170" s="198">
        <v>0</v>
      </c>
      <c r="N170" s="198">
        <v>0</v>
      </c>
      <c r="O170" s="198">
        <v>0</v>
      </c>
      <c r="P170" s="198">
        <v>0</v>
      </c>
      <c r="Q170" s="198">
        <v>0</v>
      </c>
      <c r="R170" s="198">
        <v>0</v>
      </c>
      <c r="S170" s="198">
        <v>0</v>
      </c>
      <c r="T170" s="198">
        <v>0</v>
      </c>
      <c r="U170" s="198">
        <v>0</v>
      </c>
      <c r="V170" s="198">
        <v>0</v>
      </c>
      <c r="W170" s="198">
        <v>0</v>
      </c>
      <c r="X170" s="198">
        <v>0</v>
      </c>
      <c r="Y170" s="198">
        <v>0</v>
      </c>
      <c r="Z170" s="198">
        <v>0</v>
      </c>
      <c r="AA170" s="198">
        <v>0</v>
      </c>
      <c r="AB170" s="198">
        <v>358.8</v>
      </c>
      <c r="AC170" s="198">
        <v>0</v>
      </c>
      <c r="AD170" s="198">
        <v>0</v>
      </c>
      <c r="AE170" s="198">
        <v>0</v>
      </c>
      <c r="AF170" s="198">
        <v>0</v>
      </c>
      <c r="AG170" s="198">
        <v>0</v>
      </c>
      <c r="AH170" s="198">
        <v>66</v>
      </c>
      <c r="AI170" s="198">
        <v>190</v>
      </c>
      <c r="AJ170" s="198">
        <v>18.8</v>
      </c>
      <c r="AK170" s="198">
        <v>0</v>
      </c>
      <c r="AL170" s="198">
        <v>0</v>
      </c>
      <c r="AM170" s="198">
        <v>325.2</v>
      </c>
      <c r="AN170" s="198">
        <v>0</v>
      </c>
      <c r="AO170" s="198">
        <v>0</v>
      </c>
      <c r="AP170" s="198">
        <v>0</v>
      </c>
      <c r="AQ170" s="198">
        <v>0</v>
      </c>
      <c r="AR170" s="198">
        <v>0</v>
      </c>
      <c r="AS170" s="198">
        <v>0</v>
      </c>
      <c r="AT170" s="198">
        <v>0</v>
      </c>
      <c r="AU170" s="198">
        <v>0</v>
      </c>
      <c r="AV170" s="198">
        <v>0</v>
      </c>
      <c r="AW170" s="198">
        <v>0</v>
      </c>
      <c r="AX170" s="198">
        <v>0</v>
      </c>
      <c r="AY170" s="198">
        <v>0</v>
      </c>
      <c r="AZ170" s="198">
        <v>0</v>
      </c>
      <c r="BA170" s="198">
        <v>0</v>
      </c>
      <c r="BB170" s="198">
        <v>0</v>
      </c>
      <c r="BC170" s="198">
        <v>0</v>
      </c>
      <c r="BD170" s="198">
        <v>0</v>
      </c>
      <c r="BE170" s="198">
        <v>0</v>
      </c>
      <c r="BF170" s="198">
        <v>0</v>
      </c>
      <c r="BG170" s="198">
        <v>0</v>
      </c>
      <c r="BH170" s="198">
        <v>0</v>
      </c>
      <c r="BI170" s="198">
        <v>0</v>
      </c>
      <c r="BJ170" s="198">
        <v>0</v>
      </c>
      <c r="BK170" s="198">
        <v>0</v>
      </c>
      <c r="BL170" s="198">
        <v>0</v>
      </c>
      <c r="BM170" s="198">
        <v>0</v>
      </c>
      <c r="BN170" s="198">
        <v>0</v>
      </c>
      <c r="BO170" s="198">
        <v>0</v>
      </c>
      <c r="BP170" s="198">
        <v>0</v>
      </c>
      <c r="BQ170" s="198">
        <v>0</v>
      </c>
      <c r="BR170" s="198">
        <v>0</v>
      </c>
      <c r="BS170" s="198">
        <v>0</v>
      </c>
      <c r="BT170" s="198">
        <v>0</v>
      </c>
      <c r="BU170" s="198">
        <v>0</v>
      </c>
      <c r="BV170" s="198">
        <v>0</v>
      </c>
      <c r="BW170" s="198">
        <v>0</v>
      </c>
      <c r="BX170" s="198">
        <v>0</v>
      </c>
      <c r="BY170" s="198">
        <v>0</v>
      </c>
      <c r="BZ170" s="198">
        <v>0</v>
      </c>
      <c r="CA170" s="198">
        <v>0</v>
      </c>
      <c r="CB170" s="198">
        <v>0</v>
      </c>
      <c r="CC170" s="198">
        <v>0</v>
      </c>
      <c r="CD170" s="198">
        <v>0</v>
      </c>
      <c r="CE170" s="198">
        <v>0</v>
      </c>
      <c r="CF170" s="198">
        <v>0</v>
      </c>
      <c r="CG170" s="198">
        <v>0</v>
      </c>
      <c r="CH170" s="198">
        <v>0</v>
      </c>
      <c r="CI170" s="198">
        <v>0</v>
      </c>
      <c r="CJ170" s="198">
        <v>0</v>
      </c>
      <c r="CK170" s="88"/>
    </row>
    <row r="171" spans="1:89" x14ac:dyDescent="0.3">
      <c r="A171" s="173"/>
      <c r="B171" s="204" t="s">
        <v>337</v>
      </c>
      <c r="C171" s="198">
        <v>0</v>
      </c>
      <c r="D171" s="198">
        <v>0</v>
      </c>
      <c r="E171" s="198">
        <v>0</v>
      </c>
      <c r="F171" s="198">
        <v>0</v>
      </c>
      <c r="G171" s="198">
        <v>0</v>
      </c>
      <c r="H171" s="198">
        <v>0</v>
      </c>
      <c r="I171" s="198">
        <v>0</v>
      </c>
      <c r="J171" s="198">
        <v>0</v>
      </c>
      <c r="K171" s="198">
        <v>0</v>
      </c>
      <c r="L171" s="198">
        <v>0</v>
      </c>
      <c r="M171" s="198">
        <v>0</v>
      </c>
      <c r="N171" s="198">
        <v>0</v>
      </c>
      <c r="O171" s="198">
        <v>0</v>
      </c>
      <c r="P171" s="198">
        <v>0</v>
      </c>
      <c r="Q171" s="198">
        <v>0</v>
      </c>
      <c r="R171" s="198">
        <v>0</v>
      </c>
      <c r="S171" s="198">
        <v>0</v>
      </c>
      <c r="T171" s="198">
        <v>0</v>
      </c>
      <c r="U171" s="198">
        <v>0</v>
      </c>
      <c r="V171" s="198">
        <v>0</v>
      </c>
      <c r="W171" s="198">
        <v>0</v>
      </c>
      <c r="X171" s="198">
        <v>0</v>
      </c>
      <c r="Y171" s="198">
        <v>0</v>
      </c>
      <c r="Z171" s="198">
        <v>0</v>
      </c>
      <c r="AA171" s="198">
        <v>0</v>
      </c>
      <c r="AB171" s="198">
        <v>0</v>
      </c>
      <c r="AC171" s="198">
        <v>0</v>
      </c>
      <c r="AD171" s="198">
        <v>0</v>
      </c>
      <c r="AE171" s="198">
        <v>0</v>
      </c>
      <c r="AF171" s="198">
        <v>0</v>
      </c>
      <c r="AG171" s="198">
        <v>0</v>
      </c>
      <c r="AH171" s="198">
        <v>0</v>
      </c>
      <c r="AI171" s="198">
        <v>0</v>
      </c>
      <c r="AJ171" s="198">
        <v>0</v>
      </c>
      <c r="AK171" s="198">
        <v>0</v>
      </c>
      <c r="AL171" s="198">
        <v>0</v>
      </c>
      <c r="AM171" s="198">
        <v>0</v>
      </c>
      <c r="AN171" s="198">
        <v>0</v>
      </c>
      <c r="AO171" s="198">
        <v>0</v>
      </c>
      <c r="AP171" s="198">
        <v>0</v>
      </c>
      <c r="AQ171" s="198">
        <v>0</v>
      </c>
      <c r="AR171" s="198">
        <v>0</v>
      </c>
      <c r="AS171" s="198">
        <v>0</v>
      </c>
      <c r="AT171" s="198">
        <v>0</v>
      </c>
      <c r="AU171" s="198">
        <v>0</v>
      </c>
      <c r="AV171" s="198">
        <v>0</v>
      </c>
      <c r="AW171" s="198">
        <v>778.6</v>
      </c>
      <c r="AX171" s="198">
        <v>63.2</v>
      </c>
      <c r="AY171" s="198">
        <v>179.2</v>
      </c>
      <c r="AZ171" s="198">
        <v>167.3</v>
      </c>
      <c r="BA171" s="198">
        <v>0</v>
      </c>
      <c r="BB171" s="198">
        <v>0</v>
      </c>
      <c r="BC171" s="198">
        <v>0</v>
      </c>
      <c r="BD171" s="198">
        <v>0</v>
      </c>
      <c r="BE171" s="198">
        <v>0</v>
      </c>
      <c r="BF171" s="198">
        <v>0</v>
      </c>
      <c r="BG171" s="198">
        <v>0</v>
      </c>
      <c r="BH171" s="198">
        <v>0</v>
      </c>
      <c r="BI171" s="198">
        <v>0</v>
      </c>
      <c r="BJ171" s="198">
        <v>0</v>
      </c>
      <c r="BK171" s="198">
        <v>0</v>
      </c>
      <c r="BL171" s="198">
        <v>0</v>
      </c>
      <c r="BM171" s="198">
        <v>0</v>
      </c>
      <c r="BN171" s="198">
        <v>0</v>
      </c>
      <c r="BO171" s="198">
        <v>0</v>
      </c>
      <c r="BP171" s="198">
        <v>0</v>
      </c>
      <c r="BQ171" s="198">
        <v>0</v>
      </c>
      <c r="BR171" s="198">
        <v>0</v>
      </c>
      <c r="BS171" s="198">
        <v>0</v>
      </c>
      <c r="BT171" s="198">
        <v>0</v>
      </c>
      <c r="BU171" s="198">
        <v>0</v>
      </c>
      <c r="BV171" s="198">
        <v>0</v>
      </c>
      <c r="BW171" s="198">
        <v>0</v>
      </c>
      <c r="BX171" s="198">
        <v>0</v>
      </c>
      <c r="BY171" s="198">
        <v>0</v>
      </c>
      <c r="BZ171" s="198">
        <v>0</v>
      </c>
      <c r="CA171" s="198">
        <v>0</v>
      </c>
      <c r="CB171" s="198">
        <v>0</v>
      </c>
      <c r="CC171" s="198">
        <v>0</v>
      </c>
      <c r="CD171" s="198">
        <v>0</v>
      </c>
      <c r="CE171" s="198">
        <v>0</v>
      </c>
      <c r="CF171" s="198">
        <v>0</v>
      </c>
      <c r="CG171" s="198">
        <v>0</v>
      </c>
      <c r="CH171" s="198">
        <v>0</v>
      </c>
      <c r="CI171" s="198">
        <v>0</v>
      </c>
      <c r="CJ171" s="198">
        <v>0</v>
      </c>
      <c r="CK171" s="88"/>
    </row>
    <row r="172" spans="1:89" x14ac:dyDescent="0.3">
      <c r="A172" s="173"/>
      <c r="B172" s="204" t="s">
        <v>382</v>
      </c>
      <c r="C172" s="198">
        <v>0</v>
      </c>
      <c r="D172" s="198">
        <v>0</v>
      </c>
      <c r="E172" s="198">
        <v>0</v>
      </c>
      <c r="F172" s="198">
        <v>0</v>
      </c>
      <c r="G172" s="198">
        <v>0</v>
      </c>
      <c r="H172" s="198">
        <v>0</v>
      </c>
      <c r="I172" s="198">
        <v>0</v>
      </c>
      <c r="J172" s="198">
        <v>0</v>
      </c>
      <c r="K172" s="198">
        <v>0</v>
      </c>
      <c r="L172" s="198">
        <v>0</v>
      </c>
      <c r="M172" s="198">
        <v>0</v>
      </c>
      <c r="N172" s="198">
        <v>0</v>
      </c>
      <c r="O172" s="198">
        <v>0</v>
      </c>
      <c r="P172" s="198">
        <v>0</v>
      </c>
      <c r="Q172" s="198">
        <v>0</v>
      </c>
      <c r="R172" s="198">
        <v>0</v>
      </c>
      <c r="S172" s="198">
        <v>0</v>
      </c>
      <c r="T172" s="198">
        <v>0</v>
      </c>
      <c r="U172" s="198">
        <v>0</v>
      </c>
      <c r="V172" s="198">
        <v>0</v>
      </c>
      <c r="W172" s="198">
        <v>0</v>
      </c>
      <c r="X172" s="198">
        <v>0</v>
      </c>
      <c r="Y172" s="198">
        <v>0</v>
      </c>
      <c r="Z172" s="198">
        <v>0</v>
      </c>
      <c r="AA172" s="198">
        <v>0</v>
      </c>
      <c r="AB172" s="198">
        <v>0</v>
      </c>
      <c r="AC172" s="198">
        <v>0</v>
      </c>
      <c r="AD172" s="198">
        <v>0</v>
      </c>
      <c r="AE172" s="198">
        <v>0</v>
      </c>
      <c r="AF172" s="198">
        <v>0</v>
      </c>
      <c r="AG172" s="198">
        <v>0</v>
      </c>
      <c r="AH172" s="198">
        <v>0</v>
      </c>
      <c r="AI172" s="198">
        <v>0</v>
      </c>
      <c r="AJ172" s="198">
        <v>0</v>
      </c>
      <c r="AK172" s="198">
        <v>0</v>
      </c>
      <c r="AL172" s="198">
        <v>0</v>
      </c>
      <c r="AM172" s="198">
        <v>0</v>
      </c>
      <c r="AN172" s="198">
        <v>0</v>
      </c>
      <c r="AO172" s="198">
        <v>0</v>
      </c>
      <c r="AP172" s="198">
        <v>0</v>
      </c>
      <c r="AQ172" s="198">
        <v>0</v>
      </c>
      <c r="AR172" s="198">
        <v>0</v>
      </c>
      <c r="AS172" s="198">
        <v>0</v>
      </c>
      <c r="AT172" s="198">
        <v>0</v>
      </c>
      <c r="AU172" s="198">
        <v>0</v>
      </c>
      <c r="AV172" s="198">
        <v>0</v>
      </c>
      <c r="AW172" s="198">
        <v>0</v>
      </c>
      <c r="AX172" s="198">
        <v>0</v>
      </c>
      <c r="AY172" s="198">
        <v>0</v>
      </c>
      <c r="AZ172" s="198">
        <v>0</v>
      </c>
      <c r="BA172" s="198">
        <v>0</v>
      </c>
      <c r="BB172" s="198">
        <v>0</v>
      </c>
      <c r="BC172" s="198">
        <v>0</v>
      </c>
      <c r="BD172" s="198">
        <v>0</v>
      </c>
      <c r="BE172" s="198">
        <v>0</v>
      </c>
      <c r="BF172" s="198">
        <v>0</v>
      </c>
      <c r="BG172" s="198">
        <v>0</v>
      </c>
      <c r="BH172" s="198">
        <v>0</v>
      </c>
      <c r="BI172" s="198">
        <v>0</v>
      </c>
      <c r="BJ172" s="198">
        <v>0</v>
      </c>
      <c r="BK172" s="198">
        <v>0</v>
      </c>
      <c r="BL172" s="198">
        <v>502.4</v>
      </c>
      <c r="BM172" s="198">
        <v>0</v>
      </c>
      <c r="BN172" s="198">
        <v>444.8</v>
      </c>
      <c r="BO172" s="198">
        <v>578.79999999999995</v>
      </c>
      <c r="BP172" s="198">
        <v>0</v>
      </c>
      <c r="BQ172" s="198">
        <v>236.7</v>
      </c>
      <c r="BR172" s="198">
        <v>0</v>
      </c>
      <c r="BS172" s="198">
        <v>0</v>
      </c>
      <c r="BT172" s="198">
        <v>0</v>
      </c>
      <c r="BU172" s="198">
        <v>0</v>
      </c>
      <c r="BV172" s="198">
        <v>0</v>
      </c>
      <c r="BW172" s="198">
        <v>0</v>
      </c>
      <c r="BX172" s="198">
        <v>0</v>
      </c>
      <c r="BY172" s="198">
        <v>329.8</v>
      </c>
      <c r="BZ172" s="198">
        <v>0</v>
      </c>
      <c r="CA172" s="198">
        <v>0</v>
      </c>
      <c r="CB172" s="198">
        <v>0</v>
      </c>
      <c r="CC172" s="198">
        <v>0</v>
      </c>
      <c r="CD172" s="198">
        <v>0</v>
      </c>
      <c r="CE172" s="198">
        <v>0</v>
      </c>
      <c r="CF172" s="198">
        <v>0</v>
      </c>
      <c r="CG172" s="198">
        <v>0</v>
      </c>
      <c r="CH172" s="198">
        <v>0</v>
      </c>
      <c r="CI172" s="198">
        <v>0</v>
      </c>
      <c r="CJ172" s="198">
        <v>0</v>
      </c>
      <c r="CK172" s="88"/>
    </row>
    <row r="173" spans="1:89" x14ac:dyDescent="0.3">
      <c r="A173" s="173"/>
      <c r="B173" s="204" t="s">
        <v>374</v>
      </c>
      <c r="C173" s="198">
        <v>0</v>
      </c>
      <c r="D173" s="198">
        <v>0</v>
      </c>
      <c r="E173" s="198">
        <v>0</v>
      </c>
      <c r="F173" s="198">
        <v>0</v>
      </c>
      <c r="G173" s="198">
        <v>0</v>
      </c>
      <c r="H173" s="198">
        <v>0</v>
      </c>
      <c r="I173" s="198">
        <v>0</v>
      </c>
      <c r="J173" s="198">
        <v>0</v>
      </c>
      <c r="K173" s="198">
        <v>0</v>
      </c>
      <c r="L173" s="198">
        <v>0</v>
      </c>
      <c r="M173" s="198">
        <v>0</v>
      </c>
      <c r="N173" s="198">
        <v>0</v>
      </c>
      <c r="O173" s="198">
        <v>0</v>
      </c>
      <c r="P173" s="198">
        <v>0</v>
      </c>
      <c r="Q173" s="198">
        <v>0</v>
      </c>
      <c r="R173" s="198">
        <v>0</v>
      </c>
      <c r="S173" s="198">
        <v>0</v>
      </c>
      <c r="T173" s="198">
        <v>0</v>
      </c>
      <c r="U173" s="198">
        <v>0</v>
      </c>
      <c r="V173" s="198">
        <v>0</v>
      </c>
      <c r="W173" s="198">
        <v>0</v>
      </c>
      <c r="X173" s="198">
        <v>0</v>
      </c>
      <c r="Y173" s="198">
        <v>0</v>
      </c>
      <c r="Z173" s="198">
        <v>0</v>
      </c>
      <c r="AA173" s="198">
        <v>0</v>
      </c>
      <c r="AB173" s="198">
        <v>0</v>
      </c>
      <c r="AC173" s="198">
        <v>0</v>
      </c>
      <c r="AD173" s="198">
        <v>0</v>
      </c>
      <c r="AE173" s="198">
        <v>0</v>
      </c>
      <c r="AF173" s="198">
        <v>0</v>
      </c>
      <c r="AG173" s="198">
        <v>0</v>
      </c>
      <c r="AH173" s="198">
        <v>0</v>
      </c>
      <c r="AI173" s="198">
        <v>0</v>
      </c>
      <c r="AJ173" s="198">
        <v>0</v>
      </c>
      <c r="AK173" s="198">
        <v>0</v>
      </c>
      <c r="AL173" s="198">
        <v>0</v>
      </c>
      <c r="AM173" s="198">
        <v>0</v>
      </c>
      <c r="AN173" s="198">
        <v>0</v>
      </c>
      <c r="AO173" s="198">
        <v>0</v>
      </c>
      <c r="AP173" s="198">
        <v>0</v>
      </c>
      <c r="AQ173" s="198">
        <v>0</v>
      </c>
      <c r="AR173" s="198">
        <v>0</v>
      </c>
      <c r="AS173" s="198">
        <v>0</v>
      </c>
      <c r="AT173" s="198">
        <v>0</v>
      </c>
      <c r="AU173" s="198">
        <v>0</v>
      </c>
      <c r="AV173" s="198">
        <v>0</v>
      </c>
      <c r="AW173" s="198">
        <v>0</v>
      </c>
      <c r="AX173" s="198">
        <v>0</v>
      </c>
      <c r="AY173" s="198">
        <v>0</v>
      </c>
      <c r="AZ173" s="198">
        <v>0</v>
      </c>
      <c r="BA173" s="198">
        <v>0</v>
      </c>
      <c r="BB173" s="198">
        <v>0</v>
      </c>
      <c r="BC173" s="198">
        <v>0</v>
      </c>
      <c r="BD173" s="198">
        <v>0</v>
      </c>
      <c r="BE173" s="198">
        <v>0</v>
      </c>
      <c r="BF173" s="198">
        <v>0</v>
      </c>
      <c r="BG173" s="198">
        <v>17.399999999999999</v>
      </c>
      <c r="BH173" s="198">
        <v>179.3</v>
      </c>
      <c r="BI173" s="198">
        <v>132.1</v>
      </c>
      <c r="BJ173" s="198">
        <v>0</v>
      </c>
      <c r="BK173" s="198">
        <v>0</v>
      </c>
      <c r="BL173" s="198">
        <v>0</v>
      </c>
      <c r="BM173" s="198">
        <v>0</v>
      </c>
      <c r="BN173" s="198">
        <v>0</v>
      </c>
      <c r="BO173" s="198">
        <v>0</v>
      </c>
      <c r="BP173" s="198">
        <v>0</v>
      </c>
      <c r="BQ173" s="198">
        <v>0</v>
      </c>
      <c r="BR173" s="198">
        <v>0</v>
      </c>
      <c r="BS173" s="198">
        <v>0</v>
      </c>
      <c r="BT173" s="198">
        <v>0</v>
      </c>
      <c r="BU173" s="198">
        <v>0</v>
      </c>
      <c r="BV173" s="198">
        <v>0</v>
      </c>
      <c r="BW173" s="198">
        <v>0</v>
      </c>
      <c r="BX173" s="198">
        <v>0</v>
      </c>
      <c r="BY173" s="198">
        <v>0</v>
      </c>
      <c r="BZ173" s="198">
        <v>0</v>
      </c>
      <c r="CA173" s="198">
        <v>0</v>
      </c>
      <c r="CB173" s="198">
        <v>0</v>
      </c>
      <c r="CC173" s="198">
        <v>0</v>
      </c>
      <c r="CD173" s="198">
        <v>0</v>
      </c>
      <c r="CE173" s="198">
        <v>0</v>
      </c>
      <c r="CF173" s="198">
        <v>0</v>
      </c>
      <c r="CG173" s="198">
        <v>0</v>
      </c>
      <c r="CH173" s="198">
        <v>0</v>
      </c>
      <c r="CI173" s="198">
        <v>0</v>
      </c>
      <c r="CJ173" s="198">
        <v>0</v>
      </c>
      <c r="CK173" s="88"/>
    </row>
    <row r="174" spans="1:89" x14ac:dyDescent="0.3">
      <c r="A174" s="173"/>
      <c r="B174" s="197" t="s">
        <v>286</v>
      </c>
      <c r="C174" s="198">
        <v>0</v>
      </c>
      <c r="D174" s="198">
        <v>0</v>
      </c>
      <c r="E174" s="198">
        <v>0</v>
      </c>
      <c r="F174" s="198">
        <v>0</v>
      </c>
      <c r="G174" s="198">
        <v>0</v>
      </c>
      <c r="H174" s="198">
        <v>0</v>
      </c>
      <c r="I174" s="198">
        <v>0</v>
      </c>
      <c r="J174" s="198">
        <v>0</v>
      </c>
      <c r="K174" s="198">
        <v>0</v>
      </c>
      <c r="L174" s="198">
        <v>0</v>
      </c>
      <c r="M174" s="198">
        <v>0</v>
      </c>
      <c r="N174" s="198">
        <v>0</v>
      </c>
      <c r="O174" s="198">
        <v>0</v>
      </c>
      <c r="P174" s="198">
        <v>0</v>
      </c>
      <c r="Q174" s="198">
        <v>0</v>
      </c>
      <c r="R174" s="198">
        <v>0</v>
      </c>
      <c r="S174" s="198">
        <v>0</v>
      </c>
      <c r="T174" s="198">
        <v>0</v>
      </c>
      <c r="U174" s="198">
        <v>0</v>
      </c>
      <c r="V174" s="198">
        <v>0</v>
      </c>
      <c r="W174" s="198">
        <v>0</v>
      </c>
      <c r="X174" s="198">
        <v>1659.8</v>
      </c>
      <c r="Y174" s="198">
        <v>0</v>
      </c>
      <c r="Z174" s="198">
        <v>0</v>
      </c>
      <c r="AA174" s="198">
        <v>0</v>
      </c>
      <c r="AB174" s="198">
        <v>0</v>
      </c>
      <c r="AC174" s="198">
        <v>0</v>
      </c>
      <c r="AD174" s="198">
        <v>0</v>
      </c>
      <c r="AE174" s="198">
        <v>43.8</v>
      </c>
      <c r="AF174" s="198">
        <v>0</v>
      </c>
      <c r="AG174" s="198">
        <v>0</v>
      </c>
      <c r="AH174" s="198">
        <v>248.9</v>
      </c>
      <c r="AI174" s="198">
        <v>0</v>
      </c>
      <c r="AJ174" s="198">
        <v>0</v>
      </c>
      <c r="AK174" s="198">
        <v>0</v>
      </c>
      <c r="AL174" s="198">
        <v>0</v>
      </c>
      <c r="AM174" s="198">
        <v>0</v>
      </c>
      <c r="AN174" s="198">
        <v>0</v>
      </c>
      <c r="AO174" s="198">
        <v>0</v>
      </c>
      <c r="AP174" s="198">
        <v>0</v>
      </c>
      <c r="AQ174" s="198">
        <v>0</v>
      </c>
      <c r="AR174" s="198">
        <v>0</v>
      </c>
      <c r="AS174" s="198">
        <v>0</v>
      </c>
      <c r="AT174" s="198">
        <v>0</v>
      </c>
      <c r="AU174" s="198">
        <v>0</v>
      </c>
      <c r="AV174" s="198">
        <v>0</v>
      </c>
      <c r="AW174" s="198">
        <v>0</v>
      </c>
      <c r="AX174" s="198">
        <v>0</v>
      </c>
      <c r="AY174" s="198">
        <v>0</v>
      </c>
      <c r="AZ174" s="198">
        <v>0</v>
      </c>
      <c r="BA174" s="198">
        <v>0</v>
      </c>
      <c r="BB174" s="198">
        <v>0</v>
      </c>
      <c r="BC174" s="198">
        <v>0</v>
      </c>
      <c r="BD174" s="198">
        <v>0</v>
      </c>
      <c r="BE174" s="198">
        <v>0</v>
      </c>
      <c r="BF174" s="198">
        <v>0</v>
      </c>
      <c r="BG174" s="198">
        <v>0</v>
      </c>
      <c r="BH174" s="198">
        <v>0</v>
      </c>
      <c r="BI174" s="198">
        <v>0</v>
      </c>
      <c r="BJ174" s="198">
        <v>0</v>
      </c>
      <c r="BK174" s="198">
        <v>0</v>
      </c>
      <c r="BL174" s="198">
        <v>0</v>
      </c>
      <c r="BM174" s="198">
        <v>0</v>
      </c>
      <c r="BN174" s="198">
        <v>0</v>
      </c>
      <c r="BO174" s="198">
        <v>0</v>
      </c>
      <c r="BP174" s="198">
        <v>0</v>
      </c>
      <c r="BQ174" s="198">
        <v>0</v>
      </c>
      <c r="BR174" s="198">
        <v>0</v>
      </c>
      <c r="BS174" s="198">
        <v>0</v>
      </c>
      <c r="BT174" s="198">
        <v>0</v>
      </c>
      <c r="BU174" s="198">
        <v>0</v>
      </c>
      <c r="BV174" s="198">
        <v>0</v>
      </c>
      <c r="BW174" s="198">
        <v>0</v>
      </c>
      <c r="BX174" s="198">
        <v>0</v>
      </c>
      <c r="BY174" s="198">
        <v>0</v>
      </c>
      <c r="BZ174" s="198">
        <v>0</v>
      </c>
      <c r="CA174" s="198">
        <v>0</v>
      </c>
      <c r="CB174" s="198">
        <v>0</v>
      </c>
      <c r="CC174" s="198">
        <v>0</v>
      </c>
      <c r="CD174" s="198">
        <v>0</v>
      </c>
      <c r="CE174" s="198">
        <v>0</v>
      </c>
      <c r="CF174" s="198">
        <v>0</v>
      </c>
      <c r="CG174" s="198">
        <v>0</v>
      </c>
      <c r="CH174" s="198">
        <v>0</v>
      </c>
      <c r="CI174" s="198">
        <v>0</v>
      </c>
      <c r="CJ174" s="198">
        <v>0</v>
      </c>
      <c r="CK174" s="88"/>
    </row>
    <row r="175" spans="1:89" x14ac:dyDescent="0.3">
      <c r="A175" s="173"/>
      <c r="B175" s="204" t="s">
        <v>287</v>
      </c>
      <c r="C175" s="198">
        <v>0</v>
      </c>
      <c r="D175" s="198">
        <v>0</v>
      </c>
      <c r="E175" s="198">
        <v>0</v>
      </c>
      <c r="F175" s="198">
        <v>0</v>
      </c>
      <c r="G175" s="198">
        <v>0</v>
      </c>
      <c r="H175" s="198">
        <v>0</v>
      </c>
      <c r="I175" s="198">
        <v>0</v>
      </c>
      <c r="J175" s="198">
        <v>0</v>
      </c>
      <c r="K175" s="198">
        <v>0</v>
      </c>
      <c r="L175" s="198">
        <v>0</v>
      </c>
      <c r="M175" s="198">
        <v>0</v>
      </c>
      <c r="N175" s="198">
        <v>0</v>
      </c>
      <c r="O175" s="198">
        <v>0</v>
      </c>
      <c r="P175" s="198">
        <v>0</v>
      </c>
      <c r="Q175" s="198">
        <v>0</v>
      </c>
      <c r="R175" s="198">
        <v>0</v>
      </c>
      <c r="S175" s="198">
        <v>0</v>
      </c>
      <c r="T175" s="198">
        <v>0</v>
      </c>
      <c r="U175" s="198">
        <v>0</v>
      </c>
      <c r="V175" s="198">
        <v>0</v>
      </c>
      <c r="W175" s="198">
        <v>0</v>
      </c>
      <c r="X175" s="198">
        <v>1766.4</v>
      </c>
      <c r="Y175" s="198">
        <v>0</v>
      </c>
      <c r="Z175" s="198">
        <v>0</v>
      </c>
      <c r="AA175" s="198">
        <v>0</v>
      </c>
      <c r="AB175" s="198">
        <v>0</v>
      </c>
      <c r="AC175" s="198">
        <v>0</v>
      </c>
      <c r="AD175" s="198">
        <v>0</v>
      </c>
      <c r="AE175" s="198">
        <v>0</v>
      </c>
      <c r="AF175" s="198">
        <v>0</v>
      </c>
      <c r="AG175" s="198">
        <v>0</v>
      </c>
      <c r="AH175" s="198">
        <v>0</v>
      </c>
      <c r="AI175" s="198">
        <v>0</v>
      </c>
      <c r="AJ175" s="198">
        <v>0</v>
      </c>
      <c r="AK175" s="198">
        <v>0</v>
      </c>
      <c r="AL175" s="198">
        <v>0</v>
      </c>
      <c r="AM175" s="198">
        <v>0</v>
      </c>
      <c r="AN175" s="198">
        <v>0</v>
      </c>
      <c r="AO175" s="198">
        <v>0</v>
      </c>
      <c r="AP175" s="198">
        <v>0</v>
      </c>
      <c r="AQ175" s="198">
        <v>0</v>
      </c>
      <c r="AR175" s="198">
        <v>0</v>
      </c>
      <c r="AS175" s="198">
        <v>0</v>
      </c>
      <c r="AT175" s="198">
        <v>0</v>
      </c>
      <c r="AU175" s="198">
        <v>0</v>
      </c>
      <c r="AV175" s="198">
        <v>0</v>
      </c>
      <c r="AW175" s="198">
        <v>0</v>
      </c>
      <c r="AX175" s="198">
        <v>0</v>
      </c>
      <c r="AY175" s="198">
        <v>0</v>
      </c>
      <c r="AZ175" s="198">
        <v>0</v>
      </c>
      <c r="BA175" s="198">
        <v>0</v>
      </c>
      <c r="BB175" s="198">
        <v>0</v>
      </c>
      <c r="BC175" s="198">
        <v>0</v>
      </c>
      <c r="BD175" s="198">
        <v>0</v>
      </c>
      <c r="BE175" s="198">
        <v>0</v>
      </c>
      <c r="BF175" s="198">
        <v>0</v>
      </c>
      <c r="BG175" s="198">
        <v>0</v>
      </c>
      <c r="BH175" s="198">
        <v>0</v>
      </c>
      <c r="BI175" s="198">
        <v>0</v>
      </c>
      <c r="BJ175" s="198">
        <v>0</v>
      </c>
      <c r="BK175" s="198">
        <v>0</v>
      </c>
      <c r="BL175" s="198">
        <v>0</v>
      </c>
      <c r="BM175" s="198">
        <v>0</v>
      </c>
      <c r="BN175" s="198">
        <v>0</v>
      </c>
      <c r="BO175" s="198">
        <v>0</v>
      </c>
      <c r="BP175" s="198">
        <v>0</v>
      </c>
      <c r="BQ175" s="198">
        <v>0</v>
      </c>
      <c r="BR175" s="198">
        <v>0</v>
      </c>
      <c r="BS175" s="198">
        <v>0</v>
      </c>
      <c r="BT175" s="198">
        <v>0</v>
      </c>
      <c r="BU175" s="198">
        <v>0</v>
      </c>
      <c r="BV175" s="198">
        <v>0</v>
      </c>
      <c r="BW175" s="198">
        <v>0</v>
      </c>
      <c r="BX175" s="198">
        <v>0</v>
      </c>
      <c r="BY175" s="198">
        <v>0</v>
      </c>
      <c r="BZ175" s="198">
        <v>0</v>
      </c>
      <c r="CA175" s="198">
        <v>0</v>
      </c>
      <c r="CB175" s="198">
        <v>0</v>
      </c>
      <c r="CC175" s="198">
        <v>0</v>
      </c>
      <c r="CD175" s="198">
        <v>0</v>
      </c>
      <c r="CE175" s="198">
        <v>0</v>
      </c>
      <c r="CF175" s="198">
        <v>0</v>
      </c>
      <c r="CG175" s="198">
        <v>0</v>
      </c>
      <c r="CH175" s="198">
        <v>0</v>
      </c>
      <c r="CI175" s="198">
        <v>0</v>
      </c>
      <c r="CJ175" s="198">
        <v>0</v>
      </c>
      <c r="CK175" s="88"/>
    </row>
    <row r="176" spans="1:89" x14ac:dyDescent="0.3">
      <c r="A176" s="173"/>
      <c r="B176" s="204" t="s">
        <v>292</v>
      </c>
      <c r="C176" s="198">
        <v>0</v>
      </c>
      <c r="D176" s="198">
        <v>0</v>
      </c>
      <c r="E176" s="198">
        <v>0</v>
      </c>
      <c r="F176" s="198">
        <v>0</v>
      </c>
      <c r="G176" s="198">
        <v>0</v>
      </c>
      <c r="H176" s="198">
        <v>0</v>
      </c>
      <c r="I176" s="198">
        <v>0</v>
      </c>
      <c r="J176" s="198">
        <v>0</v>
      </c>
      <c r="K176" s="198">
        <v>0</v>
      </c>
      <c r="L176" s="198">
        <v>0</v>
      </c>
      <c r="M176" s="198">
        <v>0</v>
      </c>
      <c r="N176" s="198">
        <v>0</v>
      </c>
      <c r="O176" s="198">
        <v>0</v>
      </c>
      <c r="P176" s="198">
        <v>0</v>
      </c>
      <c r="Q176" s="198">
        <v>0</v>
      </c>
      <c r="R176" s="198">
        <v>0</v>
      </c>
      <c r="S176" s="198">
        <v>0</v>
      </c>
      <c r="T176" s="198">
        <v>0</v>
      </c>
      <c r="U176" s="198">
        <v>0</v>
      </c>
      <c r="V176" s="198">
        <v>0</v>
      </c>
      <c r="W176" s="198">
        <v>0</v>
      </c>
      <c r="X176" s="198">
        <v>0</v>
      </c>
      <c r="Y176" s="198">
        <v>0</v>
      </c>
      <c r="Z176" s="198">
        <v>0</v>
      </c>
      <c r="AA176" s="198">
        <v>0</v>
      </c>
      <c r="AB176" s="198">
        <v>0</v>
      </c>
      <c r="AC176" s="198">
        <v>0</v>
      </c>
      <c r="AD176" s="198">
        <v>0</v>
      </c>
      <c r="AE176" s="198">
        <v>374</v>
      </c>
      <c r="AF176" s="198">
        <v>0</v>
      </c>
      <c r="AG176" s="198">
        <v>0</v>
      </c>
      <c r="AH176" s="198">
        <v>207.6</v>
      </c>
      <c r="AI176" s="198">
        <v>118.7</v>
      </c>
      <c r="AJ176" s="198">
        <v>537.70000000000005</v>
      </c>
      <c r="AK176" s="198">
        <v>375.6</v>
      </c>
      <c r="AL176" s="198">
        <v>0</v>
      </c>
      <c r="AM176" s="198">
        <v>0</v>
      </c>
      <c r="AN176" s="198">
        <v>0</v>
      </c>
      <c r="AO176" s="198">
        <v>0</v>
      </c>
      <c r="AP176" s="198">
        <v>0</v>
      </c>
      <c r="AQ176" s="198">
        <v>0</v>
      </c>
      <c r="AR176" s="198">
        <v>0</v>
      </c>
      <c r="AS176" s="198">
        <v>0</v>
      </c>
      <c r="AT176" s="198">
        <v>0</v>
      </c>
      <c r="AU176" s="198">
        <v>0</v>
      </c>
      <c r="AV176" s="198">
        <v>0</v>
      </c>
      <c r="AW176" s="198">
        <v>0</v>
      </c>
      <c r="AX176" s="198">
        <v>0</v>
      </c>
      <c r="AY176" s="198">
        <v>0</v>
      </c>
      <c r="AZ176" s="198">
        <v>0</v>
      </c>
      <c r="BA176" s="198">
        <v>0</v>
      </c>
      <c r="BB176" s="198">
        <v>0</v>
      </c>
      <c r="BC176" s="198">
        <v>0</v>
      </c>
      <c r="BD176" s="198">
        <v>0</v>
      </c>
      <c r="BE176" s="198">
        <v>0</v>
      </c>
      <c r="BF176" s="198">
        <v>0</v>
      </c>
      <c r="BG176" s="198">
        <v>0</v>
      </c>
      <c r="BH176" s="198">
        <v>0</v>
      </c>
      <c r="BI176" s="198">
        <v>0</v>
      </c>
      <c r="BJ176" s="198">
        <v>0</v>
      </c>
      <c r="BK176" s="198">
        <v>0</v>
      </c>
      <c r="BL176" s="198">
        <v>0</v>
      </c>
      <c r="BM176" s="198">
        <v>0</v>
      </c>
      <c r="BN176" s="198">
        <v>0</v>
      </c>
      <c r="BO176" s="198">
        <v>0</v>
      </c>
      <c r="BP176" s="198">
        <v>0</v>
      </c>
      <c r="BQ176" s="198">
        <v>0</v>
      </c>
      <c r="BR176" s="198">
        <v>0</v>
      </c>
      <c r="BS176" s="198">
        <v>0</v>
      </c>
      <c r="BT176" s="198">
        <v>0</v>
      </c>
      <c r="BU176" s="198">
        <v>0</v>
      </c>
      <c r="BV176" s="198">
        <v>0</v>
      </c>
      <c r="BW176" s="198">
        <v>0</v>
      </c>
      <c r="BX176" s="198">
        <v>0</v>
      </c>
      <c r="BY176" s="198">
        <v>0</v>
      </c>
      <c r="BZ176" s="198">
        <v>0</v>
      </c>
      <c r="CA176" s="198">
        <v>0</v>
      </c>
      <c r="CB176" s="198">
        <v>0</v>
      </c>
      <c r="CC176" s="198">
        <v>0</v>
      </c>
      <c r="CD176" s="198">
        <v>0</v>
      </c>
      <c r="CE176" s="198">
        <v>0</v>
      </c>
      <c r="CF176" s="198">
        <v>0</v>
      </c>
      <c r="CG176" s="198">
        <v>0</v>
      </c>
      <c r="CH176" s="198">
        <v>0</v>
      </c>
      <c r="CI176" s="198">
        <v>0</v>
      </c>
      <c r="CJ176" s="198">
        <v>0</v>
      </c>
      <c r="CK176" s="88"/>
    </row>
    <row r="177" spans="1:89" x14ac:dyDescent="0.3">
      <c r="A177" s="173"/>
      <c r="B177" s="204" t="s">
        <v>306</v>
      </c>
      <c r="C177" s="198">
        <v>0</v>
      </c>
      <c r="D177" s="198">
        <v>0</v>
      </c>
      <c r="E177" s="198">
        <v>0</v>
      </c>
      <c r="F177" s="198">
        <v>0</v>
      </c>
      <c r="G177" s="198">
        <v>0</v>
      </c>
      <c r="H177" s="198">
        <v>0</v>
      </c>
      <c r="I177" s="198">
        <v>0</v>
      </c>
      <c r="J177" s="198">
        <v>0</v>
      </c>
      <c r="K177" s="198">
        <v>0</v>
      </c>
      <c r="L177" s="198">
        <v>0</v>
      </c>
      <c r="M177" s="198">
        <v>0</v>
      </c>
      <c r="N177" s="198">
        <v>0</v>
      </c>
      <c r="O177" s="198">
        <v>0</v>
      </c>
      <c r="P177" s="198">
        <v>0</v>
      </c>
      <c r="Q177" s="198">
        <v>0</v>
      </c>
      <c r="R177" s="198">
        <v>0</v>
      </c>
      <c r="S177" s="198">
        <v>0</v>
      </c>
      <c r="T177" s="198">
        <v>0</v>
      </c>
      <c r="U177" s="198">
        <v>0</v>
      </c>
      <c r="V177" s="198">
        <v>0</v>
      </c>
      <c r="W177" s="198">
        <v>0</v>
      </c>
      <c r="X177" s="198">
        <v>0</v>
      </c>
      <c r="Y177" s="198">
        <v>0</v>
      </c>
      <c r="Z177" s="198">
        <v>0</v>
      </c>
      <c r="AA177" s="198">
        <v>0</v>
      </c>
      <c r="AB177" s="198">
        <v>0</v>
      </c>
      <c r="AC177" s="198">
        <v>0</v>
      </c>
      <c r="AD177" s="198">
        <v>0</v>
      </c>
      <c r="AE177" s="198">
        <v>0</v>
      </c>
      <c r="AF177" s="198">
        <v>0</v>
      </c>
      <c r="AG177" s="198">
        <v>0</v>
      </c>
      <c r="AH177" s="198">
        <v>0</v>
      </c>
      <c r="AI177" s="198">
        <v>351.9</v>
      </c>
      <c r="AJ177" s="198">
        <v>1141.5</v>
      </c>
      <c r="AK177" s="198">
        <v>478.9</v>
      </c>
      <c r="AL177" s="198">
        <v>249.5</v>
      </c>
      <c r="AM177" s="198">
        <v>0</v>
      </c>
      <c r="AN177" s="198">
        <v>0</v>
      </c>
      <c r="AO177" s="198">
        <v>0</v>
      </c>
      <c r="AP177" s="198">
        <v>151.19999999999999</v>
      </c>
      <c r="AQ177" s="198">
        <v>0</v>
      </c>
      <c r="AR177" s="198">
        <v>309.5</v>
      </c>
      <c r="AS177" s="198">
        <v>0</v>
      </c>
      <c r="AT177" s="198">
        <v>0</v>
      </c>
      <c r="AU177" s="198">
        <v>0</v>
      </c>
      <c r="AV177" s="198">
        <v>0</v>
      </c>
      <c r="AW177" s="198">
        <v>215.2</v>
      </c>
      <c r="AX177" s="198">
        <v>119.1</v>
      </c>
      <c r="AY177" s="198">
        <v>0</v>
      </c>
      <c r="AZ177" s="198">
        <v>0</v>
      </c>
      <c r="BA177" s="198">
        <v>0</v>
      </c>
      <c r="BB177" s="198">
        <v>0</v>
      </c>
      <c r="BC177" s="198">
        <v>0</v>
      </c>
      <c r="BD177" s="198">
        <v>0</v>
      </c>
      <c r="BE177" s="198">
        <v>0</v>
      </c>
      <c r="BF177" s="198">
        <v>0</v>
      </c>
      <c r="BG177" s="198">
        <v>0</v>
      </c>
      <c r="BH177" s="198">
        <v>0</v>
      </c>
      <c r="BI177" s="198">
        <v>0</v>
      </c>
      <c r="BJ177" s="198">
        <v>0</v>
      </c>
      <c r="BK177" s="198">
        <v>0</v>
      </c>
      <c r="BL177" s="198">
        <v>0</v>
      </c>
      <c r="BM177" s="198">
        <v>0</v>
      </c>
      <c r="BN177" s="198">
        <v>0</v>
      </c>
      <c r="BO177" s="198">
        <v>0</v>
      </c>
      <c r="BP177" s="198">
        <v>0</v>
      </c>
      <c r="BQ177" s="198">
        <v>0</v>
      </c>
      <c r="BR177" s="198">
        <v>0</v>
      </c>
      <c r="BS177" s="198">
        <v>0</v>
      </c>
      <c r="BT177" s="198">
        <v>0</v>
      </c>
      <c r="BU177" s="198">
        <v>0</v>
      </c>
      <c r="BV177" s="198">
        <v>0</v>
      </c>
      <c r="BW177" s="198">
        <v>0</v>
      </c>
      <c r="BX177" s="198">
        <v>0</v>
      </c>
      <c r="BY177" s="198">
        <v>0</v>
      </c>
      <c r="BZ177" s="198">
        <v>0</v>
      </c>
      <c r="CA177" s="198">
        <v>0</v>
      </c>
      <c r="CB177" s="198">
        <v>0</v>
      </c>
      <c r="CC177" s="198">
        <v>0</v>
      </c>
      <c r="CD177" s="198">
        <v>0</v>
      </c>
      <c r="CE177" s="198">
        <v>0</v>
      </c>
      <c r="CF177" s="198">
        <v>0</v>
      </c>
      <c r="CG177" s="198">
        <v>0</v>
      </c>
      <c r="CH177" s="198">
        <v>0</v>
      </c>
      <c r="CI177" s="198">
        <v>0</v>
      </c>
      <c r="CJ177" s="198">
        <v>0</v>
      </c>
      <c r="CK177" s="88"/>
    </row>
    <row r="178" spans="1:89" x14ac:dyDescent="0.3">
      <c r="A178" s="173"/>
      <c r="B178" s="204" t="s">
        <v>322</v>
      </c>
      <c r="C178" s="198">
        <v>0</v>
      </c>
      <c r="D178" s="198">
        <v>0</v>
      </c>
      <c r="E178" s="198">
        <v>0</v>
      </c>
      <c r="F178" s="198">
        <v>0</v>
      </c>
      <c r="G178" s="198">
        <v>0</v>
      </c>
      <c r="H178" s="198">
        <v>0</v>
      </c>
      <c r="I178" s="198">
        <v>0</v>
      </c>
      <c r="J178" s="198">
        <v>0</v>
      </c>
      <c r="K178" s="198">
        <v>0</v>
      </c>
      <c r="L178" s="198">
        <v>0</v>
      </c>
      <c r="M178" s="198">
        <v>0</v>
      </c>
      <c r="N178" s="198">
        <v>0</v>
      </c>
      <c r="O178" s="198">
        <v>0</v>
      </c>
      <c r="P178" s="198">
        <v>0</v>
      </c>
      <c r="Q178" s="198">
        <v>0</v>
      </c>
      <c r="R178" s="198">
        <v>0</v>
      </c>
      <c r="S178" s="198">
        <v>0</v>
      </c>
      <c r="T178" s="198">
        <v>0</v>
      </c>
      <c r="U178" s="198">
        <v>0</v>
      </c>
      <c r="V178" s="198">
        <v>0</v>
      </c>
      <c r="W178" s="198">
        <v>0</v>
      </c>
      <c r="X178" s="198">
        <v>0</v>
      </c>
      <c r="Y178" s="198">
        <v>0</v>
      </c>
      <c r="Z178" s="198">
        <v>0</v>
      </c>
      <c r="AA178" s="198">
        <v>0</v>
      </c>
      <c r="AB178" s="198">
        <v>0</v>
      </c>
      <c r="AC178" s="198">
        <v>0</v>
      </c>
      <c r="AD178" s="198">
        <v>0</v>
      </c>
      <c r="AE178" s="198">
        <v>0</v>
      </c>
      <c r="AF178" s="198">
        <v>0</v>
      </c>
      <c r="AG178" s="198">
        <v>0</v>
      </c>
      <c r="AH178" s="198">
        <v>0</v>
      </c>
      <c r="AI178" s="198">
        <v>0</v>
      </c>
      <c r="AJ178" s="198">
        <v>0</v>
      </c>
      <c r="AK178" s="198">
        <v>0</v>
      </c>
      <c r="AL178" s="198">
        <v>0</v>
      </c>
      <c r="AM178" s="198">
        <v>0</v>
      </c>
      <c r="AN178" s="198">
        <v>0</v>
      </c>
      <c r="AO178" s="198">
        <v>0</v>
      </c>
      <c r="AP178" s="198">
        <v>1182.9000000000001</v>
      </c>
      <c r="AQ178" s="198">
        <v>95.5</v>
      </c>
      <c r="AR178" s="198">
        <v>0</v>
      </c>
      <c r="AS178" s="198">
        <v>0</v>
      </c>
      <c r="AT178" s="198">
        <v>0</v>
      </c>
      <c r="AU178" s="198">
        <v>0</v>
      </c>
      <c r="AV178" s="198">
        <v>0</v>
      </c>
      <c r="AW178" s="198">
        <v>0</v>
      </c>
      <c r="AX178" s="198">
        <v>0</v>
      </c>
      <c r="AY178" s="198">
        <v>0</v>
      </c>
      <c r="AZ178" s="198">
        <v>0</v>
      </c>
      <c r="BA178" s="198">
        <v>639.70000000000005</v>
      </c>
      <c r="BB178" s="198">
        <v>62.3</v>
      </c>
      <c r="BC178" s="198">
        <v>116.6</v>
      </c>
      <c r="BD178" s="198">
        <v>502.3</v>
      </c>
      <c r="BE178" s="198">
        <v>708.7</v>
      </c>
      <c r="BF178" s="198">
        <v>0</v>
      </c>
      <c r="BG178" s="198">
        <v>0</v>
      </c>
      <c r="BH178" s="198">
        <v>461.8</v>
      </c>
      <c r="BI178" s="198">
        <v>228.5</v>
      </c>
      <c r="BJ178" s="198">
        <v>0</v>
      </c>
      <c r="BK178" s="198">
        <v>0</v>
      </c>
      <c r="BL178" s="198">
        <v>0</v>
      </c>
      <c r="BM178" s="198">
        <v>0</v>
      </c>
      <c r="BN178" s="198">
        <v>0</v>
      </c>
      <c r="BO178" s="198">
        <v>0</v>
      </c>
      <c r="BP178" s="198">
        <v>0</v>
      </c>
      <c r="BQ178" s="198">
        <v>0</v>
      </c>
      <c r="BR178" s="198">
        <v>0</v>
      </c>
      <c r="BS178" s="198">
        <v>0</v>
      </c>
      <c r="BT178" s="198">
        <v>0</v>
      </c>
      <c r="BU178" s="198">
        <v>0</v>
      </c>
      <c r="BV178" s="198">
        <v>0</v>
      </c>
      <c r="BW178" s="198">
        <v>0</v>
      </c>
      <c r="BX178" s="198">
        <v>0</v>
      </c>
      <c r="BY178" s="198">
        <v>0</v>
      </c>
      <c r="BZ178" s="198">
        <v>0</v>
      </c>
      <c r="CA178" s="198">
        <v>0</v>
      </c>
      <c r="CB178" s="198">
        <v>0</v>
      </c>
      <c r="CC178" s="198">
        <v>0</v>
      </c>
      <c r="CD178" s="198">
        <v>0</v>
      </c>
      <c r="CE178" s="198">
        <v>0</v>
      </c>
      <c r="CF178" s="198">
        <v>0</v>
      </c>
      <c r="CG178" s="198">
        <v>0</v>
      </c>
      <c r="CH178" s="198">
        <v>0</v>
      </c>
      <c r="CI178" s="198">
        <v>0</v>
      </c>
      <c r="CJ178" s="198">
        <v>0</v>
      </c>
      <c r="CK178" s="88"/>
    </row>
    <row r="179" spans="1:89" x14ac:dyDescent="0.3">
      <c r="A179" s="173"/>
      <c r="B179" s="204" t="s">
        <v>366</v>
      </c>
      <c r="C179" s="198">
        <v>0</v>
      </c>
      <c r="D179" s="198">
        <v>0</v>
      </c>
      <c r="E179" s="198">
        <v>0</v>
      </c>
      <c r="F179" s="198">
        <v>0</v>
      </c>
      <c r="G179" s="198">
        <v>0</v>
      </c>
      <c r="H179" s="198">
        <v>0</v>
      </c>
      <c r="I179" s="198">
        <v>0</v>
      </c>
      <c r="J179" s="198">
        <v>0</v>
      </c>
      <c r="K179" s="198">
        <v>0</v>
      </c>
      <c r="L179" s="198">
        <v>0</v>
      </c>
      <c r="M179" s="198">
        <v>0</v>
      </c>
      <c r="N179" s="198">
        <v>0</v>
      </c>
      <c r="O179" s="198">
        <v>0</v>
      </c>
      <c r="P179" s="198">
        <v>0</v>
      </c>
      <c r="Q179" s="198">
        <v>0</v>
      </c>
      <c r="R179" s="198">
        <v>0</v>
      </c>
      <c r="S179" s="198">
        <v>0</v>
      </c>
      <c r="T179" s="198">
        <v>0</v>
      </c>
      <c r="U179" s="198">
        <v>0</v>
      </c>
      <c r="V179" s="198">
        <v>0</v>
      </c>
      <c r="W179" s="198">
        <v>0</v>
      </c>
      <c r="X179" s="198">
        <v>0</v>
      </c>
      <c r="Y179" s="198">
        <v>0</v>
      </c>
      <c r="Z179" s="198">
        <v>0</v>
      </c>
      <c r="AA179" s="198">
        <v>0</v>
      </c>
      <c r="AB179" s="198">
        <v>0</v>
      </c>
      <c r="AC179" s="198">
        <v>0</v>
      </c>
      <c r="AD179" s="198">
        <v>0</v>
      </c>
      <c r="AE179" s="198">
        <v>0</v>
      </c>
      <c r="AF179" s="198">
        <v>0</v>
      </c>
      <c r="AG179" s="198">
        <v>0</v>
      </c>
      <c r="AH179" s="198">
        <v>0</v>
      </c>
      <c r="AI179" s="198">
        <v>0</v>
      </c>
      <c r="AJ179" s="198">
        <v>0</v>
      </c>
      <c r="AK179" s="198">
        <v>0</v>
      </c>
      <c r="AL179" s="198">
        <v>0</v>
      </c>
      <c r="AM179" s="198">
        <v>0</v>
      </c>
      <c r="AN179" s="198">
        <v>0</v>
      </c>
      <c r="AO179" s="198">
        <v>0</v>
      </c>
      <c r="AP179" s="198">
        <v>0</v>
      </c>
      <c r="AQ179" s="198">
        <v>0</v>
      </c>
      <c r="AR179" s="198">
        <v>0</v>
      </c>
      <c r="AS179" s="198">
        <v>0</v>
      </c>
      <c r="AT179" s="198">
        <v>0</v>
      </c>
      <c r="AU179" s="198">
        <v>0</v>
      </c>
      <c r="AV179" s="198">
        <v>0</v>
      </c>
      <c r="AW179" s="198">
        <v>0</v>
      </c>
      <c r="AX179" s="198">
        <v>0</v>
      </c>
      <c r="AY179" s="198">
        <v>0</v>
      </c>
      <c r="AZ179" s="198">
        <v>0</v>
      </c>
      <c r="BA179" s="198">
        <v>0</v>
      </c>
      <c r="BB179" s="198">
        <v>0</v>
      </c>
      <c r="BC179" s="198">
        <v>917.9</v>
      </c>
      <c r="BD179" s="198">
        <v>991.6</v>
      </c>
      <c r="BE179" s="198">
        <v>61.6</v>
      </c>
      <c r="BF179" s="198">
        <v>0</v>
      </c>
      <c r="BG179" s="198">
        <v>103.7</v>
      </c>
      <c r="BH179" s="198">
        <v>0</v>
      </c>
      <c r="BI179" s="198">
        <v>0</v>
      </c>
      <c r="BJ179" s="198">
        <v>0</v>
      </c>
      <c r="BK179" s="198">
        <v>0</v>
      </c>
      <c r="BL179" s="198">
        <v>0</v>
      </c>
      <c r="BM179" s="198">
        <v>0</v>
      </c>
      <c r="BN179" s="198">
        <v>0</v>
      </c>
      <c r="BO179" s="198">
        <v>0</v>
      </c>
      <c r="BP179" s="198">
        <v>0</v>
      </c>
      <c r="BQ179" s="198">
        <v>0</v>
      </c>
      <c r="BR179" s="198">
        <v>0</v>
      </c>
      <c r="BS179" s="198">
        <v>0</v>
      </c>
      <c r="BT179" s="198">
        <v>0</v>
      </c>
      <c r="BU179" s="198">
        <v>0</v>
      </c>
      <c r="BV179" s="198">
        <v>0</v>
      </c>
      <c r="BW179" s="198">
        <v>0</v>
      </c>
      <c r="BX179" s="198">
        <v>0</v>
      </c>
      <c r="BY179" s="198">
        <v>0</v>
      </c>
      <c r="BZ179" s="198">
        <v>0</v>
      </c>
      <c r="CA179" s="198">
        <v>0</v>
      </c>
      <c r="CB179" s="198">
        <v>0</v>
      </c>
      <c r="CC179" s="198">
        <v>0</v>
      </c>
      <c r="CD179" s="198">
        <v>0</v>
      </c>
      <c r="CE179" s="198">
        <v>0</v>
      </c>
      <c r="CF179" s="198">
        <v>0</v>
      </c>
      <c r="CG179" s="198">
        <v>0</v>
      </c>
      <c r="CH179" s="198">
        <v>0</v>
      </c>
      <c r="CI179" s="198">
        <v>0</v>
      </c>
      <c r="CJ179" s="198">
        <v>0</v>
      </c>
      <c r="CK179" s="88"/>
    </row>
    <row r="180" spans="1:89" x14ac:dyDescent="0.3">
      <c r="A180" s="173"/>
      <c r="B180" s="204" t="s">
        <v>327</v>
      </c>
      <c r="C180" s="198">
        <v>0</v>
      </c>
      <c r="D180" s="198">
        <v>0</v>
      </c>
      <c r="E180" s="198">
        <v>0</v>
      </c>
      <c r="F180" s="198">
        <v>0</v>
      </c>
      <c r="G180" s="198">
        <v>0</v>
      </c>
      <c r="H180" s="198">
        <v>0</v>
      </c>
      <c r="I180" s="198">
        <v>0</v>
      </c>
      <c r="J180" s="198">
        <v>0</v>
      </c>
      <c r="K180" s="198">
        <v>0</v>
      </c>
      <c r="L180" s="198">
        <v>0</v>
      </c>
      <c r="M180" s="198">
        <v>0</v>
      </c>
      <c r="N180" s="198">
        <v>0</v>
      </c>
      <c r="O180" s="198">
        <v>0</v>
      </c>
      <c r="P180" s="198">
        <v>0</v>
      </c>
      <c r="Q180" s="198">
        <v>0</v>
      </c>
      <c r="R180" s="198">
        <v>0</v>
      </c>
      <c r="S180" s="198">
        <v>0</v>
      </c>
      <c r="T180" s="198">
        <v>0</v>
      </c>
      <c r="U180" s="198">
        <v>0</v>
      </c>
      <c r="V180" s="198">
        <v>0</v>
      </c>
      <c r="W180" s="198">
        <v>0</v>
      </c>
      <c r="X180" s="198">
        <v>0</v>
      </c>
      <c r="Y180" s="198">
        <v>0</v>
      </c>
      <c r="Z180" s="198">
        <v>0</v>
      </c>
      <c r="AA180" s="198">
        <v>0</v>
      </c>
      <c r="AB180" s="198">
        <v>0</v>
      </c>
      <c r="AC180" s="198">
        <v>0</v>
      </c>
      <c r="AD180" s="198">
        <v>0</v>
      </c>
      <c r="AE180" s="198">
        <v>0</v>
      </c>
      <c r="AF180" s="198">
        <v>0</v>
      </c>
      <c r="AG180" s="198">
        <v>0</v>
      </c>
      <c r="AH180" s="198">
        <v>0</v>
      </c>
      <c r="AI180" s="198">
        <v>0</v>
      </c>
      <c r="AJ180" s="198">
        <v>0</v>
      </c>
      <c r="AK180" s="198">
        <v>0</v>
      </c>
      <c r="AL180" s="198">
        <v>0</v>
      </c>
      <c r="AM180" s="198">
        <v>0</v>
      </c>
      <c r="AN180" s="198">
        <v>0</v>
      </c>
      <c r="AO180" s="198">
        <v>0</v>
      </c>
      <c r="AP180" s="198">
        <v>0</v>
      </c>
      <c r="AQ180" s="198">
        <v>0</v>
      </c>
      <c r="AR180" s="198">
        <v>0</v>
      </c>
      <c r="AS180" s="198">
        <v>342.2</v>
      </c>
      <c r="AT180" s="198">
        <v>0</v>
      </c>
      <c r="AU180" s="198">
        <v>0</v>
      </c>
      <c r="AV180" s="198">
        <v>210.6</v>
      </c>
      <c r="AW180" s="198">
        <v>142</v>
      </c>
      <c r="AX180" s="198">
        <v>603.1</v>
      </c>
      <c r="AY180" s="198">
        <v>0</v>
      </c>
      <c r="AZ180" s="198">
        <v>198</v>
      </c>
      <c r="BA180" s="198">
        <v>45.4</v>
      </c>
      <c r="BB180" s="198">
        <v>635.1</v>
      </c>
      <c r="BC180" s="198">
        <v>0</v>
      </c>
      <c r="BD180" s="198">
        <v>0</v>
      </c>
      <c r="BE180" s="198">
        <v>0</v>
      </c>
      <c r="BF180" s="198">
        <v>0</v>
      </c>
      <c r="BG180" s="198">
        <v>0</v>
      </c>
      <c r="BH180" s="198">
        <v>0</v>
      </c>
      <c r="BI180" s="198">
        <v>0</v>
      </c>
      <c r="BJ180" s="198">
        <v>0</v>
      </c>
      <c r="BK180" s="198">
        <v>0</v>
      </c>
      <c r="BL180" s="198">
        <v>0</v>
      </c>
      <c r="BM180" s="198">
        <v>0</v>
      </c>
      <c r="BN180" s="198">
        <v>0</v>
      </c>
      <c r="BO180" s="198">
        <v>0</v>
      </c>
      <c r="BP180" s="198">
        <v>0</v>
      </c>
      <c r="BQ180" s="198">
        <v>0</v>
      </c>
      <c r="BR180" s="198">
        <v>0</v>
      </c>
      <c r="BS180" s="198">
        <v>0</v>
      </c>
      <c r="BT180" s="198">
        <v>0</v>
      </c>
      <c r="BU180" s="198">
        <v>0</v>
      </c>
      <c r="BV180" s="198">
        <v>0</v>
      </c>
      <c r="BW180" s="198">
        <v>0</v>
      </c>
      <c r="BX180" s="198">
        <v>0</v>
      </c>
      <c r="BY180" s="198">
        <v>0</v>
      </c>
      <c r="BZ180" s="198">
        <v>0</v>
      </c>
      <c r="CA180" s="198">
        <v>0</v>
      </c>
      <c r="CB180" s="198">
        <v>0</v>
      </c>
      <c r="CC180" s="198">
        <v>0</v>
      </c>
      <c r="CD180" s="198">
        <v>0</v>
      </c>
      <c r="CE180" s="198">
        <v>0</v>
      </c>
      <c r="CF180" s="198">
        <v>0</v>
      </c>
      <c r="CG180" s="198">
        <v>0</v>
      </c>
      <c r="CH180" s="198">
        <v>0</v>
      </c>
      <c r="CI180" s="198">
        <v>0</v>
      </c>
      <c r="CJ180" s="198">
        <v>0</v>
      </c>
      <c r="CK180" s="88"/>
    </row>
    <row r="181" spans="1:89" x14ac:dyDescent="0.3">
      <c r="A181" s="173"/>
      <c r="B181" s="204" t="s">
        <v>339</v>
      </c>
      <c r="C181" s="198">
        <v>0</v>
      </c>
      <c r="D181" s="198">
        <v>0</v>
      </c>
      <c r="E181" s="198">
        <v>0</v>
      </c>
      <c r="F181" s="198">
        <v>0</v>
      </c>
      <c r="G181" s="198">
        <v>0</v>
      </c>
      <c r="H181" s="198">
        <v>0</v>
      </c>
      <c r="I181" s="198">
        <v>0</v>
      </c>
      <c r="J181" s="198">
        <v>0</v>
      </c>
      <c r="K181" s="198">
        <v>0</v>
      </c>
      <c r="L181" s="198">
        <v>0</v>
      </c>
      <c r="M181" s="198">
        <v>0</v>
      </c>
      <c r="N181" s="198">
        <v>0</v>
      </c>
      <c r="O181" s="198">
        <v>0</v>
      </c>
      <c r="P181" s="198">
        <v>0</v>
      </c>
      <c r="Q181" s="198">
        <v>0</v>
      </c>
      <c r="R181" s="198">
        <v>0</v>
      </c>
      <c r="S181" s="198">
        <v>0</v>
      </c>
      <c r="T181" s="198">
        <v>0</v>
      </c>
      <c r="U181" s="198">
        <v>0</v>
      </c>
      <c r="V181" s="198">
        <v>0</v>
      </c>
      <c r="W181" s="198">
        <v>0</v>
      </c>
      <c r="X181" s="198">
        <v>0</v>
      </c>
      <c r="Y181" s="198">
        <v>0</v>
      </c>
      <c r="Z181" s="198">
        <v>0</v>
      </c>
      <c r="AA181" s="198">
        <v>0</v>
      </c>
      <c r="AB181" s="198">
        <v>0</v>
      </c>
      <c r="AC181" s="198">
        <v>0</v>
      </c>
      <c r="AD181" s="198">
        <v>0</v>
      </c>
      <c r="AE181" s="198">
        <v>0</v>
      </c>
      <c r="AF181" s="198">
        <v>0</v>
      </c>
      <c r="AG181" s="198">
        <v>0</v>
      </c>
      <c r="AH181" s="198">
        <v>0</v>
      </c>
      <c r="AI181" s="198">
        <v>0</v>
      </c>
      <c r="AJ181" s="198">
        <v>0</v>
      </c>
      <c r="AK181" s="198">
        <v>0</v>
      </c>
      <c r="AL181" s="198">
        <v>0</v>
      </c>
      <c r="AM181" s="198">
        <v>0</v>
      </c>
      <c r="AN181" s="198">
        <v>0</v>
      </c>
      <c r="AO181" s="198">
        <v>0</v>
      </c>
      <c r="AP181" s="198">
        <v>0</v>
      </c>
      <c r="AQ181" s="198">
        <v>0</v>
      </c>
      <c r="AR181" s="198">
        <v>0</v>
      </c>
      <c r="AS181" s="198">
        <v>0</v>
      </c>
      <c r="AT181" s="198">
        <v>0</v>
      </c>
      <c r="AU181" s="198">
        <v>0</v>
      </c>
      <c r="AV181" s="198">
        <v>0</v>
      </c>
      <c r="AW181" s="198">
        <v>0</v>
      </c>
      <c r="AX181" s="198">
        <v>83.5</v>
      </c>
      <c r="AY181" s="198">
        <v>28.3</v>
      </c>
      <c r="AZ181" s="198">
        <v>0</v>
      </c>
      <c r="BA181" s="198">
        <v>0</v>
      </c>
      <c r="BB181" s="198">
        <v>0</v>
      </c>
      <c r="BC181" s="198">
        <v>0</v>
      </c>
      <c r="BD181" s="198">
        <v>0</v>
      </c>
      <c r="BE181" s="198">
        <v>0</v>
      </c>
      <c r="BF181" s="198">
        <v>0</v>
      </c>
      <c r="BG181" s="198">
        <v>0</v>
      </c>
      <c r="BH181" s="198">
        <v>0</v>
      </c>
      <c r="BI181" s="198">
        <v>0</v>
      </c>
      <c r="BJ181" s="198">
        <v>0</v>
      </c>
      <c r="BK181" s="198">
        <v>0</v>
      </c>
      <c r="BL181" s="198">
        <v>0</v>
      </c>
      <c r="BM181" s="198">
        <v>0</v>
      </c>
      <c r="BN181" s="198">
        <v>0</v>
      </c>
      <c r="BO181" s="198">
        <v>0</v>
      </c>
      <c r="BP181" s="198">
        <v>0</v>
      </c>
      <c r="BQ181" s="198">
        <v>0</v>
      </c>
      <c r="BR181" s="198">
        <v>0</v>
      </c>
      <c r="BS181" s="198">
        <v>0</v>
      </c>
      <c r="BT181" s="198">
        <v>0</v>
      </c>
      <c r="BU181" s="198">
        <v>0</v>
      </c>
      <c r="BV181" s="198">
        <v>0</v>
      </c>
      <c r="BW181" s="198">
        <v>0</v>
      </c>
      <c r="BX181" s="198">
        <v>0</v>
      </c>
      <c r="BY181" s="198">
        <v>0</v>
      </c>
      <c r="BZ181" s="198">
        <v>0</v>
      </c>
      <c r="CA181" s="198">
        <v>0</v>
      </c>
      <c r="CB181" s="198">
        <v>0</v>
      </c>
      <c r="CC181" s="198">
        <v>0</v>
      </c>
      <c r="CD181" s="198">
        <v>0</v>
      </c>
      <c r="CE181" s="198">
        <v>0</v>
      </c>
      <c r="CF181" s="198">
        <v>0</v>
      </c>
      <c r="CG181" s="198">
        <v>0</v>
      </c>
      <c r="CH181" s="198">
        <v>0</v>
      </c>
      <c r="CI181" s="198">
        <v>0</v>
      </c>
      <c r="CJ181" s="198">
        <v>0</v>
      </c>
      <c r="CK181" s="88"/>
    </row>
    <row r="182" spans="1:89" x14ac:dyDescent="0.3">
      <c r="A182" s="173"/>
      <c r="B182" s="204" t="s">
        <v>391</v>
      </c>
      <c r="C182" s="198">
        <v>0</v>
      </c>
      <c r="D182" s="198">
        <v>0</v>
      </c>
      <c r="E182" s="198">
        <v>0</v>
      </c>
      <c r="F182" s="198">
        <v>0</v>
      </c>
      <c r="G182" s="198">
        <v>0</v>
      </c>
      <c r="H182" s="198">
        <v>0</v>
      </c>
      <c r="I182" s="198">
        <v>0</v>
      </c>
      <c r="J182" s="198">
        <v>0</v>
      </c>
      <c r="K182" s="198">
        <v>0</v>
      </c>
      <c r="L182" s="198">
        <v>0</v>
      </c>
      <c r="M182" s="198">
        <v>0</v>
      </c>
      <c r="N182" s="198">
        <v>0</v>
      </c>
      <c r="O182" s="198">
        <v>0</v>
      </c>
      <c r="P182" s="198">
        <v>0</v>
      </c>
      <c r="Q182" s="198">
        <v>0</v>
      </c>
      <c r="R182" s="198">
        <v>0</v>
      </c>
      <c r="S182" s="198">
        <v>0</v>
      </c>
      <c r="T182" s="198">
        <v>0</v>
      </c>
      <c r="U182" s="198">
        <v>0</v>
      </c>
      <c r="V182" s="198">
        <v>0</v>
      </c>
      <c r="W182" s="198">
        <v>0</v>
      </c>
      <c r="X182" s="198">
        <v>0</v>
      </c>
      <c r="Y182" s="198">
        <v>0</v>
      </c>
      <c r="Z182" s="198">
        <v>0</v>
      </c>
      <c r="AA182" s="198">
        <v>0</v>
      </c>
      <c r="AB182" s="198">
        <v>0</v>
      </c>
      <c r="AC182" s="198">
        <v>0</v>
      </c>
      <c r="AD182" s="198">
        <v>0</v>
      </c>
      <c r="AE182" s="198">
        <v>0</v>
      </c>
      <c r="AF182" s="198">
        <v>0</v>
      </c>
      <c r="AG182" s="198">
        <v>0</v>
      </c>
      <c r="AH182" s="198">
        <v>0</v>
      </c>
      <c r="AI182" s="198">
        <v>0</v>
      </c>
      <c r="AJ182" s="198">
        <v>0</v>
      </c>
      <c r="AK182" s="198">
        <v>0</v>
      </c>
      <c r="AL182" s="198">
        <v>0</v>
      </c>
      <c r="AM182" s="198">
        <v>0</v>
      </c>
      <c r="AN182" s="198">
        <v>0</v>
      </c>
      <c r="AO182" s="198">
        <v>0</v>
      </c>
      <c r="AP182" s="198">
        <v>0</v>
      </c>
      <c r="AQ182" s="198">
        <v>0</v>
      </c>
      <c r="AR182" s="198">
        <v>0</v>
      </c>
      <c r="AS182" s="198">
        <v>0</v>
      </c>
      <c r="AT182" s="198">
        <v>0</v>
      </c>
      <c r="AU182" s="198">
        <v>0</v>
      </c>
      <c r="AV182" s="198">
        <v>0</v>
      </c>
      <c r="AW182" s="198">
        <v>0</v>
      </c>
      <c r="AX182" s="198">
        <v>0</v>
      </c>
      <c r="AY182" s="198">
        <v>0</v>
      </c>
      <c r="AZ182" s="198">
        <v>0</v>
      </c>
      <c r="BA182" s="198">
        <v>0</v>
      </c>
      <c r="BB182" s="198">
        <v>0</v>
      </c>
      <c r="BC182" s="198">
        <v>0</v>
      </c>
      <c r="BD182" s="198">
        <v>0</v>
      </c>
      <c r="BE182" s="198">
        <v>0</v>
      </c>
      <c r="BF182" s="198">
        <v>0</v>
      </c>
      <c r="BG182" s="198">
        <v>0</v>
      </c>
      <c r="BH182" s="198">
        <v>0</v>
      </c>
      <c r="BI182" s="198">
        <v>0</v>
      </c>
      <c r="BJ182" s="198">
        <v>0</v>
      </c>
      <c r="BK182" s="198">
        <v>0</v>
      </c>
      <c r="BL182" s="198">
        <v>0</v>
      </c>
      <c r="BM182" s="198">
        <v>0</v>
      </c>
      <c r="BN182" s="198">
        <v>0</v>
      </c>
      <c r="BO182" s="198">
        <v>0</v>
      </c>
      <c r="BP182" s="198">
        <v>0</v>
      </c>
      <c r="BQ182" s="198">
        <v>369.9</v>
      </c>
      <c r="BR182" s="198">
        <v>0</v>
      </c>
      <c r="BS182" s="198">
        <v>0</v>
      </c>
      <c r="BT182" s="198">
        <v>157.1</v>
      </c>
      <c r="BU182" s="198">
        <v>0</v>
      </c>
      <c r="BV182" s="198">
        <v>0</v>
      </c>
      <c r="BW182" s="198">
        <v>0</v>
      </c>
      <c r="BX182" s="198">
        <v>0</v>
      </c>
      <c r="BY182" s="198">
        <v>0</v>
      </c>
      <c r="BZ182" s="198">
        <v>0</v>
      </c>
      <c r="CA182" s="198">
        <v>0</v>
      </c>
      <c r="CB182" s="198">
        <v>0</v>
      </c>
      <c r="CC182" s="198">
        <v>42.1</v>
      </c>
      <c r="CD182" s="198">
        <v>0</v>
      </c>
      <c r="CE182" s="198">
        <v>485.1</v>
      </c>
      <c r="CF182" s="386">
        <v>1457.1</v>
      </c>
      <c r="CG182" s="386">
        <v>0</v>
      </c>
      <c r="CH182" s="198">
        <v>0</v>
      </c>
      <c r="CI182" s="198">
        <v>0</v>
      </c>
      <c r="CJ182" s="198">
        <v>0</v>
      </c>
      <c r="CK182" s="88"/>
    </row>
    <row r="183" spans="1:89" x14ac:dyDescent="0.3">
      <c r="A183" s="173"/>
      <c r="B183" s="204" t="s">
        <v>392</v>
      </c>
      <c r="C183" s="198">
        <v>0</v>
      </c>
      <c r="D183" s="198">
        <v>0</v>
      </c>
      <c r="E183" s="198">
        <v>0</v>
      </c>
      <c r="F183" s="198">
        <v>0</v>
      </c>
      <c r="G183" s="198">
        <v>0</v>
      </c>
      <c r="H183" s="198">
        <v>0</v>
      </c>
      <c r="I183" s="198">
        <v>0</v>
      </c>
      <c r="J183" s="198">
        <v>0</v>
      </c>
      <c r="K183" s="198">
        <v>0</v>
      </c>
      <c r="L183" s="198">
        <v>0</v>
      </c>
      <c r="M183" s="198">
        <v>0</v>
      </c>
      <c r="N183" s="198">
        <v>0</v>
      </c>
      <c r="O183" s="198">
        <v>0</v>
      </c>
      <c r="P183" s="198">
        <v>0</v>
      </c>
      <c r="Q183" s="198">
        <v>0</v>
      </c>
      <c r="R183" s="198">
        <v>0</v>
      </c>
      <c r="S183" s="198">
        <v>0</v>
      </c>
      <c r="T183" s="198">
        <v>0</v>
      </c>
      <c r="U183" s="198">
        <v>0</v>
      </c>
      <c r="V183" s="198">
        <v>0</v>
      </c>
      <c r="W183" s="198">
        <v>0</v>
      </c>
      <c r="X183" s="198">
        <v>0</v>
      </c>
      <c r="Y183" s="198">
        <v>0</v>
      </c>
      <c r="Z183" s="198">
        <v>0</v>
      </c>
      <c r="AA183" s="198">
        <v>0</v>
      </c>
      <c r="AB183" s="198">
        <v>0</v>
      </c>
      <c r="AC183" s="198">
        <v>0</v>
      </c>
      <c r="AD183" s="198">
        <v>0</v>
      </c>
      <c r="AE183" s="198">
        <v>0</v>
      </c>
      <c r="AF183" s="198">
        <v>0</v>
      </c>
      <c r="AG183" s="198">
        <v>0</v>
      </c>
      <c r="AH183" s="198">
        <v>0</v>
      </c>
      <c r="AI183" s="198">
        <v>0</v>
      </c>
      <c r="AJ183" s="198">
        <v>0</v>
      </c>
      <c r="AK183" s="198">
        <v>0</v>
      </c>
      <c r="AL183" s="198">
        <v>0</v>
      </c>
      <c r="AM183" s="198">
        <v>0</v>
      </c>
      <c r="AN183" s="198">
        <v>0</v>
      </c>
      <c r="AO183" s="198">
        <v>0</v>
      </c>
      <c r="AP183" s="198">
        <v>0</v>
      </c>
      <c r="AQ183" s="198">
        <v>0</v>
      </c>
      <c r="AR183" s="198">
        <v>0</v>
      </c>
      <c r="AS183" s="198">
        <v>0</v>
      </c>
      <c r="AT183" s="198">
        <v>0</v>
      </c>
      <c r="AU183" s="198">
        <v>0</v>
      </c>
      <c r="AV183" s="198">
        <v>0</v>
      </c>
      <c r="AW183" s="198">
        <v>0</v>
      </c>
      <c r="AX183" s="198">
        <v>0</v>
      </c>
      <c r="AY183" s="198">
        <v>0</v>
      </c>
      <c r="AZ183" s="198">
        <v>0</v>
      </c>
      <c r="BA183" s="198">
        <v>0</v>
      </c>
      <c r="BB183" s="198">
        <v>0</v>
      </c>
      <c r="BC183" s="198">
        <v>0</v>
      </c>
      <c r="BD183" s="198">
        <v>0</v>
      </c>
      <c r="BE183" s="198">
        <v>0</v>
      </c>
      <c r="BF183" s="198">
        <v>0</v>
      </c>
      <c r="BG183" s="198">
        <v>0</v>
      </c>
      <c r="BH183" s="198">
        <v>0</v>
      </c>
      <c r="BI183" s="198">
        <v>0</v>
      </c>
      <c r="BJ183" s="198">
        <v>0</v>
      </c>
      <c r="BK183" s="198">
        <v>0</v>
      </c>
      <c r="BL183" s="198">
        <v>0</v>
      </c>
      <c r="BM183" s="198">
        <v>0</v>
      </c>
      <c r="BN183" s="198">
        <v>0</v>
      </c>
      <c r="BO183" s="198">
        <v>0</v>
      </c>
      <c r="BP183" s="198">
        <v>0</v>
      </c>
      <c r="BQ183" s="198">
        <v>448.5</v>
      </c>
      <c r="BR183" s="198">
        <v>0</v>
      </c>
      <c r="BS183" s="198">
        <v>0</v>
      </c>
      <c r="BT183" s="198">
        <v>0</v>
      </c>
      <c r="BU183" s="198">
        <v>0</v>
      </c>
      <c r="BV183" s="198">
        <v>0</v>
      </c>
      <c r="BW183" s="198">
        <v>0</v>
      </c>
      <c r="BX183" s="198">
        <v>0</v>
      </c>
      <c r="BY183" s="198">
        <v>0</v>
      </c>
      <c r="BZ183" s="198">
        <v>0</v>
      </c>
      <c r="CA183" s="198">
        <v>0</v>
      </c>
      <c r="CB183" s="198">
        <v>0</v>
      </c>
      <c r="CC183" s="198">
        <v>0</v>
      </c>
      <c r="CD183" s="198">
        <v>0</v>
      </c>
      <c r="CE183" s="198">
        <v>0</v>
      </c>
      <c r="CF183" s="386">
        <v>1457.1</v>
      </c>
      <c r="CG183" s="386">
        <v>0</v>
      </c>
      <c r="CH183" s="198">
        <v>0</v>
      </c>
      <c r="CI183" s="198">
        <v>22.1</v>
      </c>
      <c r="CJ183" s="198">
        <v>0</v>
      </c>
      <c r="CK183" s="88"/>
    </row>
    <row r="184" spans="1:89" x14ac:dyDescent="0.3">
      <c r="A184" s="173"/>
      <c r="B184" s="204" t="s">
        <v>419</v>
      </c>
      <c r="C184" s="198">
        <v>0</v>
      </c>
      <c r="D184" s="198">
        <v>0</v>
      </c>
      <c r="E184" s="198">
        <v>0</v>
      </c>
      <c r="F184" s="198">
        <v>0</v>
      </c>
      <c r="G184" s="198">
        <v>0</v>
      </c>
      <c r="H184" s="198">
        <v>0</v>
      </c>
      <c r="I184" s="198">
        <v>0</v>
      </c>
      <c r="J184" s="198">
        <v>0</v>
      </c>
      <c r="K184" s="198">
        <v>0</v>
      </c>
      <c r="L184" s="198">
        <v>0</v>
      </c>
      <c r="M184" s="198">
        <v>0</v>
      </c>
      <c r="N184" s="198">
        <v>0</v>
      </c>
      <c r="O184" s="198">
        <v>0</v>
      </c>
      <c r="P184" s="198">
        <v>0</v>
      </c>
      <c r="Q184" s="198">
        <v>0</v>
      </c>
      <c r="R184" s="198">
        <v>0</v>
      </c>
      <c r="S184" s="198">
        <v>0</v>
      </c>
      <c r="T184" s="198">
        <v>0</v>
      </c>
      <c r="U184" s="198">
        <v>0</v>
      </c>
      <c r="V184" s="198">
        <v>0</v>
      </c>
      <c r="W184" s="198">
        <v>0</v>
      </c>
      <c r="X184" s="198">
        <v>0</v>
      </c>
      <c r="Y184" s="198">
        <v>0</v>
      </c>
      <c r="Z184" s="198">
        <v>0</v>
      </c>
      <c r="AA184" s="198">
        <v>0</v>
      </c>
      <c r="AB184" s="198">
        <v>0</v>
      </c>
      <c r="AC184" s="198">
        <v>0</v>
      </c>
      <c r="AD184" s="198">
        <v>0</v>
      </c>
      <c r="AE184" s="198">
        <v>0</v>
      </c>
      <c r="AF184" s="198">
        <v>0</v>
      </c>
      <c r="AG184" s="198">
        <v>0</v>
      </c>
      <c r="AH184" s="198">
        <v>0</v>
      </c>
      <c r="AI184" s="198">
        <v>0</v>
      </c>
      <c r="AJ184" s="198">
        <v>0</v>
      </c>
      <c r="AK184" s="198">
        <v>0</v>
      </c>
      <c r="AL184" s="198">
        <v>0</v>
      </c>
      <c r="AM184" s="198">
        <v>0</v>
      </c>
      <c r="AN184" s="198">
        <v>0</v>
      </c>
      <c r="AO184" s="198">
        <v>0</v>
      </c>
      <c r="AP184" s="198">
        <v>0</v>
      </c>
      <c r="AQ184" s="198">
        <v>0</v>
      </c>
      <c r="AR184" s="198">
        <v>0</v>
      </c>
      <c r="AS184" s="198">
        <v>0</v>
      </c>
      <c r="AT184" s="198">
        <v>0</v>
      </c>
      <c r="AU184" s="198">
        <v>0</v>
      </c>
      <c r="AV184" s="198">
        <v>0</v>
      </c>
      <c r="AW184" s="198">
        <v>0</v>
      </c>
      <c r="AX184" s="198">
        <v>0</v>
      </c>
      <c r="AY184" s="198">
        <v>0</v>
      </c>
      <c r="AZ184" s="198">
        <v>0</v>
      </c>
      <c r="BA184" s="198">
        <v>0</v>
      </c>
      <c r="BB184" s="198">
        <v>0</v>
      </c>
      <c r="BC184" s="198">
        <v>0</v>
      </c>
      <c r="BD184" s="198">
        <v>0</v>
      </c>
      <c r="BE184" s="198">
        <v>0</v>
      </c>
      <c r="BF184" s="198">
        <v>0</v>
      </c>
      <c r="BG184" s="198">
        <v>0</v>
      </c>
      <c r="BH184" s="198">
        <v>0</v>
      </c>
      <c r="BI184" s="198">
        <v>0</v>
      </c>
      <c r="BJ184" s="198">
        <v>0</v>
      </c>
      <c r="BK184" s="198">
        <v>0</v>
      </c>
      <c r="BL184" s="198">
        <v>0</v>
      </c>
      <c r="BM184" s="198">
        <v>0</v>
      </c>
      <c r="BN184" s="198">
        <v>0</v>
      </c>
      <c r="BO184" s="198">
        <v>0</v>
      </c>
      <c r="BP184" s="198">
        <v>0</v>
      </c>
      <c r="BQ184" s="198">
        <v>0</v>
      </c>
      <c r="BR184" s="198">
        <v>0</v>
      </c>
      <c r="BS184" s="198">
        <v>0</v>
      </c>
      <c r="BT184" s="198">
        <v>0</v>
      </c>
      <c r="BU184" s="198">
        <v>0</v>
      </c>
      <c r="BV184" s="198">
        <v>0</v>
      </c>
      <c r="BW184" s="198">
        <v>0</v>
      </c>
      <c r="BX184" s="198">
        <v>0</v>
      </c>
      <c r="BY184" s="198">
        <v>0</v>
      </c>
      <c r="BZ184" s="198">
        <v>0</v>
      </c>
      <c r="CA184" s="198">
        <v>0</v>
      </c>
      <c r="CB184" s="198">
        <v>0</v>
      </c>
      <c r="CC184" s="198">
        <v>0</v>
      </c>
      <c r="CD184" s="198">
        <v>0</v>
      </c>
      <c r="CE184" s="198">
        <v>0</v>
      </c>
      <c r="CF184" s="386">
        <v>0</v>
      </c>
      <c r="CG184" s="386">
        <v>0</v>
      </c>
      <c r="CH184" s="198">
        <v>1000</v>
      </c>
      <c r="CI184" s="198">
        <v>0</v>
      </c>
      <c r="CJ184" s="198">
        <v>0</v>
      </c>
      <c r="CK184" s="88"/>
    </row>
    <row r="185" spans="1:89" x14ac:dyDescent="0.3">
      <c r="A185" s="173"/>
      <c r="B185" s="204" t="s">
        <v>431</v>
      </c>
      <c r="C185" s="198">
        <v>0</v>
      </c>
      <c r="D185" s="198">
        <v>0</v>
      </c>
      <c r="E185" s="198">
        <v>0</v>
      </c>
      <c r="F185" s="198">
        <v>0</v>
      </c>
      <c r="G185" s="198">
        <v>0</v>
      </c>
      <c r="H185" s="198">
        <v>0</v>
      </c>
      <c r="I185" s="198">
        <v>0</v>
      </c>
      <c r="J185" s="198">
        <v>0</v>
      </c>
      <c r="K185" s="198">
        <v>0</v>
      </c>
      <c r="L185" s="198">
        <v>0</v>
      </c>
      <c r="M185" s="198">
        <v>0</v>
      </c>
      <c r="N185" s="198">
        <v>0</v>
      </c>
      <c r="O185" s="198">
        <v>0</v>
      </c>
      <c r="P185" s="198">
        <v>0</v>
      </c>
      <c r="Q185" s="198">
        <v>0</v>
      </c>
      <c r="R185" s="198">
        <v>0</v>
      </c>
      <c r="S185" s="198">
        <v>0</v>
      </c>
      <c r="T185" s="198">
        <v>0</v>
      </c>
      <c r="U185" s="198">
        <v>0</v>
      </c>
      <c r="V185" s="198">
        <v>0</v>
      </c>
      <c r="W185" s="198">
        <v>0</v>
      </c>
      <c r="X185" s="198">
        <v>0</v>
      </c>
      <c r="Y185" s="198">
        <v>0</v>
      </c>
      <c r="Z185" s="198">
        <v>0</v>
      </c>
      <c r="AA185" s="198">
        <v>0</v>
      </c>
      <c r="AB185" s="198">
        <v>0</v>
      </c>
      <c r="AC185" s="198">
        <v>0</v>
      </c>
      <c r="AD185" s="198">
        <v>0</v>
      </c>
      <c r="AE185" s="198">
        <v>0</v>
      </c>
      <c r="AF185" s="198">
        <v>0</v>
      </c>
      <c r="AG185" s="198">
        <v>0</v>
      </c>
      <c r="AH185" s="198">
        <v>0</v>
      </c>
      <c r="AI185" s="198">
        <v>0</v>
      </c>
      <c r="AJ185" s="198">
        <v>0</v>
      </c>
      <c r="AK185" s="198">
        <v>0</v>
      </c>
      <c r="AL185" s="198">
        <v>0</v>
      </c>
      <c r="AM185" s="198">
        <v>0</v>
      </c>
      <c r="AN185" s="198">
        <v>0</v>
      </c>
      <c r="AO185" s="198">
        <v>0</v>
      </c>
      <c r="AP185" s="198">
        <v>0</v>
      </c>
      <c r="AQ185" s="198">
        <v>0</v>
      </c>
      <c r="AR185" s="198">
        <v>0</v>
      </c>
      <c r="AS185" s="198">
        <v>0</v>
      </c>
      <c r="AT185" s="198">
        <v>0</v>
      </c>
      <c r="AU185" s="198">
        <v>0</v>
      </c>
      <c r="AV185" s="198">
        <v>0</v>
      </c>
      <c r="AW185" s="198">
        <v>0</v>
      </c>
      <c r="AX185" s="198">
        <v>0</v>
      </c>
      <c r="AY185" s="198">
        <v>0</v>
      </c>
      <c r="AZ185" s="198">
        <v>0</v>
      </c>
      <c r="BA185" s="198">
        <v>0</v>
      </c>
      <c r="BB185" s="198">
        <v>0</v>
      </c>
      <c r="BC185" s="198">
        <v>0</v>
      </c>
      <c r="BD185" s="198">
        <v>0</v>
      </c>
      <c r="BE185" s="198">
        <v>0</v>
      </c>
      <c r="BF185" s="198">
        <v>0</v>
      </c>
      <c r="BG185" s="198">
        <v>0</v>
      </c>
      <c r="BH185" s="198">
        <v>0</v>
      </c>
      <c r="BI185" s="198">
        <v>0</v>
      </c>
      <c r="BJ185" s="198">
        <v>0</v>
      </c>
      <c r="BK185" s="198">
        <v>0</v>
      </c>
      <c r="BL185" s="198">
        <v>0</v>
      </c>
      <c r="BM185" s="198">
        <v>0</v>
      </c>
      <c r="BN185" s="198">
        <v>0</v>
      </c>
      <c r="BO185" s="198">
        <v>0</v>
      </c>
      <c r="BP185" s="198">
        <v>0</v>
      </c>
      <c r="BQ185" s="198">
        <v>0</v>
      </c>
      <c r="BR185" s="198">
        <v>0</v>
      </c>
      <c r="BS185" s="198">
        <v>0</v>
      </c>
      <c r="BT185" s="198">
        <v>0</v>
      </c>
      <c r="BU185" s="198">
        <v>0</v>
      </c>
      <c r="BV185" s="198">
        <v>0</v>
      </c>
      <c r="BW185" s="198">
        <v>0</v>
      </c>
      <c r="BX185" s="198">
        <v>0</v>
      </c>
      <c r="BY185" s="198">
        <v>0</v>
      </c>
      <c r="BZ185" s="198">
        <v>0</v>
      </c>
      <c r="CA185" s="198">
        <v>0</v>
      </c>
      <c r="CB185" s="198">
        <v>0</v>
      </c>
      <c r="CC185" s="198">
        <v>0</v>
      </c>
      <c r="CD185" s="198">
        <v>0</v>
      </c>
      <c r="CE185" s="198">
        <v>0</v>
      </c>
      <c r="CF185" s="386">
        <v>0</v>
      </c>
      <c r="CG185" s="386">
        <v>0</v>
      </c>
      <c r="CH185" s="198">
        <v>0</v>
      </c>
      <c r="CI185" s="198">
        <v>0</v>
      </c>
      <c r="CJ185" s="198">
        <v>118.4</v>
      </c>
      <c r="CK185" s="88"/>
    </row>
    <row r="186" spans="1:89" x14ac:dyDescent="0.3">
      <c r="A186" s="173"/>
      <c r="B186" s="204" t="s">
        <v>152</v>
      </c>
      <c r="C186" s="200">
        <v>0</v>
      </c>
      <c r="D186" s="200">
        <v>0</v>
      </c>
      <c r="E186" s="200">
        <v>0</v>
      </c>
      <c r="F186" s="200">
        <v>0</v>
      </c>
      <c r="G186" s="198">
        <v>0</v>
      </c>
      <c r="H186" s="198">
        <v>846.4</v>
      </c>
      <c r="I186" s="198">
        <v>0</v>
      </c>
      <c r="J186" s="198">
        <v>0</v>
      </c>
      <c r="K186" s="198">
        <v>0</v>
      </c>
      <c r="L186" s="198">
        <v>0</v>
      </c>
      <c r="M186" s="198">
        <v>0</v>
      </c>
      <c r="N186" s="198">
        <v>0</v>
      </c>
      <c r="O186" s="198">
        <v>0</v>
      </c>
      <c r="P186" s="198">
        <v>0</v>
      </c>
      <c r="Q186" s="198">
        <v>0</v>
      </c>
      <c r="R186" s="198">
        <v>0</v>
      </c>
      <c r="S186" s="198">
        <v>0</v>
      </c>
      <c r="T186" s="198">
        <v>0</v>
      </c>
      <c r="U186" s="198">
        <v>0</v>
      </c>
      <c r="V186" s="198">
        <v>0</v>
      </c>
      <c r="W186" s="198">
        <v>0</v>
      </c>
      <c r="X186" s="198">
        <v>0</v>
      </c>
      <c r="Y186" s="198">
        <v>0</v>
      </c>
      <c r="Z186" s="198">
        <v>0</v>
      </c>
      <c r="AA186" s="198">
        <v>0</v>
      </c>
      <c r="AB186" s="198">
        <v>0</v>
      </c>
      <c r="AC186" s="198">
        <v>0</v>
      </c>
      <c r="AD186" s="198">
        <v>0</v>
      </c>
      <c r="AE186" s="198">
        <v>0</v>
      </c>
      <c r="AF186" s="198">
        <v>0</v>
      </c>
      <c r="AG186" s="198">
        <v>0</v>
      </c>
      <c r="AH186" s="198">
        <v>0</v>
      </c>
      <c r="AI186" s="198">
        <v>0</v>
      </c>
      <c r="AJ186" s="198">
        <v>0</v>
      </c>
      <c r="AK186" s="198">
        <v>0</v>
      </c>
      <c r="AL186" s="198">
        <v>0</v>
      </c>
      <c r="AM186" s="198">
        <v>0</v>
      </c>
      <c r="AN186" s="198">
        <v>0</v>
      </c>
      <c r="AO186" s="198">
        <v>0</v>
      </c>
      <c r="AP186" s="198">
        <v>0</v>
      </c>
      <c r="AQ186" s="198">
        <v>0</v>
      </c>
      <c r="AR186" s="198">
        <v>0</v>
      </c>
      <c r="AS186" s="198">
        <v>0</v>
      </c>
      <c r="AT186" s="198">
        <v>0</v>
      </c>
      <c r="AU186" s="198">
        <v>0</v>
      </c>
      <c r="AV186" s="198">
        <v>0</v>
      </c>
      <c r="AW186" s="198">
        <v>0</v>
      </c>
      <c r="AX186" s="198">
        <v>0</v>
      </c>
      <c r="AY186" s="198">
        <v>0</v>
      </c>
      <c r="AZ186" s="198">
        <v>0</v>
      </c>
      <c r="BA186" s="198">
        <v>0</v>
      </c>
      <c r="BB186" s="198">
        <v>0</v>
      </c>
      <c r="BC186" s="198">
        <v>0</v>
      </c>
      <c r="BD186" s="198">
        <v>0</v>
      </c>
      <c r="BE186" s="198">
        <v>0</v>
      </c>
      <c r="BF186" s="198">
        <v>0</v>
      </c>
      <c r="BG186" s="198">
        <v>0</v>
      </c>
      <c r="BH186" s="198">
        <v>0</v>
      </c>
      <c r="BI186" s="198">
        <v>0</v>
      </c>
      <c r="BJ186" s="198">
        <v>0</v>
      </c>
      <c r="BK186" s="198">
        <v>0</v>
      </c>
      <c r="BL186" s="198">
        <v>0</v>
      </c>
      <c r="BM186" s="198">
        <v>0</v>
      </c>
      <c r="BN186" s="198">
        <v>0</v>
      </c>
      <c r="BO186" s="198">
        <v>0</v>
      </c>
      <c r="BP186" s="198">
        <v>0</v>
      </c>
      <c r="BQ186" s="198">
        <v>0</v>
      </c>
      <c r="BR186" s="198">
        <v>0</v>
      </c>
      <c r="BS186" s="198">
        <v>0</v>
      </c>
      <c r="BT186" s="198">
        <v>0</v>
      </c>
      <c r="BU186" s="198">
        <v>0</v>
      </c>
      <c r="BV186" s="198">
        <v>0</v>
      </c>
      <c r="BW186" s="198">
        <v>0</v>
      </c>
      <c r="BX186" s="198">
        <v>0</v>
      </c>
      <c r="BY186" s="198">
        <v>0</v>
      </c>
      <c r="BZ186" s="198">
        <v>0</v>
      </c>
      <c r="CA186" s="198">
        <v>0</v>
      </c>
      <c r="CB186" s="198">
        <v>0</v>
      </c>
      <c r="CC186" s="198">
        <v>0</v>
      </c>
      <c r="CD186" s="198">
        <v>0</v>
      </c>
      <c r="CE186" s="198">
        <v>0</v>
      </c>
      <c r="CF186" s="198">
        <v>0</v>
      </c>
      <c r="CG186" s="198">
        <v>0</v>
      </c>
      <c r="CH186" s="198">
        <v>0</v>
      </c>
      <c r="CI186" s="198">
        <v>0</v>
      </c>
      <c r="CJ186" s="198">
        <v>0</v>
      </c>
      <c r="CK186" s="88"/>
    </row>
    <row r="187" spans="1:89" x14ac:dyDescent="0.3">
      <c r="A187" s="173"/>
      <c r="B187" s="204" t="s">
        <v>19</v>
      </c>
      <c r="C187" s="198">
        <v>0</v>
      </c>
      <c r="D187" s="198">
        <v>0</v>
      </c>
      <c r="E187" s="198">
        <v>0</v>
      </c>
      <c r="F187" s="198">
        <v>129.9</v>
      </c>
      <c r="G187" s="198">
        <v>0</v>
      </c>
      <c r="H187" s="198">
        <v>0</v>
      </c>
      <c r="I187" s="198">
        <v>0</v>
      </c>
      <c r="J187" s="198">
        <v>0</v>
      </c>
      <c r="K187" s="198">
        <v>0</v>
      </c>
      <c r="L187" s="198">
        <v>0</v>
      </c>
      <c r="M187" s="198">
        <v>0</v>
      </c>
      <c r="N187" s="198">
        <v>0</v>
      </c>
      <c r="O187" s="198">
        <v>0</v>
      </c>
      <c r="P187" s="198">
        <v>0</v>
      </c>
      <c r="Q187" s="198">
        <v>0</v>
      </c>
      <c r="R187" s="198">
        <v>0</v>
      </c>
      <c r="S187" s="198">
        <v>0</v>
      </c>
      <c r="T187" s="198">
        <v>0</v>
      </c>
      <c r="U187" s="198">
        <v>0</v>
      </c>
      <c r="V187" s="198">
        <v>0</v>
      </c>
      <c r="W187" s="198">
        <v>0</v>
      </c>
      <c r="X187" s="198">
        <v>0</v>
      </c>
      <c r="Y187" s="198">
        <v>0</v>
      </c>
      <c r="Z187" s="198">
        <v>0</v>
      </c>
      <c r="AA187" s="198">
        <v>0</v>
      </c>
      <c r="AB187" s="198">
        <v>0</v>
      </c>
      <c r="AC187" s="198">
        <v>0</v>
      </c>
      <c r="AD187" s="198">
        <v>0</v>
      </c>
      <c r="AE187" s="198">
        <v>0</v>
      </c>
      <c r="AF187" s="198">
        <v>0</v>
      </c>
      <c r="AG187" s="198">
        <v>0</v>
      </c>
      <c r="AH187" s="198">
        <v>0</v>
      </c>
      <c r="AI187" s="198">
        <v>0</v>
      </c>
      <c r="AJ187" s="198">
        <v>0</v>
      </c>
      <c r="AK187" s="198">
        <v>0</v>
      </c>
      <c r="AL187" s="198">
        <v>0</v>
      </c>
      <c r="AM187" s="198">
        <v>0</v>
      </c>
      <c r="AN187" s="198">
        <v>0</v>
      </c>
      <c r="AO187" s="198">
        <v>0</v>
      </c>
      <c r="AP187" s="198">
        <v>0</v>
      </c>
      <c r="AQ187" s="198">
        <v>0</v>
      </c>
      <c r="AR187" s="198">
        <v>0</v>
      </c>
      <c r="AS187" s="198">
        <v>0</v>
      </c>
      <c r="AT187" s="198">
        <v>0</v>
      </c>
      <c r="AU187" s="198">
        <v>0</v>
      </c>
      <c r="AV187" s="198">
        <v>0</v>
      </c>
      <c r="AW187" s="198">
        <v>0</v>
      </c>
      <c r="AX187" s="198">
        <v>0</v>
      </c>
      <c r="AY187" s="198">
        <v>0</v>
      </c>
      <c r="AZ187" s="198">
        <v>0</v>
      </c>
      <c r="BA187" s="198">
        <v>0</v>
      </c>
      <c r="BB187" s="198">
        <v>0</v>
      </c>
      <c r="BC187" s="198">
        <v>0</v>
      </c>
      <c r="BD187" s="198">
        <v>0</v>
      </c>
      <c r="BE187" s="198">
        <v>0</v>
      </c>
      <c r="BF187" s="198">
        <v>0</v>
      </c>
      <c r="BG187" s="198">
        <v>0</v>
      </c>
      <c r="BH187" s="198">
        <v>0</v>
      </c>
      <c r="BI187" s="198">
        <v>0</v>
      </c>
      <c r="BJ187" s="198">
        <v>0</v>
      </c>
      <c r="BK187" s="198">
        <v>0</v>
      </c>
      <c r="BL187" s="198">
        <v>0</v>
      </c>
      <c r="BM187" s="198">
        <v>0</v>
      </c>
      <c r="BN187" s="198">
        <v>0</v>
      </c>
      <c r="BO187" s="198">
        <v>0</v>
      </c>
      <c r="BP187" s="198">
        <v>0</v>
      </c>
      <c r="BQ187" s="198">
        <v>0</v>
      </c>
      <c r="BR187" s="198">
        <v>0</v>
      </c>
      <c r="BS187" s="198">
        <v>0</v>
      </c>
      <c r="BT187" s="198">
        <v>0</v>
      </c>
      <c r="BU187" s="198">
        <v>0</v>
      </c>
      <c r="BV187" s="198">
        <v>0</v>
      </c>
      <c r="BW187" s="198">
        <v>0</v>
      </c>
      <c r="BX187" s="198">
        <v>0</v>
      </c>
      <c r="BY187" s="198">
        <v>0</v>
      </c>
      <c r="BZ187" s="198">
        <v>0</v>
      </c>
      <c r="CA187" s="198">
        <v>0</v>
      </c>
      <c r="CB187" s="198">
        <v>0</v>
      </c>
      <c r="CC187" s="198">
        <v>0</v>
      </c>
      <c r="CD187" s="198">
        <v>0</v>
      </c>
      <c r="CE187" s="198">
        <v>0</v>
      </c>
      <c r="CF187" s="198">
        <v>0</v>
      </c>
      <c r="CG187" s="198">
        <v>0</v>
      </c>
      <c r="CH187" s="198">
        <v>0</v>
      </c>
      <c r="CI187" s="198">
        <v>0</v>
      </c>
      <c r="CJ187" s="198">
        <v>0</v>
      </c>
      <c r="CK187" s="88"/>
    </row>
    <row r="188" spans="1:89" x14ac:dyDescent="0.3">
      <c r="A188" s="173"/>
      <c r="B188" s="204" t="s">
        <v>390</v>
      </c>
      <c r="C188" s="198">
        <v>0</v>
      </c>
      <c r="D188" s="198">
        <v>0</v>
      </c>
      <c r="E188" s="198">
        <v>0</v>
      </c>
      <c r="F188" s="198">
        <v>0</v>
      </c>
      <c r="G188" s="198">
        <v>0</v>
      </c>
      <c r="H188" s="198">
        <v>0</v>
      </c>
      <c r="I188" s="198">
        <v>0</v>
      </c>
      <c r="J188" s="198">
        <v>0</v>
      </c>
      <c r="K188" s="198">
        <v>0</v>
      </c>
      <c r="L188" s="198">
        <v>0</v>
      </c>
      <c r="M188" s="198">
        <v>0</v>
      </c>
      <c r="N188" s="198">
        <v>0</v>
      </c>
      <c r="O188" s="198">
        <v>0</v>
      </c>
      <c r="P188" s="198">
        <v>0</v>
      </c>
      <c r="Q188" s="198">
        <v>0</v>
      </c>
      <c r="R188" s="198">
        <v>0</v>
      </c>
      <c r="S188" s="198">
        <v>0</v>
      </c>
      <c r="T188" s="198">
        <v>0</v>
      </c>
      <c r="U188" s="198">
        <v>0</v>
      </c>
      <c r="V188" s="198">
        <v>0</v>
      </c>
      <c r="W188" s="198">
        <v>0</v>
      </c>
      <c r="X188" s="198">
        <v>0</v>
      </c>
      <c r="Y188" s="198">
        <v>0</v>
      </c>
      <c r="Z188" s="198">
        <v>0</v>
      </c>
      <c r="AA188" s="198">
        <v>0</v>
      </c>
      <c r="AB188" s="198">
        <v>0</v>
      </c>
      <c r="AC188" s="198">
        <v>0</v>
      </c>
      <c r="AD188" s="198">
        <v>0</v>
      </c>
      <c r="AE188" s="198">
        <v>0</v>
      </c>
      <c r="AF188" s="198">
        <v>0</v>
      </c>
      <c r="AG188" s="198">
        <v>0</v>
      </c>
      <c r="AH188" s="198">
        <v>0</v>
      </c>
      <c r="AI188" s="198">
        <v>0</v>
      </c>
      <c r="AJ188" s="198">
        <v>0</v>
      </c>
      <c r="AK188" s="198">
        <v>0</v>
      </c>
      <c r="AL188" s="198">
        <v>0</v>
      </c>
      <c r="AM188" s="198">
        <v>0</v>
      </c>
      <c r="AN188" s="198">
        <v>0</v>
      </c>
      <c r="AO188" s="198">
        <v>0</v>
      </c>
      <c r="AP188" s="198">
        <v>0</v>
      </c>
      <c r="AQ188" s="198">
        <v>0</v>
      </c>
      <c r="AR188" s="198">
        <v>0</v>
      </c>
      <c r="AS188" s="198">
        <v>0</v>
      </c>
      <c r="AT188" s="198">
        <v>0</v>
      </c>
      <c r="AU188" s="198">
        <v>0</v>
      </c>
      <c r="AV188" s="198">
        <v>0</v>
      </c>
      <c r="AW188" s="198">
        <v>0</v>
      </c>
      <c r="AX188" s="198">
        <v>0</v>
      </c>
      <c r="AY188" s="198">
        <v>0</v>
      </c>
      <c r="AZ188" s="198">
        <v>0</v>
      </c>
      <c r="BA188" s="198">
        <v>0</v>
      </c>
      <c r="BB188" s="198">
        <v>0</v>
      </c>
      <c r="BC188" s="198">
        <v>0</v>
      </c>
      <c r="BD188" s="198">
        <v>0</v>
      </c>
      <c r="BE188" s="198">
        <v>0</v>
      </c>
      <c r="BF188" s="198">
        <v>0</v>
      </c>
      <c r="BG188" s="198">
        <v>0</v>
      </c>
      <c r="BH188" s="198">
        <v>0</v>
      </c>
      <c r="BI188" s="198">
        <v>0</v>
      </c>
      <c r="BJ188" s="198">
        <v>0</v>
      </c>
      <c r="BK188" s="198">
        <v>0</v>
      </c>
      <c r="BL188" s="198">
        <v>0</v>
      </c>
      <c r="BM188" s="198">
        <v>0</v>
      </c>
      <c r="BN188" s="198">
        <v>0</v>
      </c>
      <c r="BO188" s="198">
        <v>0</v>
      </c>
      <c r="BP188" s="198">
        <v>0</v>
      </c>
      <c r="BQ188" s="198">
        <v>21935.8</v>
      </c>
      <c r="BR188" s="198">
        <v>0</v>
      </c>
      <c r="BS188" s="198">
        <v>0</v>
      </c>
      <c r="BT188" s="198">
        <v>0</v>
      </c>
      <c r="BU188" s="198">
        <v>0</v>
      </c>
      <c r="BV188" s="198">
        <v>0</v>
      </c>
      <c r="BW188" s="198">
        <v>0</v>
      </c>
      <c r="BX188" s="198">
        <v>0</v>
      </c>
      <c r="BY188" s="198">
        <v>0</v>
      </c>
      <c r="BZ188" s="198">
        <v>0</v>
      </c>
      <c r="CA188" s="198">
        <v>0</v>
      </c>
      <c r="CB188" s="198">
        <v>0</v>
      </c>
      <c r="CC188" s="198">
        <v>0</v>
      </c>
      <c r="CD188" s="198">
        <v>0</v>
      </c>
      <c r="CE188" s="198">
        <v>0</v>
      </c>
      <c r="CF188" s="198">
        <v>0</v>
      </c>
      <c r="CG188" s="198">
        <v>0</v>
      </c>
      <c r="CH188" s="198">
        <v>0</v>
      </c>
      <c r="CI188" s="198">
        <v>0</v>
      </c>
      <c r="CJ188" s="198">
        <v>0</v>
      </c>
      <c r="CK188" s="88"/>
    </row>
    <row r="189" spans="1:89" x14ac:dyDescent="0.3">
      <c r="A189" s="173"/>
      <c r="B189" s="197" t="s">
        <v>213</v>
      </c>
      <c r="C189" s="198">
        <v>0</v>
      </c>
      <c r="D189" s="198">
        <v>0</v>
      </c>
      <c r="E189" s="198">
        <v>0</v>
      </c>
      <c r="F189" s="198">
        <v>0</v>
      </c>
      <c r="G189" s="198">
        <v>0</v>
      </c>
      <c r="H189" s="198">
        <v>0</v>
      </c>
      <c r="I189" s="198">
        <v>0</v>
      </c>
      <c r="J189" s="198">
        <v>0</v>
      </c>
      <c r="K189" s="198">
        <v>0</v>
      </c>
      <c r="L189" s="198">
        <v>0</v>
      </c>
      <c r="M189" s="198">
        <v>0</v>
      </c>
      <c r="N189" s="198">
        <v>1327</v>
      </c>
      <c r="O189" s="198">
        <v>1267.7</v>
      </c>
      <c r="P189" s="198">
        <v>645</v>
      </c>
      <c r="Q189" s="198">
        <v>672</v>
      </c>
      <c r="R189" s="198">
        <v>170.8</v>
      </c>
      <c r="S189" s="198">
        <v>485.2</v>
      </c>
      <c r="T189" s="198">
        <v>67.2</v>
      </c>
      <c r="U189" s="198">
        <v>42.1</v>
      </c>
      <c r="V189" s="198">
        <v>6.7</v>
      </c>
      <c r="W189" s="198">
        <v>0</v>
      </c>
      <c r="X189" s="198">
        <v>0</v>
      </c>
      <c r="Y189" s="198">
        <v>0</v>
      </c>
      <c r="Z189" s="198">
        <v>1.3</v>
      </c>
      <c r="AA189" s="198">
        <v>7508.5</v>
      </c>
      <c r="AB189" s="198">
        <v>2.8</v>
      </c>
      <c r="AC189" s="198">
        <v>2121.4</v>
      </c>
      <c r="AD189" s="198">
        <v>0</v>
      </c>
      <c r="AE189" s="198">
        <v>0</v>
      </c>
      <c r="AF189" s="198">
        <v>0</v>
      </c>
      <c r="AG189" s="198">
        <v>0</v>
      </c>
      <c r="AH189" s="198">
        <v>0</v>
      </c>
      <c r="AI189" s="198">
        <v>1888</v>
      </c>
      <c r="AJ189" s="198">
        <v>0</v>
      </c>
      <c r="AK189" s="198">
        <v>387.6</v>
      </c>
      <c r="AL189" s="198">
        <v>1855.4</v>
      </c>
      <c r="AM189" s="198">
        <v>203</v>
      </c>
      <c r="AN189" s="198">
        <v>0</v>
      </c>
      <c r="AO189" s="198">
        <v>0</v>
      </c>
      <c r="AP189" s="198">
        <v>5674</v>
      </c>
      <c r="AQ189" s="198">
        <v>0</v>
      </c>
      <c r="AR189" s="198">
        <v>2083.6</v>
      </c>
      <c r="AS189" s="198">
        <v>0</v>
      </c>
      <c r="AT189" s="198">
        <v>0</v>
      </c>
      <c r="AU189" s="198">
        <v>2731.6</v>
      </c>
      <c r="AV189" s="198">
        <v>246.8</v>
      </c>
      <c r="AW189" s="198">
        <v>0</v>
      </c>
      <c r="AX189" s="198">
        <v>1016.5</v>
      </c>
      <c r="AY189" s="198">
        <v>7220.9</v>
      </c>
      <c r="AZ189" s="198">
        <v>30.7</v>
      </c>
      <c r="BA189" s="198">
        <v>47.1</v>
      </c>
      <c r="BB189" s="198">
        <v>54.1</v>
      </c>
      <c r="BC189" s="198">
        <v>2.6</v>
      </c>
      <c r="BD189" s="198">
        <v>112.7</v>
      </c>
      <c r="BE189" s="198">
        <v>2818.7</v>
      </c>
      <c r="BF189" s="198">
        <v>2323.4</v>
      </c>
      <c r="BG189" s="198">
        <v>2190.3000000000002</v>
      </c>
      <c r="BH189" s="198">
        <v>60.5</v>
      </c>
      <c r="BI189" s="198">
        <v>0</v>
      </c>
      <c r="BJ189" s="198">
        <v>46.3</v>
      </c>
      <c r="BK189" s="198">
        <v>9644</v>
      </c>
      <c r="BL189" s="198">
        <v>15.4</v>
      </c>
      <c r="BM189" s="198">
        <v>34.5</v>
      </c>
      <c r="BN189" s="198">
        <v>38.299999999999997</v>
      </c>
      <c r="BO189" s="198">
        <v>0</v>
      </c>
      <c r="BP189" s="198">
        <v>42.4</v>
      </c>
      <c r="BQ189" s="198">
        <v>2781.3</v>
      </c>
      <c r="BR189" s="198">
        <v>3052.4</v>
      </c>
      <c r="BS189" s="198">
        <v>25.2</v>
      </c>
      <c r="BT189" s="198">
        <v>23.2</v>
      </c>
      <c r="BU189" s="198">
        <v>0</v>
      </c>
      <c r="BV189" s="198">
        <v>32.1</v>
      </c>
      <c r="BW189" s="198">
        <v>58</v>
      </c>
      <c r="BX189" s="198">
        <v>0</v>
      </c>
      <c r="BY189" s="198">
        <v>23.6</v>
      </c>
      <c r="BZ189" s="198">
        <v>39.799999999999997</v>
      </c>
      <c r="CA189" s="198">
        <v>0</v>
      </c>
      <c r="CB189" s="198">
        <v>0</v>
      </c>
      <c r="CC189" s="198">
        <v>1.7</v>
      </c>
      <c r="CD189" s="198">
        <v>0</v>
      </c>
      <c r="CE189" s="198">
        <v>7.4</v>
      </c>
      <c r="CF189" s="386">
        <v>6</v>
      </c>
      <c r="CG189" s="386">
        <v>0</v>
      </c>
      <c r="CH189" s="198">
        <v>0</v>
      </c>
      <c r="CI189" s="198">
        <v>0</v>
      </c>
      <c r="CJ189" s="198">
        <v>0</v>
      </c>
      <c r="CK189" s="88"/>
    </row>
    <row r="190" spans="1:89" x14ac:dyDescent="0.3">
      <c r="A190" s="173"/>
      <c r="B190" s="192" t="s">
        <v>310</v>
      </c>
      <c r="C190" s="193">
        <v>9.6999999999999993</v>
      </c>
      <c r="D190" s="193">
        <v>181.6</v>
      </c>
      <c r="E190" s="193">
        <v>71.2</v>
      </c>
      <c r="F190" s="193">
        <v>11070.1</v>
      </c>
      <c r="G190" s="193">
        <v>806.1</v>
      </c>
      <c r="H190" s="193">
        <v>397.5</v>
      </c>
      <c r="I190" s="193">
        <v>5585.7</v>
      </c>
      <c r="J190" s="193">
        <v>203.9</v>
      </c>
      <c r="K190" s="193">
        <v>154.6</v>
      </c>
      <c r="L190" s="193">
        <v>181</v>
      </c>
      <c r="M190" s="193">
        <v>71</v>
      </c>
      <c r="N190" s="193">
        <v>184</v>
      </c>
      <c r="O190" s="193">
        <f t="shared" ref="O190:BZ190" si="37">+SUM(O191:O199)</f>
        <v>65.600000000000009</v>
      </c>
      <c r="P190" s="193">
        <f t="shared" si="37"/>
        <v>88.8</v>
      </c>
      <c r="Q190" s="193">
        <f t="shared" si="37"/>
        <v>128.60000000000002</v>
      </c>
      <c r="R190" s="193">
        <f t="shared" si="37"/>
        <v>328.8</v>
      </c>
      <c r="S190" s="193">
        <f t="shared" si="37"/>
        <v>101.60000000000001</v>
      </c>
      <c r="T190" s="193">
        <f t="shared" si="37"/>
        <v>661.3</v>
      </c>
      <c r="U190" s="193">
        <f t="shared" si="37"/>
        <v>84.7</v>
      </c>
      <c r="V190" s="193">
        <f t="shared" si="37"/>
        <v>125.30000000000001</v>
      </c>
      <c r="W190" s="193">
        <f t="shared" si="37"/>
        <v>218.29999999999998</v>
      </c>
      <c r="X190" s="193">
        <f t="shared" si="37"/>
        <v>139.70000000000002</v>
      </c>
      <c r="Y190" s="193">
        <f t="shared" si="37"/>
        <v>151.4</v>
      </c>
      <c r="Z190" s="193">
        <f t="shared" si="37"/>
        <v>1141.8999999999999</v>
      </c>
      <c r="AA190" s="193">
        <f t="shared" si="37"/>
        <v>30.7</v>
      </c>
      <c r="AB190" s="193">
        <f t="shared" si="37"/>
        <v>51.6</v>
      </c>
      <c r="AC190" s="193">
        <f t="shared" si="37"/>
        <v>173.9</v>
      </c>
      <c r="AD190" s="193">
        <f t="shared" si="37"/>
        <v>94.8</v>
      </c>
      <c r="AE190" s="193">
        <f t="shared" si="37"/>
        <v>140.10000000000002</v>
      </c>
      <c r="AF190" s="193">
        <f t="shared" si="37"/>
        <v>187.29999999999998</v>
      </c>
      <c r="AG190" s="193">
        <f t="shared" si="37"/>
        <v>46.3</v>
      </c>
      <c r="AH190" s="193">
        <f t="shared" si="37"/>
        <v>77.199999999999989</v>
      </c>
      <c r="AI190" s="193">
        <f t="shared" si="37"/>
        <v>328.5</v>
      </c>
      <c r="AJ190" s="193">
        <f t="shared" si="37"/>
        <v>472</v>
      </c>
      <c r="AK190" s="193">
        <f t="shared" si="37"/>
        <v>1300.3999999999999</v>
      </c>
      <c r="AL190" s="193">
        <f t="shared" si="37"/>
        <v>697.80000000000007</v>
      </c>
      <c r="AM190" s="193">
        <f t="shared" si="37"/>
        <v>20.5</v>
      </c>
      <c r="AN190" s="193">
        <f t="shared" si="37"/>
        <v>88.2</v>
      </c>
      <c r="AO190" s="193">
        <f t="shared" si="37"/>
        <v>9966.3999999999978</v>
      </c>
      <c r="AP190" s="193">
        <f t="shared" si="37"/>
        <v>111.19999999999999</v>
      </c>
      <c r="AQ190" s="193">
        <f t="shared" si="37"/>
        <v>114.60000000000001</v>
      </c>
      <c r="AR190" s="193">
        <f t="shared" si="37"/>
        <v>4414.5999999999995</v>
      </c>
      <c r="AS190" s="193">
        <f t="shared" si="37"/>
        <v>153.60000000000002</v>
      </c>
      <c r="AT190" s="193">
        <f t="shared" si="37"/>
        <v>488.9</v>
      </c>
      <c r="AU190" s="193">
        <f t="shared" si="37"/>
        <v>311.90000000000003</v>
      </c>
      <c r="AV190" s="193">
        <f t="shared" si="37"/>
        <v>5060.0000000000009</v>
      </c>
      <c r="AW190" s="193">
        <f t="shared" si="37"/>
        <v>366.40000000000003</v>
      </c>
      <c r="AX190" s="193">
        <f t="shared" si="37"/>
        <v>6958.0999999999995</v>
      </c>
      <c r="AY190" s="193">
        <f t="shared" si="37"/>
        <v>39.999999999999993</v>
      </c>
      <c r="AZ190" s="193">
        <f t="shared" si="37"/>
        <v>69.8</v>
      </c>
      <c r="BA190" s="193">
        <f t="shared" si="37"/>
        <v>6169.0999999999995</v>
      </c>
      <c r="BB190" s="193">
        <f t="shared" si="37"/>
        <v>235</v>
      </c>
      <c r="BC190" s="193">
        <f t="shared" si="37"/>
        <v>187.10000000000002</v>
      </c>
      <c r="BD190" s="193">
        <f t="shared" si="37"/>
        <v>564</v>
      </c>
      <c r="BE190" s="193">
        <f t="shared" si="37"/>
        <v>616</v>
      </c>
      <c r="BF190" s="193">
        <f t="shared" si="37"/>
        <v>7742</v>
      </c>
      <c r="BG190" s="193">
        <f t="shared" si="37"/>
        <v>186.29999999999998</v>
      </c>
      <c r="BH190" s="193">
        <f t="shared" si="37"/>
        <v>446.90000000000003</v>
      </c>
      <c r="BI190" s="193">
        <f t="shared" si="37"/>
        <v>463.7</v>
      </c>
      <c r="BJ190" s="193">
        <f t="shared" si="37"/>
        <v>1235.9000000000001</v>
      </c>
      <c r="BK190" s="193">
        <f t="shared" si="37"/>
        <v>4708.3</v>
      </c>
      <c r="BL190" s="193">
        <f t="shared" si="37"/>
        <v>27.9</v>
      </c>
      <c r="BM190" s="193">
        <f t="shared" si="37"/>
        <v>35.9</v>
      </c>
      <c r="BN190" s="193">
        <f t="shared" si="37"/>
        <v>80.199999999999989</v>
      </c>
      <c r="BO190" s="193">
        <f t="shared" si="37"/>
        <v>279.99999999999994</v>
      </c>
      <c r="BP190" s="193">
        <f t="shared" si="37"/>
        <v>827.7</v>
      </c>
      <c r="BQ190" s="193">
        <f t="shared" si="37"/>
        <v>408.7</v>
      </c>
      <c r="BR190" s="193">
        <f t="shared" si="37"/>
        <v>758.1</v>
      </c>
      <c r="BS190" s="193">
        <f t="shared" si="37"/>
        <v>290</v>
      </c>
      <c r="BT190" s="193">
        <f t="shared" si="37"/>
        <v>113.1</v>
      </c>
      <c r="BU190" s="193">
        <f t="shared" si="37"/>
        <v>1162.3</v>
      </c>
      <c r="BV190" s="193">
        <f t="shared" si="37"/>
        <v>1716.0000000000002</v>
      </c>
      <c r="BW190" s="193">
        <f t="shared" si="37"/>
        <v>100.39999999999999</v>
      </c>
      <c r="BX190" s="193">
        <f t="shared" si="37"/>
        <v>81.2</v>
      </c>
      <c r="BY190" s="193">
        <f t="shared" si="37"/>
        <v>86.800000000000011</v>
      </c>
      <c r="BZ190" s="193">
        <f t="shared" si="37"/>
        <v>13678.5</v>
      </c>
      <c r="CA190" s="193">
        <f t="shared" ref="CA190:CB190" si="38">+SUM(CA191:CA199)</f>
        <v>770.30000000000007</v>
      </c>
      <c r="CB190" s="193">
        <f t="shared" si="38"/>
        <v>300.50000000000006</v>
      </c>
      <c r="CC190" s="193">
        <f t="shared" ref="CC190:CD190" si="39">+SUM(CC191:CC199)</f>
        <v>1583.6000000000001</v>
      </c>
      <c r="CD190" s="193">
        <f t="shared" si="39"/>
        <v>2332.9</v>
      </c>
      <c r="CE190" s="193">
        <f t="shared" ref="CE190:CF190" si="40">+SUM(CE191:CE199)</f>
        <v>157.70000000000002</v>
      </c>
      <c r="CF190" s="193">
        <f t="shared" si="40"/>
        <v>150.1</v>
      </c>
      <c r="CG190" s="193">
        <f t="shared" ref="CG190:CH190" si="41">+SUM(CG191:CG199)</f>
        <v>95.6</v>
      </c>
      <c r="CH190" s="193">
        <f t="shared" si="41"/>
        <v>1076.2</v>
      </c>
      <c r="CI190" s="193">
        <f t="shared" ref="CI190:CJ190" si="42">+SUM(CI191:CI199)</f>
        <v>500.7</v>
      </c>
      <c r="CJ190" s="193">
        <f t="shared" si="42"/>
        <v>61.099999999999994</v>
      </c>
      <c r="CK190" s="88"/>
    </row>
    <row r="191" spans="1:89" x14ac:dyDescent="0.3">
      <c r="A191" s="173"/>
      <c r="B191" s="197" t="s">
        <v>145</v>
      </c>
      <c r="C191" s="200">
        <v>0</v>
      </c>
      <c r="D191" s="200">
        <v>0</v>
      </c>
      <c r="E191" s="200">
        <v>0</v>
      </c>
      <c r="F191" s="200">
        <v>0</v>
      </c>
      <c r="G191" s="198">
        <v>5.6</v>
      </c>
      <c r="H191" s="198">
        <v>0</v>
      </c>
      <c r="I191" s="198">
        <v>0</v>
      </c>
      <c r="J191" s="198">
        <v>9.6</v>
      </c>
      <c r="K191" s="198">
        <v>0</v>
      </c>
      <c r="L191" s="198">
        <v>0</v>
      </c>
      <c r="M191" s="198">
        <v>0</v>
      </c>
      <c r="N191" s="198">
        <v>0</v>
      </c>
      <c r="O191" s="198">
        <v>0</v>
      </c>
      <c r="P191" s="198">
        <v>0</v>
      </c>
      <c r="Q191" s="198">
        <v>0</v>
      </c>
      <c r="R191" s="198">
        <v>0</v>
      </c>
      <c r="S191" s="198">
        <v>0</v>
      </c>
      <c r="T191" s="198">
        <v>0</v>
      </c>
      <c r="U191" s="198">
        <v>0</v>
      </c>
      <c r="V191" s="198">
        <v>20.100000000000001</v>
      </c>
      <c r="W191" s="198">
        <v>0</v>
      </c>
      <c r="X191" s="198">
        <v>0</v>
      </c>
      <c r="Y191" s="198">
        <v>0</v>
      </c>
      <c r="Z191" s="198">
        <v>0</v>
      </c>
      <c r="AA191" s="198">
        <v>0</v>
      </c>
      <c r="AB191" s="198">
        <v>0</v>
      </c>
      <c r="AC191" s="198">
        <v>0</v>
      </c>
      <c r="AD191" s="198">
        <v>0</v>
      </c>
      <c r="AE191" s="198">
        <v>0</v>
      </c>
      <c r="AF191" s="198">
        <v>0</v>
      </c>
      <c r="AG191" s="198">
        <v>0</v>
      </c>
      <c r="AH191" s="198">
        <v>0</v>
      </c>
      <c r="AI191" s="198">
        <v>0</v>
      </c>
      <c r="AJ191" s="198">
        <v>0</v>
      </c>
      <c r="AK191" s="198">
        <v>0</v>
      </c>
      <c r="AL191" s="198">
        <v>26.2</v>
      </c>
      <c r="AM191" s="198">
        <v>0</v>
      </c>
      <c r="AN191" s="198">
        <v>0</v>
      </c>
      <c r="AO191" s="198">
        <v>0</v>
      </c>
      <c r="AP191" s="198">
        <v>0</v>
      </c>
      <c r="AQ191" s="198">
        <v>0</v>
      </c>
      <c r="AR191" s="198">
        <v>0</v>
      </c>
      <c r="AS191" s="198">
        <v>0</v>
      </c>
      <c r="AT191" s="198">
        <v>0</v>
      </c>
      <c r="AU191" s="198">
        <v>100</v>
      </c>
      <c r="AV191" s="198">
        <v>0</v>
      </c>
      <c r="AW191" s="198">
        <v>0</v>
      </c>
      <c r="AX191" s="198">
        <v>0</v>
      </c>
      <c r="AY191" s="198">
        <v>12</v>
      </c>
      <c r="AZ191" s="198">
        <v>0</v>
      </c>
      <c r="BA191" s="198">
        <v>0</v>
      </c>
      <c r="BB191" s="198">
        <v>0</v>
      </c>
      <c r="BC191" s="198">
        <v>0</v>
      </c>
      <c r="BD191" s="198">
        <v>0</v>
      </c>
      <c r="BE191" s="198">
        <v>0</v>
      </c>
      <c r="BF191" s="198">
        <v>13</v>
      </c>
      <c r="BG191" s="198">
        <v>0</v>
      </c>
      <c r="BH191" s="198">
        <v>0</v>
      </c>
      <c r="BI191" s="198">
        <v>0</v>
      </c>
      <c r="BJ191" s="198">
        <v>0</v>
      </c>
      <c r="BK191" s="198">
        <v>0</v>
      </c>
      <c r="BL191" s="198">
        <v>0</v>
      </c>
      <c r="BM191" s="198">
        <v>0</v>
      </c>
      <c r="BN191" s="198">
        <v>0</v>
      </c>
      <c r="BO191" s="198">
        <v>0</v>
      </c>
      <c r="BP191" s="198">
        <v>0</v>
      </c>
      <c r="BQ191" s="198">
        <v>0</v>
      </c>
      <c r="BR191" s="198">
        <v>0</v>
      </c>
      <c r="BS191" s="198">
        <v>0</v>
      </c>
      <c r="BT191" s="198">
        <v>0</v>
      </c>
      <c r="BU191" s="198">
        <v>16</v>
      </c>
      <c r="BV191" s="198">
        <v>0</v>
      </c>
      <c r="BW191" s="198">
        <v>6.7</v>
      </c>
      <c r="BX191" s="198">
        <v>0</v>
      </c>
      <c r="BY191" s="198">
        <v>0</v>
      </c>
      <c r="BZ191" s="198">
        <v>0</v>
      </c>
      <c r="CA191" s="198">
        <v>0</v>
      </c>
      <c r="CB191" s="198">
        <v>0</v>
      </c>
      <c r="CC191" s="198">
        <v>0</v>
      </c>
      <c r="CD191" s="198">
        <v>0</v>
      </c>
      <c r="CE191" s="198">
        <v>0</v>
      </c>
      <c r="CF191" s="198">
        <v>0</v>
      </c>
      <c r="CG191" s="198">
        <v>0</v>
      </c>
      <c r="CH191" s="198">
        <v>0</v>
      </c>
      <c r="CI191" s="198">
        <v>0</v>
      </c>
      <c r="CJ191" s="198">
        <v>0</v>
      </c>
      <c r="CK191" s="88"/>
    </row>
    <row r="192" spans="1:89" x14ac:dyDescent="0.3">
      <c r="A192" s="173"/>
      <c r="B192" s="197" t="s">
        <v>164</v>
      </c>
      <c r="C192" s="200">
        <v>0</v>
      </c>
      <c r="D192" s="200">
        <v>0</v>
      </c>
      <c r="E192" s="200">
        <v>0</v>
      </c>
      <c r="F192" s="200">
        <v>0</v>
      </c>
      <c r="G192" s="198">
        <v>0</v>
      </c>
      <c r="H192" s="198">
        <v>0</v>
      </c>
      <c r="I192" s="198">
        <v>0</v>
      </c>
      <c r="J192" s="198">
        <v>0</v>
      </c>
      <c r="K192" s="198">
        <v>0</v>
      </c>
      <c r="L192" s="198">
        <v>0</v>
      </c>
      <c r="M192" s="198">
        <v>0</v>
      </c>
      <c r="N192" s="198">
        <v>0</v>
      </c>
      <c r="O192" s="198">
        <v>0</v>
      </c>
      <c r="P192" s="198">
        <v>0</v>
      </c>
      <c r="Q192" s="198">
        <v>0</v>
      </c>
      <c r="R192" s="198">
        <v>0</v>
      </c>
      <c r="S192" s="198">
        <v>0</v>
      </c>
      <c r="T192" s="198">
        <v>0</v>
      </c>
      <c r="U192" s="198">
        <v>0</v>
      </c>
      <c r="V192" s="198">
        <v>0</v>
      </c>
      <c r="W192" s="198">
        <v>0</v>
      </c>
      <c r="X192" s="198">
        <v>0</v>
      </c>
      <c r="Y192" s="198">
        <v>0</v>
      </c>
      <c r="Z192" s="198">
        <v>0</v>
      </c>
      <c r="AA192" s="198">
        <v>0</v>
      </c>
      <c r="AB192" s="198">
        <v>0</v>
      </c>
      <c r="AC192" s="198">
        <v>0</v>
      </c>
      <c r="AD192" s="198">
        <v>0</v>
      </c>
      <c r="AE192" s="198">
        <v>0</v>
      </c>
      <c r="AF192" s="198">
        <v>0</v>
      </c>
      <c r="AG192" s="198">
        <v>0</v>
      </c>
      <c r="AH192" s="198">
        <v>0</v>
      </c>
      <c r="AI192" s="198">
        <v>0</v>
      </c>
      <c r="AJ192" s="198">
        <v>0</v>
      </c>
      <c r="AK192" s="198">
        <v>37.6</v>
      </c>
      <c r="AL192" s="198">
        <v>9.6</v>
      </c>
      <c r="AM192" s="198">
        <v>0</v>
      </c>
      <c r="AN192" s="198">
        <v>1</v>
      </c>
      <c r="AO192" s="198">
        <v>0</v>
      </c>
      <c r="AP192" s="198">
        <v>0</v>
      </c>
      <c r="AQ192" s="198">
        <v>0</v>
      </c>
      <c r="AR192" s="198">
        <v>0</v>
      </c>
      <c r="AS192" s="198">
        <v>9.5</v>
      </c>
      <c r="AT192" s="198">
        <v>0</v>
      </c>
      <c r="AU192" s="198">
        <v>0</v>
      </c>
      <c r="AV192" s="198">
        <v>0</v>
      </c>
      <c r="AW192" s="198">
        <v>0</v>
      </c>
      <c r="AX192" s="198">
        <v>49.9</v>
      </c>
      <c r="AY192" s="198">
        <v>0</v>
      </c>
      <c r="AZ192" s="198">
        <v>7.9</v>
      </c>
      <c r="BA192" s="198">
        <v>397.4</v>
      </c>
      <c r="BB192" s="198">
        <v>5.3</v>
      </c>
      <c r="BC192" s="198">
        <v>8.9</v>
      </c>
      <c r="BD192" s="198">
        <v>5</v>
      </c>
      <c r="BE192" s="198">
        <v>0</v>
      </c>
      <c r="BF192" s="198">
        <v>13.5</v>
      </c>
      <c r="BG192" s="198">
        <v>4</v>
      </c>
      <c r="BH192" s="198">
        <v>0</v>
      </c>
      <c r="BI192" s="198">
        <v>11.7</v>
      </c>
      <c r="BJ192" s="198">
        <v>0</v>
      </c>
      <c r="BK192" s="198">
        <v>0</v>
      </c>
      <c r="BL192" s="198">
        <v>0</v>
      </c>
      <c r="BM192" s="198">
        <v>0</v>
      </c>
      <c r="BN192" s="198">
        <v>0</v>
      </c>
      <c r="BO192" s="198">
        <v>16.399999999999999</v>
      </c>
      <c r="BP192" s="198">
        <v>0</v>
      </c>
      <c r="BQ192" s="198">
        <v>10.8</v>
      </c>
      <c r="BR192" s="198">
        <v>0</v>
      </c>
      <c r="BS192" s="198">
        <v>0</v>
      </c>
      <c r="BT192" s="198">
        <v>4.5</v>
      </c>
      <c r="BU192" s="198">
        <v>0</v>
      </c>
      <c r="BV192" s="198">
        <v>143.1</v>
      </c>
      <c r="BW192" s="198">
        <v>0</v>
      </c>
      <c r="BX192" s="198">
        <v>0</v>
      </c>
      <c r="BY192" s="198">
        <v>2.9</v>
      </c>
      <c r="BZ192" s="198">
        <v>0</v>
      </c>
      <c r="CA192" s="198">
        <v>0</v>
      </c>
      <c r="CB192" s="198">
        <v>86.1</v>
      </c>
      <c r="CC192" s="198">
        <v>0</v>
      </c>
      <c r="CD192" s="198">
        <v>0</v>
      </c>
      <c r="CE192" s="198">
        <v>0</v>
      </c>
      <c r="CF192" s="198">
        <v>99.7</v>
      </c>
      <c r="CG192" s="198">
        <v>13.2</v>
      </c>
      <c r="CH192" s="198">
        <v>0</v>
      </c>
      <c r="CI192" s="198">
        <v>4</v>
      </c>
      <c r="CJ192" s="198">
        <v>0</v>
      </c>
      <c r="CK192" s="88"/>
    </row>
    <row r="193" spans="1:89" x14ac:dyDescent="0.3">
      <c r="A193" s="173"/>
      <c r="B193" s="197" t="s">
        <v>81</v>
      </c>
      <c r="C193" s="198">
        <v>0.8</v>
      </c>
      <c r="D193" s="198">
        <v>65.5</v>
      </c>
      <c r="E193" s="198">
        <v>0</v>
      </c>
      <c r="F193" s="198">
        <v>78.5</v>
      </c>
      <c r="G193" s="198">
        <v>605.1</v>
      </c>
      <c r="H193" s="198">
        <v>257.7</v>
      </c>
      <c r="I193" s="198">
        <v>50.3</v>
      </c>
      <c r="J193" s="198">
        <v>21.5</v>
      </c>
      <c r="K193" s="198">
        <v>15</v>
      </c>
      <c r="L193" s="198">
        <v>23</v>
      </c>
      <c r="M193" s="198">
        <v>25</v>
      </c>
      <c r="N193" s="198">
        <v>45</v>
      </c>
      <c r="O193" s="198">
        <v>32.4</v>
      </c>
      <c r="P193" s="198">
        <v>23</v>
      </c>
      <c r="Q193" s="198">
        <v>44.2</v>
      </c>
      <c r="R193" s="198">
        <v>136.80000000000001</v>
      </c>
      <c r="S193" s="198">
        <v>35.700000000000003</v>
      </c>
      <c r="T193" s="198">
        <v>390.7</v>
      </c>
      <c r="U193" s="198">
        <v>35.5</v>
      </c>
      <c r="V193" s="198">
        <v>48.2</v>
      </c>
      <c r="W193" s="198">
        <v>103.8</v>
      </c>
      <c r="X193" s="198">
        <v>91.2</v>
      </c>
      <c r="Y193" s="198">
        <v>66.599999999999994</v>
      </c>
      <c r="Z193" s="198">
        <v>551.20000000000005</v>
      </c>
      <c r="AA193" s="198">
        <v>0</v>
      </c>
      <c r="AB193" s="198">
        <v>11.7</v>
      </c>
      <c r="AC193" s="198">
        <v>65.7</v>
      </c>
      <c r="AD193" s="198">
        <v>11.9</v>
      </c>
      <c r="AE193" s="198">
        <v>38</v>
      </c>
      <c r="AF193" s="198">
        <v>92</v>
      </c>
      <c r="AG193" s="198">
        <v>8.1999999999999993</v>
      </c>
      <c r="AH193" s="198">
        <v>64.599999999999994</v>
      </c>
      <c r="AI193" s="198">
        <v>264.8</v>
      </c>
      <c r="AJ193" s="198">
        <v>28.7</v>
      </c>
      <c r="AK193" s="198">
        <v>593.1</v>
      </c>
      <c r="AL193" s="198">
        <v>345.1</v>
      </c>
      <c r="AM193" s="198">
        <v>10.1</v>
      </c>
      <c r="AN193" s="198">
        <v>23.3</v>
      </c>
      <c r="AO193" s="198">
        <v>76.099999999999994</v>
      </c>
      <c r="AP193" s="198">
        <v>38.4</v>
      </c>
      <c r="AQ193" s="198">
        <v>33.5</v>
      </c>
      <c r="AR193" s="198">
        <v>90.5</v>
      </c>
      <c r="AS193" s="198">
        <v>56.4</v>
      </c>
      <c r="AT193" s="198">
        <v>33</v>
      </c>
      <c r="AU193" s="198">
        <v>92.5</v>
      </c>
      <c r="AV193" s="198">
        <v>1085.8</v>
      </c>
      <c r="AW193" s="198">
        <v>188.3</v>
      </c>
      <c r="AX193" s="198">
        <v>712.5</v>
      </c>
      <c r="AY193" s="198">
        <v>0.1</v>
      </c>
      <c r="AZ193" s="198">
        <v>34.700000000000003</v>
      </c>
      <c r="BA193" s="198">
        <v>52.4</v>
      </c>
      <c r="BB193" s="198">
        <v>52.7</v>
      </c>
      <c r="BC193" s="198">
        <v>64.3</v>
      </c>
      <c r="BD193" s="198">
        <v>478.6</v>
      </c>
      <c r="BE193" s="198">
        <v>435</v>
      </c>
      <c r="BF193" s="198">
        <v>71.400000000000006</v>
      </c>
      <c r="BG193" s="198">
        <v>74.5</v>
      </c>
      <c r="BH193" s="198">
        <v>201.8</v>
      </c>
      <c r="BI193" s="198">
        <v>188.8</v>
      </c>
      <c r="BJ193" s="198">
        <v>95.3</v>
      </c>
      <c r="BK193" s="198">
        <v>0</v>
      </c>
      <c r="BL193" s="198">
        <v>0</v>
      </c>
      <c r="BM193" s="198">
        <v>4.2</v>
      </c>
      <c r="BN193" s="198">
        <v>65.3</v>
      </c>
      <c r="BO193" s="198">
        <v>48.6</v>
      </c>
      <c r="BP193" s="198">
        <v>4.2</v>
      </c>
      <c r="BQ193" s="198">
        <v>18.2</v>
      </c>
      <c r="BR193" s="198">
        <v>703</v>
      </c>
      <c r="BS193" s="198">
        <v>30.9</v>
      </c>
      <c r="BT193" s="198">
        <v>41.9</v>
      </c>
      <c r="BU193" s="198">
        <v>1021</v>
      </c>
      <c r="BV193" s="198">
        <v>495.9</v>
      </c>
      <c r="BW193" s="198">
        <v>30.5</v>
      </c>
      <c r="BX193" s="198">
        <v>47.6</v>
      </c>
      <c r="BY193" s="198">
        <v>11</v>
      </c>
      <c r="BZ193" s="198">
        <v>0.7</v>
      </c>
      <c r="CA193" s="198">
        <v>753.1</v>
      </c>
      <c r="CB193" s="198">
        <v>188.5</v>
      </c>
      <c r="CC193" s="198">
        <v>1232.9000000000001</v>
      </c>
      <c r="CD193" s="198">
        <v>36.5</v>
      </c>
      <c r="CE193" s="198">
        <v>36.1</v>
      </c>
      <c r="CF193" s="198">
        <v>16.899999999999999</v>
      </c>
      <c r="CG193" s="198">
        <v>43</v>
      </c>
      <c r="CH193" s="198">
        <v>526.70000000000005</v>
      </c>
      <c r="CI193" s="198">
        <v>45.9</v>
      </c>
      <c r="CJ193" s="198">
        <v>12.4</v>
      </c>
      <c r="CK193" s="88"/>
    </row>
    <row r="194" spans="1:89" x14ac:dyDescent="0.3">
      <c r="A194" s="173"/>
      <c r="B194" s="197" t="s">
        <v>80</v>
      </c>
      <c r="C194" s="198">
        <v>8.1999999999999993</v>
      </c>
      <c r="D194" s="198">
        <v>52.7</v>
      </c>
      <c r="E194" s="198">
        <v>20.6</v>
      </c>
      <c r="F194" s="198">
        <v>114.7</v>
      </c>
      <c r="G194" s="198">
        <v>54.9</v>
      </c>
      <c r="H194" s="198">
        <v>102</v>
      </c>
      <c r="I194" s="198">
        <v>58.5</v>
      </c>
      <c r="J194" s="198">
        <v>37.5</v>
      </c>
      <c r="K194" s="198">
        <v>130.80000000000001</v>
      </c>
      <c r="L194" s="198">
        <v>47</v>
      </c>
      <c r="M194" s="198">
        <v>27</v>
      </c>
      <c r="N194" s="198">
        <v>108</v>
      </c>
      <c r="O194" s="198">
        <v>30.1</v>
      </c>
      <c r="P194" s="198">
        <v>40.5</v>
      </c>
      <c r="Q194" s="198">
        <v>80.400000000000006</v>
      </c>
      <c r="R194" s="198">
        <v>70.599999999999994</v>
      </c>
      <c r="S194" s="198">
        <v>37.1</v>
      </c>
      <c r="T194" s="198">
        <v>224.1</v>
      </c>
      <c r="U194" s="198">
        <v>46.2</v>
      </c>
      <c r="V194" s="198">
        <v>51.5</v>
      </c>
      <c r="W194" s="198">
        <v>91.1</v>
      </c>
      <c r="X194" s="198">
        <v>32.6</v>
      </c>
      <c r="Y194" s="198">
        <v>47.8</v>
      </c>
      <c r="Z194" s="198">
        <v>251.4</v>
      </c>
      <c r="AA194" s="198">
        <v>16.399999999999999</v>
      </c>
      <c r="AB194" s="198">
        <v>20.3</v>
      </c>
      <c r="AC194" s="198">
        <v>90.1</v>
      </c>
      <c r="AD194" s="198">
        <v>59</v>
      </c>
      <c r="AE194" s="198">
        <v>88.5</v>
      </c>
      <c r="AF194" s="198">
        <v>62.2</v>
      </c>
      <c r="AG194" s="198">
        <v>16.100000000000001</v>
      </c>
      <c r="AH194" s="198">
        <v>7.1</v>
      </c>
      <c r="AI194" s="198">
        <v>32.799999999999997</v>
      </c>
      <c r="AJ194" s="198">
        <v>406.4</v>
      </c>
      <c r="AK194" s="198">
        <v>159.1</v>
      </c>
      <c r="AL194" s="198">
        <v>224</v>
      </c>
      <c r="AM194" s="198">
        <v>0.9</v>
      </c>
      <c r="AN194" s="198">
        <v>56.4</v>
      </c>
      <c r="AO194" s="198">
        <v>67.3</v>
      </c>
      <c r="AP194" s="198">
        <v>48.3</v>
      </c>
      <c r="AQ194" s="198">
        <v>69</v>
      </c>
      <c r="AR194" s="198">
        <v>163.19999999999999</v>
      </c>
      <c r="AS194" s="198">
        <v>16.600000000000001</v>
      </c>
      <c r="AT194" s="198">
        <v>164.9</v>
      </c>
      <c r="AU194" s="198">
        <v>78.099999999999994</v>
      </c>
      <c r="AV194" s="198">
        <v>58.5</v>
      </c>
      <c r="AW194" s="198">
        <v>74.400000000000006</v>
      </c>
      <c r="AX194" s="198">
        <v>175.5</v>
      </c>
      <c r="AY194" s="198">
        <v>12.8</v>
      </c>
      <c r="AZ194" s="198">
        <v>17.2</v>
      </c>
      <c r="BA194" s="198">
        <v>81.3</v>
      </c>
      <c r="BB194" s="198">
        <v>78.3</v>
      </c>
      <c r="BC194" s="198">
        <v>67.900000000000006</v>
      </c>
      <c r="BD194" s="198">
        <v>59.8</v>
      </c>
      <c r="BE194" s="198">
        <v>38</v>
      </c>
      <c r="BF194" s="198">
        <v>78.3</v>
      </c>
      <c r="BG194" s="198">
        <v>39.799999999999997</v>
      </c>
      <c r="BH194" s="198">
        <v>159.69999999999999</v>
      </c>
      <c r="BI194" s="198">
        <v>159.9</v>
      </c>
      <c r="BJ194" s="198">
        <v>175.9</v>
      </c>
      <c r="BK194" s="198">
        <v>1.1000000000000001</v>
      </c>
      <c r="BL194" s="198">
        <v>0.6</v>
      </c>
      <c r="BM194" s="198">
        <v>9.1</v>
      </c>
      <c r="BN194" s="198">
        <v>2.6</v>
      </c>
      <c r="BO194" s="198">
        <v>7.1</v>
      </c>
      <c r="BP194" s="198">
        <v>5.6</v>
      </c>
      <c r="BQ194" s="198">
        <v>13.9</v>
      </c>
      <c r="BR194" s="198">
        <v>33.200000000000003</v>
      </c>
      <c r="BS194" s="198">
        <v>39.6</v>
      </c>
      <c r="BT194" s="198">
        <v>61.9</v>
      </c>
      <c r="BU194" s="198">
        <v>64.599999999999994</v>
      </c>
      <c r="BV194" s="198">
        <v>931</v>
      </c>
      <c r="BW194" s="198">
        <v>4.4000000000000004</v>
      </c>
      <c r="BX194" s="198">
        <v>1.1000000000000001</v>
      </c>
      <c r="BY194" s="198">
        <v>41.5</v>
      </c>
      <c r="BZ194" s="198">
        <v>1501.2</v>
      </c>
      <c r="CA194" s="198">
        <v>3.2</v>
      </c>
      <c r="CB194" s="198">
        <v>18.3</v>
      </c>
      <c r="CC194" s="198">
        <v>4.7</v>
      </c>
      <c r="CD194" s="198">
        <v>200.9</v>
      </c>
      <c r="CE194" s="198">
        <v>67.3</v>
      </c>
      <c r="CF194" s="198">
        <v>18.899999999999999</v>
      </c>
      <c r="CG194" s="198">
        <v>29</v>
      </c>
      <c r="CH194" s="198">
        <v>531.20000000000005</v>
      </c>
      <c r="CI194" s="198">
        <v>4.5</v>
      </c>
      <c r="CJ194" s="198">
        <v>0</v>
      </c>
      <c r="CK194" s="88"/>
    </row>
    <row r="195" spans="1:89" x14ac:dyDescent="0.3">
      <c r="A195" s="173"/>
      <c r="B195" s="197" t="s">
        <v>82</v>
      </c>
      <c r="C195" s="198">
        <v>0.8</v>
      </c>
      <c r="D195" s="198">
        <v>26.9</v>
      </c>
      <c r="E195" s="198">
        <v>50</v>
      </c>
      <c r="F195" s="198">
        <v>47.3</v>
      </c>
      <c r="G195" s="198">
        <v>139.9</v>
      </c>
      <c r="H195" s="198">
        <v>10.1</v>
      </c>
      <c r="I195" s="198">
        <v>49.2</v>
      </c>
      <c r="J195" s="198">
        <v>124.7</v>
      </c>
      <c r="K195" s="198">
        <v>7.5</v>
      </c>
      <c r="L195" s="198">
        <v>108</v>
      </c>
      <c r="M195" s="198">
        <v>3</v>
      </c>
      <c r="N195" s="198">
        <v>4</v>
      </c>
      <c r="O195" s="198">
        <v>0</v>
      </c>
      <c r="P195" s="198">
        <v>25.3</v>
      </c>
      <c r="Q195" s="198">
        <v>0</v>
      </c>
      <c r="R195" s="198">
        <v>80.8</v>
      </c>
      <c r="S195" s="198">
        <v>2.5</v>
      </c>
      <c r="T195" s="198">
        <v>42.8</v>
      </c>
      <c r="U195" s="198">
        <v>0</v>
      </c>
      <c r="V195" s="198">
        <v>0.4</v>
      </c>
      <c r="W195" s="198">
        <v>18.5</v>
      </c>
      <c r="X195" s="198">
        <v>10.8</v>
      </c>
      <c r="Y195" s="198">
        <v>28.1</v>
      </c>
      <c r="Z195" s="198">
        <v>323.5</v>
      </c>
      <c r="AA195" s="198">
        <v>4.0999999999999996</v>
      </c>
      <c r="AB195" s="198">
        <v>1.3</v>
      </c>
      <c r="AC195" s="198">
        <v>12.3</v>
      </c>
      <c r="AD195" s="198">
        <v>23.1</v>
      </c>
      <c r="AE195" s="198">
        <v>1.4</v>
      </c>
      <c r="AF195" s="198">
        <v>30.1</v>
      </c>
      <c r="AG195" s="198">
        <v>15</v>
      </c>
      <c r="AH195" s="198">
        <v>0</v>
      </c>
      <c r="AI195" s="198">
        <v>22.7</v>
      </c>
      <c r="AJ195" s="198">
        <v>23</v>
      </c>
      <c r="AK195" s="198">
        <v>503.2</v>
      </c>
      <c r="AL195" s="198">
        <v>54.9</v>
      </c>
      <c r="AM195" s="198">
        <v>8.6999999999999993</v>
      </c>
      <c r="AN195" s="198">
        <v>5</v>
      </c>
      <c r="AO195" s="198">
        <v>45</v>
      </c>
      <c r="AP195" s="198">
        <v>9.5</v>
      </c>
      <c r="AQ195" s="198">
        <v>7.8</v>
      </c>
      <c r="AR195" s="198">
        <v>93.5</v>
      </c>
      <c r="AS195" s="198">
        <v>61.3</v>
      </c>
      <c r="AT195" s="198">
        <v>285</v>
      </c>
      <c r="AU195" s="198">
        <v>24</v>
      </c>
      <c r="AV195" s="198">
        <v>47.6</v>
      </c>
      <c r="AW195" s="198">
        <v>85.6</v>
      </c>
      <c r="AX195" s="198">
        <v>86.9</v>
      </c>
      <c r="AY195" s="198">
        <v>11.2</v>
      </c>
      <c r="AZ195" s="198">
        <v>10</v>
      </c>
      <c r="BA195" s="198">
        <v>312.3</v>
      </c>
      <c r="BB195" s="198">
        <v>95.2</v>
      </c>
      <c r="BC195" s="198">
        <v>46</v>
      </c>
      <c r="BD195" s="198">
        <v>20.100000000000001</v>
      </c>
      <c r="BE195" s="198">
        <v>140.69999999999999</v>
      </c>
      <c r="BF195" s="198">
        <v>171</v>
      </c>
      <c r="BG195" s="198">
        <v>66.400000000000006</v>
      </c>
      <c r="BH195" s="198">
        <v>84.1</v>
      </c>
      <c r="BI195" s="198">
        <v>101.7</v>
      </c>
      <c r="BJ195" s="198">
        <v>964.5</v>
      </c>
      <c r="BK195" s="198">
        <v>0</v>
      </c>
      <c r="BL195" s="198">
        <v>3.6</v>
      </c>
      <c r="BM195" s="198">
        <v>21.3</v>
      </c>
      <c r="BN195" s="198">
        <v>7.6</v>
      </c>
      <c r="BO195" s="198">
        <v>205.7</v>
      </c>
      <c r="BP195" s="198">
        <v>22.9</v>
      </c>
      <c r="BQ195" s="198">
        <v>214.1</v>
      </c>
      <c r="BR195" s="198">
        <v>19.5</v>
      </c>
      <c r="BS195" s="198">
        <v>218</v>
      </c>
      <c r="BT195" s="198">
        <v>4.5</v>
      </c>
      <c r="BU195" s="198">
        <v>60.5</v>
      </c>
      <c r="BV195" s="198">
        <v>84.4</v>
      </c>
      <c r="BW195" s="198">
        <v>58.5</v>
      </c>
      <c r="BX195" s="198">
        <v>32.299999999999997</v>
      </c>
      <c r="BY195" s="198">
        <v>29.5</v>
      </c>
      <c r="BZ195" s="198">
        <v>5.5</v>
      </c>
      <c r="CA195" s="198">
        <v>14</v>
      </c>
      <c r="CB195" s="198">
        <v>7.6</v>
      </c>
      <c r="CC195" s="198">
        <v>346</v>
      </c>
      <c r="CD195" s="198">
        <v>24</v>
      </c>
      <c r="CE195" s="198">
        <v>44.7</v>
      </c>
      <c r="CF195" s="198">
        <v>14.2</v>
      </c>
      <c r="CG195" s="198">
        <v>7.3</v>
      </c>
      <c r="CH195" s="198">
        <v>12.3</v>
      </c>
      <c r="CI195" s="198">
        <v>446.3</v>
      </c>
      <c r="CJ195" s="198">
        <v>34.9</v>
      </c>
      <c r="CK195" s="88"/>
    </row>
    <row r="196" spans="1:89" x14ac:dyDescent="0.3">
      <c r="A196" s="173"/>
      <c r="B196" s="197" t="s">
        <v>92</v>
      </c>
      <c r="C196" s="198">
        <v>0</v>
      </c>
      <c r="D196" s="198">
        <v>0</v>
      </c>
      <c r="E196" s="198">
        <v>0</v>
      </c>
      <c r="F196" s="198">
        <v>0</v>
      </c>
      <c r="G196" s="198">
        <v>0</v>
      </c>
      <c r="H196" s="198">
        <v>0</v>
      </c>
      <c r="I196" s="198">
        <v>0</v>
      </c>
      <c r="J196" s="198">
        <v>0</v>
      </c>
      <c r="K196" s="198">
        <v>0</v>
      </c>
      <c r="L196" s="198">
        <v>2</v>
      </c>
      <c r="M196" s="198">
        <v>0</v>
      </c>
      <c r="N196" s="198">
        <v>0</v>
      </c>
      <c r="O196" s="198">
        <v>0</v>
      </c>
      <c r="P196" s="198">
        <v>0</v>
      </c>
      <c r="Q196" s="198">
        <v>0</v>
      </c>
      <c r="R196" s="198">
        <v>0</v>
      </c>
      <c r="S196" s="198">
        <v>0</v>
      </c>
      <c r="T196" s="198">
        <v>0</v>
      </c>
      <c r="U196" s="198">
        <v>0</v>
      </c>
      <c r="V196" s="198">
        <v>0</v>
      </c>
      <c r="W196" s="198">
        <v>0</v>
      </c>
      <c r="X196" s="198">
        <v>0.5</v>
      </c>
      <c r="Y196" s="198">
        <v>0</v>
      </c>
      <c r="Z196" s="198">
        <v>0</v>
      </c>
      <c r="AA196" s="198">
        <v>0.8</v>
      </c>
      <c r="AB196" s="198">
        <v>0</v>
      </c>
      <c r="AC196" s="198">
        <v>0</v>
      </c>
      <c r="AD196" s="198">
        <v>0</v>
      </c>
      <c r="AE196" s="198">
        <v>2.2999999999999998</v>
      </c>
      <c r="AF196" s="198">
        <v>0</v>
      </c>
      <c r="AG196" s="198">
        <v>0</v>
      </c>
      <c r="AH196" s="198">
        <v>0</v>
      </c>
      <c r="AI196" s="198">
        <v>0</v>
      </c>
      <c r="AJ196" s="198">
        <v>0</v>
      </c>
      <c r="AK196" s="198">
        <v>0</v>
      </c>
      <c r="AL196" s="198">
        <v>0</v>
      </c>
      <c r="AM196" s="198">
        <v>0</v>
      </c>
      <c r="AN196" s="198">
        <v>0</v>
      </c>
      <c r="AO196" s="198">
        <v>0</v>
      </c>
      <c r="AP196" s="198">
        <v>0</v>
      </c>
      <c r="AQ196" s="198">
        <v>0</v>
      </c>
      <c r="AR196" s="198">
        <v>2.6</v>
      </c>
      <c r="AS196" s="198">
        <v>0</v>
      </c>
      <c r="AT196" s="198">
        <v>0</v>
      </c>
      <c r="AU196" s="198">
        <v>0</v>
      </c>
      <c r="AV196" s="198">
        <v>1.1000000000000001</v>
      </c>
      <c r="AW196" s="198">
        <v>2.8</v>
      </c>
      <c r="AX196" s="198">
        <v>0.8</v>
      </c>
      <c r="AY196" s="198">
        <v>0</v>
      </c>
      <c r="AZ196" s="198">
        <v>0</v>
      </c>
      <c r="BA196" s="198">
        <v>0</v>
      </c>
      <c r="BB196" s="198">
        <v>0</v>
      </c>
      <c r="BC196" s="198">
        <v>0</v>
      </c>
      <c r="BD196" s="198">
        <v>0</v>
      </c>
      <c r="BE196" s="198">
        <v>0</v>
      </c>
      <c r="BF196" s="198">
        <v>8</v>
      </c>
      <c r="BG196" s="198">
        <v>1.6</v>
      </c>
      <c r="BH196" s="198">
        <v>0</v>
      </c>
      <c r="BI196" s="198">
        <v>1.6</v>
      </c>
      <c r="BJ196" s="198">
        <v>0</v>
      </c>
      <c r="BK196" s="198">
        <v>0</v>
      </c>
      <c r="BL196" s="198">
        <v>0</v>
      </c>
      <c r="BM196" s="198">
        <v>0</v>
      </c>
      <c r="BN196" s="198">
        <v>0</v>
      </c>
      <c r="BO196" s="198">
        <v>0</v>
      </c>
      <c r="BP196" s="198">
        <v>0</v>
      </c>
      <c r="BQ196" s="198">
        <v>0</v>
      </c>
      <c r="BR196" s="198">
        <v>0</v>
      </c>
      <c r="BS196" s="198">
        <v>0</v>
      </c>
      <c r="BT196" s="198">
        <v>0</v>
      </c>
      <c r="BU196" s="198">
        <v>0</v>
      </c>
      <c r="BV196" s="198">
        <v>0</v>
      </c>
      <c r="BW196" s="198">
        <v>0</v>
      </c>
      <c r="BX196" s="198">
        <v>0</v>
      </c>
      <c r="BY196" s="198">
        <v>0</v>
      </c>
      <c r="BZ196" s="198">
        <v>0</v>
      </c>
      <c r="CA196" s="198">
        <v>0</v>
      </c>
      <c r="CB196" s="198">
        <v>0</v>
      </c>
      <c r="CC196" s="198">
        <v>0</v>
      </c>
      <c r="CD196" s="198">
        <v>0</v>
      </c>
      <c r="CE196" s="198">
        <v>0</v>
      </c>
      <c r="CF196" s="198">
        <v>0</v>
      </c>
      <c r="CG196" s="198">
        <v>0</v>
      </c>
      <c r="CH196" s="198">
        <v>0</v>
      </c>
      <c r="CI196" s="198">
        <v>0</v>
      </c>
      <c r="CJ196" s="198">
        <v>0</v>
      </c>
      <c r="CK196" s="88"/>
    </row>
    <row r="197" spans="1:89" x14ac:dyDescent="0.3">
      <c r="A197" s="173"/>
      <c r="B197" s="197" t="s">
        <v>85</v>
      </c>
      <c r="C197" s="198">
        <v>0</v>
      </c>
      <c r="D197" s="198">
        <v>0</v>
      </c>
      <c r="E197" s="198">
        <v>0</v>
      </c>
      <c r="F197" s="198">
        <v>10828.8</v>
      </c>
      <c r="G197" s="198">
        <v>0</v>
      </c>
      <c r="H197" s="198">
        <v>0</v>
      </c>
      <c r="I197" s="198">
        <v>5421.2</v>
      </c>
      <c r="J197" s="198">
        <v>0</v>
      </c>
      <c r="K197" s="198">
        <v>0</v>
      </c>
      <c r="L197" s="198">
        <v>0</v>
      </c>
      <c r="M197" s="198">
        <v>0</v>
      </c>
      <c r="N197" s="198">
        <v>0</v>
      </c>
      <c r="O197" s="198">
        <v>0</v>
      </c>
      <c r="P197" s="198">
        <v>0</v>
      </c>
      <c r="Q197" s="198">
        <v>0</v>
      </c>
      <c r="R197" s="198">
        <v>0</v>
      </c>
      <c r="S197" s="198">
        <v>0</v>
      </c>
      <c r="T197" s="198">
        <v>0</v>
      </c>
      <c r="U197" s="198">
        <v>0</v>
      </c>
      <c r="V197" s="198">
        <v>0</v>
      </c>
      <c r="W197" s="198">
        <v>0</v>
      </c>
      <c r="X197" s="198">
        <v>0</v>
      </c>
      <c r="Y197" s="198">
        <v>0</v>
      </c>
      <c r="Z197" s="198">
        <v>0</v>
      </c>
      <c r="AA197" s="198">
        <v>0</v>
      </c>
      <c r="AB197" s="198">
        <v>0</v>
      </c>
      <c r="AC197" s="198">
        <v>0</v>
      </c>
      <c r="AD197" s="198">
        <v>0</v>
      </c>
      <c r="AE197" s="198">
        <v>0</v>
      </c>
      <c r="AF197" s="198">
        <v>0</v>
      </c>
      <c r="AG197" s="198">
        <v>0</v>
      </c>
      <c r="AH197" s="198">
        <v>0</v>
      </c>
      <c r="AI197" s="198">
        <v>0</v>
      </c>
      <c r="AJ197" s="198">
        <v>0</v>
      </c>
      <c r="AK197" s="198">
        <v>0</v>
      </c>
      <c r="AL197" s="198">
        <v>0</v>
      </c>
      <c r="AM197" s="198">
        <v>0</v>
      </c>
      <c r="AN197" s="198">
        <v>0</v>
      </c>
      <c r="AO197" s="198">
        <v>9764.2999999999993</v>
      </c>
      <c r="AP197" s="198">
        <v>0</v>
      </c>
      <c r="AQ197" s="198">
        <v>0</v>
      </c>
      <c r="AR197" s="198">
        <v>4049.1</v>
      </c>
      <c r="AS197" s="198">
        <v>0</v>
      </c>
      <c r="AT197" s="198">
        <v>0</v>
      </c>
      <c r="AU197" s="198">
        <v>0</v>
      </c>
      <c r="AV197" s="198">
        <v>3839.8</v>
      </c>
      <c r="AW197" s="198">
        <v>0</v>
      </c>
      <c r="AX197" s="198">
        <v>5917.2</v>
      </c>
      <c r="AY197" s="198">
        <v>0</v>
      </c>
      <c r="AZ197" s="198">
        <v>0</v>
      </c>
      <c r="BA197" s="198">
        <v>5314.9</v>
      </c>
      <c r="BB197" s="198">
        <v>0</v>
      </c>
      <c r="BC197" s="198">
        <v>0</v>
      </c>
      <c r="BD197" s="198">
        <v>0</v>
      </c>
      <c r="BE197" s="198">
        <v>0</v>
      </c>
      <c r="BF197" s="198">
        <v>7386.5</v>
      </c>
      <c r="BG197" s="198">
        <v>0</v>
      </c>
      <c r="BH197" s="198">
        <v>0</v>
      </c>
      <c r="BI197" s="198">
        <v>0</v>
      </c>
      <c r="BJ197" s="198">
        <v>0</v>
      </c>
      <c r="BK197" s="198">
        <v>4706.8</v>
      </c>
      <c r="BL197" s="198">
        <v>0</v>
      </c>
      <c r="BM197" s="198">
        <v>0</v>
      </c>
      <c r="BN197" s="198">
        <v>0</v>
      </c>
      <c r="BO197" s="198">
        <v>0</v>
      </c>
      <c r="BP197" s="198">
        <v>794.2</v>
      </c>
      <c r="BQ197" s="198">
        <v>0</v>
      </c>
      <c r="BR197" s="198">
        <v>0</v>
      </c>
      <c r="BS197" s="198">
        <v>0</v>
      </c>
      <c r="BT197" s="198">
        <v>0</v>
      </c>
      <c r="BU197" s="198">
        <v>0</v>
      </c>
      <c r="BV197" s="198">
        <v>0</v>
      </c>
      <c r="BW197" s="198">
        <v>0</v>
      </c>
      <c r="BX197" s="198">
        <v>0</v>
      </c>
      <c r="BY197" s="198">
        <v>0</v>
      </c>
      <c r="BZ197" s="198">
        <v>12171.1</v>
      </c>
      <c r="CA197" s="198">
        <v>0</v>
      </c>
      <c r="CB197" s="198">
        <v>0</v>
      </c>
      <c r="CC197" s="198">
        <v>0</v>
      </c>
      <c r="CD197" s="198">
        <v>2071.5</v>
      </c>
      <c r="CE197" s="198">
        <v>0</v>
      </c>
      <c r="CF197" s="198">
        <v>0</v>
      </c>
      <c r="CG197" s="198">
        <v>0</v>
      </c>
      <c r="CH197" s="198">
        <v>0</v>
      </c>
      <c r="CI197" s="198">
        <v>0</v>
      </c>
      <c r="CJ197" s="198">
        <v>0</v>
      </c>
      <c r="CK197" s="88"/>
    </row>
    <row r="198" spans="1:89" x14ac:dyDescent="0.3">
      <c r="A198" s="173"/>
      <c r="B198" s="197" t="s">
        <v>83</v>
      </c>
      <c r="C198" s="198">
        <v>0</v>
      </c>
      <c r="D198" s="198">
        <v>36.6</v>
      </c>
      <c r="E198" s="198">
        <v>0</v>
      </c>
      <c r="F198" s="198">
        <v>0</v>
      </c>
      <c r="G198" s="198">
        <v>0</v>
      </c>
      <c r="H198" s="198">
        <v>15.9</v>
      </c>
      <c r="I198" s="198">
        <v>5.9</v>
      </c>
      <c r="J198" s="198">
        <v>4.3</v>
      </c>
      <c r="K198" s="198">
        <v>1.3</v>
      </c>
      <c r="L198" s="198">
        <v>0</v>
      </c>
      <c r="M198" s="198">
        <v>5</v>
      </c>
      <c r="N198" s="198">
        <v>25</v>
      </c>
      <c r="O198" s="198">
        <v>2.7</v>
      </c>
      <c r="P198" s="198">
        <v>0</v>
      </c>
      <c r="Q198" s="198">
        <v>3.5</v>
      </c>
      <c r="R198" s="198">
        <v>40.299999999999997</v>
      </c>
      <c r="S198" s="198">
        <v>25.7</v>
      </c>
      <c r="T198" s="198">
        <v>3.1</v>
      </c>
      <c r="U198" s="198">
        <v>2.2000000000000002</v>
      </c>
      <c r="V198" s="198">
        <v>4</v>
      </c>
      <c r="W198" s="198">
        <v>4.3</v>
      </c>
      <c r="X198" s="198">
        <v>1.2</v>
      </c>
      <c r="Y198" s="198">
        <v>7</v>
      </c>
      <c r="Z198" s="198">
        <v>10.7</v>
      </c>
      <c r="AA198" s="198">
        <v>9</v>
      </c>
      <c r="AB198" s="198">
        <v>17.2</v>
      </c>
      <c r="AC198" s="198">
        <v>5.2</v>
      </c>
      <c r="AD198" s="198">
        <v>0</v>
      </c>
      <c r="AE198" s="198">
        <v>8.8000000000000007</v>
      </c>
      <c r="AF198" s="198">
        <v>2.4</v>
      </c>
      <c r="AG198" s="198">
        <v>7</v>
      </c>
      <c r="AH198" s="198">
        <v>5.5</v>
      </c>
      <c r="AI198" s="198">
        <v>8.1999999999999993</v>
      </c>
      <c r="AJ198" s="198">
        <v>10.6</v>
      </c>
      <c r="AK198" s="198">
        <v>3.3</v>
      </c>
      <c r="AL198" s="198">
        <v>28.8</v>
      </c>
      <c r="AM198" s="198">
        <v>0</v>
      </c>
      <c r="AN198" s="198">
        <v>1.6</v>
      </c>
      <c r="AO198" s="198">
        <v>11.4</v>
      </c>
      <c r="AP198" s="198">
        <v>14.1</v>
      </c>
      <c r="AQ198" s="198">
        <v>3.9</v>
      </c>
      <c r="AR198" s="198">
        <v>14.3</v>
      </c>
      <c r="AS198" s="198">
        <v>8.8000000000000007</v>
      </c>
      <c r="AT198" s="198">
        <v>5</v>
      </c>
      <c r="AU198" s="198">
        <v>16.2</v>
      </c>
      <c r="AV198" s="198">
        <v>26.1</v>
      </c>
      <c r="AW198" s="198">
        <v>13.9</v>
      </c>
      <c r="AX198" s="198">
        <v>7.8</v>
      </c>
      <c r="AY198" s="198">
        <v>0.9</v>
      </c>
      <c r="AZ198" s="198">
        <v>0</v>
      </c>
      <c r="BA198" s="198">
        <v>5.7</v>
      </c>
      <c r="BB198" s="198">
        <v>3.3</v>
      </c>
      <c r="BC198" s="198">
        <v>0</v>
      </c>
      <c r="BD198" s="198">
        <v>0.5</v>
      </c>
      <c r="BE198" s="198">
        <v>0</v>
      </c>
      <c r="BF198" s="198">
        <v>0</v>
      </c>
      <c r="BG198" s="198">
        <v>0</v>
      </c>
      <c r="BH198" s="198">
        <v>0</v>
      </c>
      <c r="BI198" s="198">
        <v>0</v>
      </c>
      <c r="BJ198" s="198">
        <v>0</v>
      </c>
      <c r="BK198" s="198">
        <v>0</v>
      </c>
      <c r="BL198" s="198">
        <v>23.7</v>
      </c>
      <c r="BM198" s="198">
        <v>1.3</v>
      </c>
      <c r="BN198" s="198">
        <v>4.7</v>
      </c>
      <c r="BO198" s="198">
        <v>2.2000000000000002</v>
      </c>
      <c r="BP198" s="198">
        <v>0.8</v>
      </c>
      <c r="BQ198" s="198">
        <v>151.69999999999999</v>
      </c>
      <c r="BR198" s="198">
        <v>1.9</v>
      </c>
      <c r="BS198" s="198">
        <v>1.5</v>
      </c>
      <c r="BT198" s="198">
        <v>0</v>
      </c>
      <c r="BU198" s="198">
        <v>0</v>
      </c>
      <c r="BV198" s="198">
        <v>60.9</v>
      </c>
      <c r="BW198" s="198">
        <v>0</v>
      </c>
      <c r="BX198" s="198">
        <v>0</v>
      </c>
      <c r="BY198" s="198">
        <v>1.9</v>
      </c>
      <c r="BZ198" s="198">
        <v>0</v>
      </c>
      <c r="CA198" s="198">
        <v>0</v>
      </c>
      <c r="CB198" s="198">
        <v>0</v>
      </c>
      <c r="CC198" s="198">
        <v>0</v>
      </c>
      <c r="CD198" s="198">
        <v>0</v>
      </c>
      <c r="CE198" s="198">
        <v>9.6</v>
      </c>
      <c r="CF198" s="198">
        <v>0</v>
      </c>
      <c r="CG198" s="198">
        <v>2.5</v>
      </c>
      <c r="CH198" s="198">
        <v>5.4</v>
      </c>
      <c r="CI198" s="198">
        <v>0</v>
      </c>
      <c r="CJ198" s="198">
        <v>13.8</v>
      </c>
      <c r="CK198" s="88"/>
    </row>
    <row r="199" spans="1:89" x14ac:dyDescent="0.3">
      <c r="A199" s="173"/>
      <c r="B199" s="197" t="s">
        <v>84</v>
      </c>
      <c r="C199" s="198">
        <v>0</v>
      </c>
      <c r="D199" s="198">
        <v>0</v>
      </c>
      <c r="E199" s="198">
        <v>0.6</v>
      </c>
      <c r="F199" s="198">
        <v>0.8</v>
      </c>
      <c r="G199" s="198">
        <v>0.6</v>
      </c>
      <c r="H199" s="198">
        <v>11.8</v>
      </c>
      <c r="I199" s="198">
        <v>0.7</v>
      </c>
      <c r="J199" s="198">
        <v>6.3</v>
      </c>
      <c r="K199" s="198">
        <v>0</v>
      </c>
      <c r="L199" s="198">
        <v>1</v>
      </c>
      <c r="M199" s="198">
        <v>12</v>
      </c>
      <c r="N199" s="198">
        <v>2</v>
      </c>
      <c r="O199" s="198">
        <v>0.4</v>
      </c>
      <c r="P199" s="198">
        <v>0</v>
      </c>
      <c r="Q199" s="198">
        <v>0.5</v>
      </c>
      <c r="R199" s="198">
        <v>0.3</v>
      </c>
      <c r="S199" s="198">
        <v>0.6</v>
      </c>
      <c r="T199" s="198">
        <v>0.6</v>
      </c>
      <c r="U199" s="198">
        <v>0.8</v>
      </c>
      <c r="V199" s="198">
        <v>1.1000000000000001</v>
      </c>
      <c r="W199" s="198">
        <v>0.6</v>
      </c>
      <c r="X199" s="198">
        <v>3.4</v>
      </c>
      <c r="Y199" s="198">
        <v>1.9</v>
      </c>
      <c r="Z199" s="198">
        <v>5.0999999999999996</v>
      </c>
      <c r="AA199" s="198">
        <v>0.4</v>
      </c>
      <c r="AB199" s="198">
        <v>1.1000000000000001</v>
      </c>
      <c r="AC199" s="198">
        <v>0.6</v>
      </c>
      <c r="AD199" s="198">
        <v>0.8</v>
      </c>
      <c r="AE199" s="198">
        <v>1.1000000000000001</v>
      </c>
      <c r="AF199" s="198">
        <v>0.6</v>
      </c>
      <c r="AG199" s="198">
        <v>0</v>
      </c>
      <c r="AH199" s="198">
        <v>0</v>
      </c>
      <c r="AI199" s="198">
        <v>0</v>
      </c>
      <c r="AJ199" s="198">
        <v>3.3</v>
      </c>
      <c r="AK199" s="198">
        <v>4.0999999999999996</v>
      </c>
      <c r="AL199" s="198">
        <v>9.1999999999999993</v>
      </c>
      <c r="AM199" s="198">
        <v>0.8</v>
      </c>
      <c r="AN199" s="198">
        <v>0.9</v>
      </c>
      <c r="AO199" s="198">
        <v>2.2999999999999998</v>
      </c>
      <c r="AP199" s="198">
        <v>0.9</v>
      </c>
      <c r="AQ199" s="198">
        <v>0.4</v>
      </c>
      <c r="AR199" s="198">
        <v>1.4</v>
      </c>
      <c r="AS199" s="198">
        <v>1</v>
      </c>
      <c r="AT199" s="198">
        <v>1</v>
      </c>
      <c r="AU199" s="198">
        <v>1.1000000000000001</v>
      </c>
      <c r="AV199" s="198">
        <v>1.1000000000000001</v>
      </c>
      <c r="AW199" s="198">
        <v>1.4</v>
      </c>
      <c r="AX199" s="198">
        <v>7.5</v>
      </c>
      <c r="AY199" s="198">
        <v>3</v>
      </c>
      <c r="AZ199" s="198">
        <v>0</v>
      </c>
      <c r="BA199" s="198">
        <v>5.0999999999999996</v>
      </c>
      <c r="BB199" s="198">
        <v>0.2</v>
      </c>
      <c r="BC199" s="198">
        <v>0</v>
      </c>
      <c r="BD199" s="198">
        <v>0</v>
      </c>
      <c r="BE199" s="198">
        <v>2.2999999999999998</v>
      </c>
      <c r="BF199" s="198">
        <v>0.3</v>
      </c>
      <c r="BG199" s="198">
        <v>0</v>
      </c>
      <c r="BH199" s="198">
        <v>1.3</v>
      </c>
      <c r="BI199" s="198">
        <v>0</v>
      </c>
      <c r="BJ199" s="198">
        <v>0.2</v>
      </c>
      <c r="BK199" s="198">
        <v>0.4</v>
      </c>
      <c r="BL199" s="198">
        <v>0</v>
      </c>
      <c r="BM199" s="198">
        <v>0</v>
      </c>
      <c r="BN199" s="198">
        <v>0</v>
      </c>
      <c r="BO199" s="198">
        <v>0</v>
      </c>
      <c r="BP199" s="198">
        <v>0</v>
      </c>
      <c r="BQ199" s="198">
        <v>0</v>
      </c>
      <c r="BR199" s="198">
        <v>0.5</v>
      </c>
      <c r="BS199" s="198">
        <v>0</v>
      </c>
      <c r="BT199" s="198">
        <v>0.3</v>
      </c>
      <c r="BU199" s="198">
        <v>0.2</v>
      </c>
      <c r="BV199" s="198">
        <v>0.7</v>
      </c>
      <c r="BW199" s="198">
        <v>0.3</v>
      </c>
      <c r="BX199" s="198">
        <v>0.2</v>
      </c>
      <c r="BY199" s="198">
        <v>0</v>
      </c>
      <c r="BZ199" s="198">
        <v>0</v>
      </c>
      <c r="CA199" s="198">
        <v>0</v>
      </c>
      <c r="CB199" s="198">
        <v>0</v>
      </c>
      <c r="CC199" s="198">
        <v>0</v>
      </c>
      <c r="CD199" s="198">
        <v>0</v>
      </c>
      <c r="CE199" s="198">
        <v>0</v>
      </c>
      <c r="CF199" s="198">
        <v>0.4</v>
      </c>
      <c r="CG199" s="198">
        <v>0.6</v>
      </c>
      <c r="CH199" s="198">
        <v>0.6</v>
      </c>
      <c r="CI199" s="198">
        <v>0</v>
      </c>
      <c r="CJ199" s="198">
        <v>0</v>
      </c>
      <c r="CK199" s="88"/>
    </row>
    <row r="200" spans="1:89" x14ac:dyDescent="0.3">
      <c r="A200" s="173"/>
      <c r="B200" s="192" t="s">
        <v>311</v>
      </c>
      <c r="C200" s="193">
        <v>20.5</v>
      </c>
      <c r="D200" s="193">
        <v>11.4</v>
      </c>
      <c r="E200" s="193">
        <v>76.099999999999994</v>
      </c>
      <c r="F200" s="193">
        <v>13</v>
      </c>
      <c r="G200" s="193">
        <v>41.7</v>
      </c>
      <c r="H200" s="193">
        <v>23.8</v>
      </c>
      <c r="I200" s="193">
        <v>31.2</v>
      </c>
      <c r="J200" s="193">
        <v>51.1</v>
      </c>
      <c r="K200" s="193">
        <v>38.5</v>
      </c>
      <c r="L200" s="193">
        <v>52</v>
      </c>
      <c r="M200" s="193">
        <v>18</v>
      </c>
      <c r="N200" s="193">
        <v>40</v>
      </c>
      <c r="O200" s="193">
        <v>18.399999999999999</v>
      </c>
      <c r="P200" s="193">
        <v>0</v>
      </c>
      <c r="Q200" s="193">
        <v>0</v>
      </c>
      <c r="R200" s="193">
        <v>14.8</v>
      </c>
      <c r="S200" s="193">
        <v>0</v>
      </c>
      <c r="T200" s="193">
        <v>0</v>
      </c>
      <c r="U200" s="193">
        <v>2.6</v>
      </c>
      <c r="V200" s="193">
        <v>0</v>
      </c>
      <c r="W200" s="193">
        <v>2.6</v>
      </c>
      <c r="X200" s="193">
        <v>0.5</v>
      </c>
      <c r="Y200" s="193">
        <v>5.6</v>
      </c>
      <c r="Z200" s="193">
        <v>54.6</v>
      </c>
      <c r="AA200" s="193">
        <v>5.4</v>
      </c>
      <c r="AB200" s="193">
        <v>0</v>
      </c>
      <c r="AC200" s="193">
        <v>5.9</v>
      </c>
      <c r="AD200" s="193">
        <v>1.8</v>
      </c>
      <c r="AE200" s="193">
        <v>0.6</v>
      </c>
      <c r="AF200" s="193">
        <v>3.8</v>
      </c>
      <c r="AG200" s="193">
        <v>8.5</v>
      </c>
      <c r="AH200" s="193">
        <v>6.9</v>
      </c>
      <c r="AI200" s="193">
        <v>1.6</v>
      </c>
      <c r="AJ200" s="193">
        <v>50.9</v>
      </c>
      <c r="AK200" s="193">
        <v>36.799999999999997</v>
      </c>
      <c r="AL200" s="193">
        <v>14.9</v>
      </c>
      <c r="AM200" s="193">
        <v>5.3</v>
      </c>
      <c r="AN200" s="193">
        <v>15.1</v>
      </c>
      <c r="AO200" s="193">
        <v>20.399999999999999</v>
      </c>
      <c r="AP200" s="193">
        <v>6.9</v>
      </c>
      <c r="AQ200" s="193">
        <v>2.2999999999999998</v>
      </c>
      <c r="AR200" s="193">
        <v>31.1</v>
      </c>
      <c r="AS200" s="193">
        <v>2.9</v>
      </c>
      <c r="AT200" s="193">
        <v>24.2</v>
      </c>
      <c r="AU200" s="193">
        <v>31.2</v>
      </c>
      <c r="AV200" s="193">
        <v>4.7</v>
      </c>
      <c r="AW200" s="193">
        <v>31.9</v>
      </c>
      <c r="AX200" s="193">
        <v>312.39999999999998</v>
      </c>
      <c r="AY200" s="193">
        <v>230.6</v>
      </c>
      <c r="AZ200" s="193">
        <v>12</v>
      </c>
      <c r="BA200" s="193">
        <v>22.2</v>
      </c>
      <c r="BB200" s="193">
        <v>1.7</v>
      </c>
      <c r="BC200" s="193">
        <v>0.1</v>
      </c>
      <c r="BD200" s="193">
        <v>92.6</v>
      </c>
      <c r="BE200" s="193">
        <v>0.5</v>
      </c>
      <c r="BF200" s="193">
        <v>778.9</v>
      </c>
      <c r="BG200" s="193">
        <v>0.1</v>
      </c>
      <c r="BH200" s="193">
        <v>1</v>
      </c>
      <c r="BI200" s="193">
        <v>8.1999999999999993</v>
      </c>
      <c r="BJ200" s="193">
        <v>2</v>
      </c>
      <c r="BK200" s="193">
        <v>1.7</v>
      </c>
      <c r="BL200" s="193">
        <v>0.7</v>
      </c>
      <c r="BM200" s="193">
        <v>0.3</v>
      </c>
      <c r="BN200" s="193">
        <v>0.5</v>
      </c>
      <c r="BO200" s="193">
        <v>0</v>
      </c>
      <c r="BP200" s="193">
        <v>0</v>
      </c>
      <c r="BQ200" s="193">
        <v>1.7</v>
      </c>
      <c r="BR200" s="193">
        <v>0.3</v>
      </c>
      <c r="BS200" s="193">
        <v>1.4</v>
      </c>
      <c r="BT200" s="193">
        <v>4</v>
      </c>
      <c r="BU200" s="193">
        <v>0.7</v>
      </c>
      <c r="BV200" s="193">
        <v>0</v>
      </c>
      <c r="BW200" s="193">
        <v>1.8</v>
      </c>
      <c r="BX200" s="193">
        <v>3.8</v>
      </c>
      <c r="BY200" s="193">
        <v>0.6</v>
      </c>
      <c r="BZ200" s="193">
        <v>0</v>
      </c>
      <c r="CA200" s="193">
        <v>0</v>
      </c>
      <c r="CB200" s="193">
        <v>0</v>
      </c>
      <c r="CC200" s="193">
        <v>0.6</v>
      </c>
      <c r="CD200" s="193">
        <v>7.5</v>
      </c>
      <c r="CE200" s="193">
        <v>3.2</v>
      </c>
      <c r="CF200" s="193">
        <v>0</v>
      </c>
      <c r="CG200" s="193">
        <v>46.2</v>
      </c>
      <c r="CH200" s="193">
        <v>150</v>
      </c>
      <c r="CI200" s="193">
        <v>0.8</v>
      </c>
      <c r="CJ200" s="193">
        <v>0.5</v>
      </c>
      <c r="CK200" s="88"/>
    </row>
    <row r="201" spans="1:89" x14ac:dyDescent="0.3">
      <c r="A201" s="173"/>
      <c r="B201" s="192" t="s">
        <v>312</v>
      </c>
      <c r="C201" s="193">
        <v>0</v>
      </c>
      <c r="D201" s="193">
        <v>0</v>
      </c>
      <c r="E201" s="193">
        <v>0</v>
      </c>
      <c r="F201" s="193">
        <v>0</v>
      </c>
      <c r="G201" s="193">
        <v>0</v>
      </c>
      <c r="H201" s="193">
        <v>0</v>
      </c>
      <c r="I201" s="193">
        <v>0</v>
      </c>
      <c r="J201" s="193">
        <v>0</v>
      </c>
      <c r="K201" s="193">
        <v>0</v>
      </c>
      <c r="L201" s="193">
        <v>521</v>
      </c>
      <c r="M201" s="193">
        <v>0</v>
      </c>
      <c r="N201" s="193">
        <v>0</v>
      </c>
      <c r="O201" s="193">
        <v>0</v>
      </c>
      <c r="P201" s="193">
        <v>0</v>
      </c>
      <c r="Q201" s="193">
        <v>0</v>
      </c>
      <c r="R201" s="193">
        <v>0</v>
      </c>
      <c r="S201" s="193">
        <v>0</v>
      </c>
      <c r="T201" s="193">
        <v>0</v>
      </c>
      <c r="U201" s="193">
        <v>0</v>
      </c>
      <c r="V201" s="193">
        <v>0</v>
      </c>
      <c r="W201" s="193">
        <v>0</v>
      </c>
      <c r="X201" s="193">
        <v>0</v>
      </c>
      <c r="Y201" s="193">
        <v>0</v>
      </c>
      <c r="Z201" s="193">
        <v>0</v>
      </c>
      <c r="AA201" s="193">
        <v>0</v>
      </c>
      <c r="AB201" s="193">
        <v>0</v>
      </c>
      <c r="AC201" s="193">
        <v>0</v>
      </c>
      <c r="AD201" s="193">
        <v>0</v>
      </c>
      <c r="AE201" s="193">
        <v>0</v>
      </c>
      <c r="AF201" s="193">
        <v>0</v>
      </c>
      <c r="AG201" s="193">
        <v>0</v>
      </c>
      <c r="AH201" s="193">
        <v>0</v>
      </c>
      <c r="AI201" s="193">
        <v>0</v>
      </c>
      <c r="AJ201" s="193">
        <v>0</v>
      </c>
      <c r="AK201" s="193">
        <v>0</v>
      </c>
      <c r="AL201" s="193">
        <v>0</v>
      </c>
      <c r="AM201" s="193">
        <v>0</v>
      </c>
      <c r="AN201" s="193">
        <v>0</v>
      </c>
      <c r="AO201" s="193">
        <v>0</v>
      </c>
      <c r="AP201" s="193">
        <v>0</v>
      </c>
      <c r="AQ201" s="193">
        <v>0</v>
      </c>
      <c r="AR201" s="193">
        <v>0</v>
      </c>
      <c r="AS201" s="193">
        <v>0</v>
      </c>
      <c r="AT201" s="193">
        <v>0</v>
      </c>
      <c r="AU201" s="193">
        <v>0</v>
      </c>
      <c r="AV201" s="193">
        <v>0</v>
      </c>
      <c r="AW201" s="193">
        <v>0</v>
      </c>
      <c r="AX201" s="193">
        <v>0</v>
      </c>
      <c r="AY201" s="193">
        <v>0</v>
      </c>
      <c r="AZ201" s="193">
        <v>0</v>
      </c>
      <c r="BA201" s="193">
        <v>0</v>
      </c>
      <c r="BB201" s="193">
        <v>0</v>
      </c>
      <c r="BC201" s="193">
        <v>0</v>
      </c>
      <c r="BD201" s="193">
        <v>0</v>
      </c>
      <c r="BE201" s="193">
        <v>0</v>
      </c>
      <c r="BF201" s="193">
        <v>0</v>
      </c>
      <c r="BG201" s="193">
        <v>0</v>
      </c>
      <c r="BH201" s="193">
        <v>0</v>
      </c>
      <c r="BI201" s="193">
        <v>0</v>
      </c>
      <c r="BJ201" s="193">
        <v>0</v>
      </c>
      <c r="BK201" s="193">
        <v>0</v>
      </c>
      <c r="BL201" s="193">
        <v>0</v>
      </c>
      <c r="BM201" s="193">
        <v>0</v>
      </c>
      <c r="BN201" s="193">
        <v>0</v>
      </c>
      <c r="BO201" s="193">
        <v>0</v>
      </c>
      <c r="BP201" s="193">
        <v>0</v>
      </c>
      <c r="BQ201" s="193">
        <v>0</v>
      </c>
      <c r="BR201" s="193">
        <v>0</v>
      </c>
      <c r="BS201" s="193">
        <v>0</v>
      </c>
      <c r="BT201" s="193">
        <v>0</v>
      </c>
      <c r="BU201" s="193">
        <v>0</v>
      </c>
      <c r="BV201" s="193">
        <v>0</v>
      </c>
      <c r="BW201" s="193">
        <v>0</v>
      </c>
      <c r="BX201" s="193">
        <v>0</v>
      </c>
      <c r="BY201" s="193">
        <v>0</v>
      </c>
      <c r="BZ201" s="193">
        <v>0</v>
      </c>
      <c r="CA201" s="193">
        <v>0</v>
      </c>
      <c r="CB201" s="193">
        <v>0</v>
      </c>
      <c r="CC201" s="193">
        <v>0</v>
      </c>
      <c r="CD201" s="193">
        <v>0</v>
      </c>
      <c r="CE201" s="193">
        <v>0</v>
      </c>
      <c r="CF201" s="193">
        <v>0</v>
      </c>
      <c r="CG201" s="193">
        <v>0</v>
      </c>
      <c r="CH201" s="193">
        <v>0</v>
      </c>
      <c r="CI201" s="193">
        <v>0</v>
      </c>
      <c r="CJ201" s="193">
        <v>0</v>
      </c>
      <c r="CK201" s="88"/>
    </row>
    <row r="202" spans="1:89" x14ac:dyDescent="0.3">
      <c r="A202" s="173"/>
      <c r="B202" s="192" t="s">
        <v>313</v>
      </c>
      <c r="C202" s="193">
        <v>0</v>
      </c>
      <c r="D202" s="193">
        <v>0</v>
      </c>
      <c r="E202" s="193">
        <v>0</v>
      </c>
      <c r="F202" s="193">
        <v>0</v>
      </c>
      <c r="G202" s="193">
        <v>0</v>
      </c>
      <c r="H202" s="193">
        <v>0</v>
      </c>
      <c r="I202" s="193">
        <v>0</v>
      </c>
      <c r="J202" s="193">
        <v>0</v>
      </c>
      <c r="K202" s="193">
        <v>0</v>
      </c>
      <c r="L202" s="193">
        <v>0</v>
      </c>
      <c r="M202" s="193">
        <v>0</v>
      </c>
      <c r="N202" s="193">
        <v>1291</v>
      </c>
      <c r="O202" s="193">
        <v>0</v>
      </c>
      <c r="P202" s="193">
        <f t="shared" ref="P202:CJ202" si="43">+SUM(P203:P203)</f>
        <v>0</v>
      </c>
      <c r="Q202" s="193">
        <f t="shared" si="43"/>
        <v>0</v>
      </c>
      <c r="R202" s="193">
        <f t="shared" si="43"/>
        <v>0</v>
      </c>
      <c r="S202" s="193">
        <f t="shared" si="43"/>
        <v>0</v>
      </c>
      <c r="T202" s="193">
        <f t="shared" si="43"/>
        <v>0</v>
      </c>
      <c r="U202" s="193">
        <f t="shared" si="43"/>
        <v>0</v>
      </c>
      <c r="V202" s="193">
        <f t="shared" si="43"/>
        <v>0</v>
      </c>
      <c r="W202" s="193">
        <f t="shared" si="43"/>
        <v>0</v>
      </c>
      <c r="X202" s="193">
        <f t="shared" ref="X202:AA202" si="44">+SUM(X203)</f>
        <v>0</v>
      </c>
      <c r="Y202" s="193">
        <f t="shared" si="44"/>
        <v>0</v>
      </c>
      <c r="Z202" s="193">
        <f t="shared" si="44"/>
        <v>873.3</v>
      </c>
      <c r="AA202" s="193">
        <f t="shared" si="44"/>
        <v>0</v>
      </c>
      <c r="AB202" s="193">
        <f t="shared" si="43"/>
        <v>0</v>
      </c>
      <c r="AC202" s="193">
        <f t="shared" si="43"/>
        <v>0</v>
      </c>
      <c r="AD202" s="193">
        <f t="shared" si="43"/>
        <v>0</v>
      </c>
      <c r="AE202" s="193">
        <f t="shared" si="43"/>
        <v>0</v>
      </c>
      <c r="AF202" s="193">
        <f t="shared" si="43"/>
        <v>0</v>
      </c>
      <c r="AG202" s="193">
        <f t="shared" si="43"/>
        <v>0</v>
      </c>
      <c r="AH202" s="193">
        <f t="shared" si="43"/>
        <v>0</v>
      </c>
      <c r="AI202" s="193">
        <f t="shared" si="43"/>
        <v>0</v>
      </c>
      <c r="AJ202" s="193">
        <f t="shared" si="43"/>
        <v>0</v>
      </c>
      <c r="AK202" s="193">
        <f t="shared" si="43"/>
        <v>0</v>
      </c>
      <c r="AL202" s="193">
        <f t="shared" si="43"/>
        <v>842.2</v>
      </c>
      <c r="AM202" s="193">
        <f t="shared" si="43"/>
        <v>0</v>
      </c>
      <c r="AN202" s="193">
        <f t="shared" si="43"/>
        <v>0</v>
      </c>
      <c r="AO202" s="193">
        <f t="shared" si="43"/>
        <v>0</v>
      </c>
      <c r="AP202" s="193">
        <f t="shared" si="43"/>
        <v>0</v>
      </c>
      <c r="AQ202" s="193">
        <f t="shared" si="43"/>
        <v>0</v>
      </c>
      <c r="AR202" s="193">
        <f t="shared" si="43"/>
        <v>0</v>
      </c>
      <c r="AS202" s="193">
        <f t="shared" si="43"/>
        <v>0</v>
      </c>
      <c r="AT202" s="193">
        <f t="shared" si="43"/>
        <v>0</v>
      </c>
      <c r="AU202" s="193">
        <f t="shared" si="43"/>
        <v>0</v>
      </c>
      <c r="AV202" s="193">
        <f t="shared" si="43"/>
        <v>0</v>
      </c>
      <c r="AW202" s="193">
        <f t="shared" si="43"/>
        <v>0</v>
      </c>
      <c r="AX202" s="193">
        <f t="shared" si="43"/>
        <v>1076.2</v>
      </c>
      <c r="AY202" s="193">
        <f t="shared" si="43"/>
        <v>0</v>
      </c>
      <c r="AZ202" s="193">
        <f t="shared" si="43"/>
        <v>0</v>
      </c>
      <c r="BA202" s="193">
        <f t="shared" si="43"/>
        <v>0</v>
      </c>
      <c r="BB202" s="193">
        <f t="shared" si="43"/>
        <v>0</v>
      </c>
      <c r="BC202" s="193">
        <f t="shared" si="43"/>
        <v>0</v>
      </c>
      <c r="BD202" s="193">
        <f t="shared" si="43"/>
        <v>0</v>
      </c>
      <c r="BE202" s="193">
        <f t="shared" si="43"/>
        <v>0</v>
      </c>
      <c r="BF202" s="193">
        <f t="shared" si="43"/>
        <v>0</v>
      </c>
      <c r="BG202" s="193">
        <f t="shared" si="43"/>
        <v>0</v>
      </c>
      <c r="BH202" s="193">
        <f t="shared" si="43"/>
        <v>0</v>
      </c>
      <c r="BI202" s="193">
        <f t="shared" si="43"/>
        <v>0</v>
      </c>
      <c r="BJ202" s="193">
        <f t="shared" si="43"/>
        <v>0</v>
      </c>
      <c r="BK202" s="193">
        <f t="shared" si="43"/>
        <v>0</v>
      </c>
      <c r="BL202" s="193">
        <f t="shared" si="43"/>
        <v>0</v>
      </c>
      <c r="BM202" s="193">
        <f t="shared" si="43"/>
        <v>0</v>
      </c>
      <c r="BN202" s="193">
        <f t="shared" si="43"/>
        <v>0</v>
      </c>
      <c r="BO202" s="193">
        <f t="shared" si="43"/>
        <v>0</v>
      </c>
      <c r="BP202" s="193">
        <f t="shared" si="43"/>
        <v>0</v>
      </c>
      <c r="BQ202" s="193">
        <f t="shared" si="43"/>
        <v>0</v>
      </c>
      <c r="BR202" s="193">
        <f t="shared" si="43"/>
        <v>0</v>
      </c>
      <c r="BS202" s="193">
        <f t="shared" si="43"/>
        <v>0</v>
      </c>
      <c r="BT202" s="193">
        <f t="shared" si="43"/>
        <v>0</v>
      </c>
      <c r="BU202" s="193">
        <f t="shared" si="43"/>
        <v>0</v>
      </c>
      <c r="BV202" s="193">
        <f t="shared" si="43"/>
        <v>988.4</v>
      </c>
      <c r="BW202" s="193">
        <f t="shared" si="43"/>
        <v>0</v>
      </c>
      <c r="BX202" s="193">
        <f t="shared" si="43"/>
        <v>0</v>
      </c>
      <c r="BY202" s="193">
        <f t="shared" si="43"/>
        <v>0</v>
      </c>
      <c r="BZ202" s="193">
        <f t="shared" si="43"/>
        <v>0</v>
      </c>
      <c r="CA202" s="193">
        <f t="shared" si="43"/>
        <v>0</v>
      </c>
      <c r="CB202" s="193">
        <f t="shared" si="43"/>
        <v>0</v>
      </c>
      <c r="CC202" s="193">
        <f t="shared" si="43"/>
        <v>0</v>
      </c>
      <c r="CD202" s="193">
        <f t="shared" si="43"/>
        <v>0</v>
      </c>
      <c r="CE202" s="193">
        <f t="shared" si="43"/>
        <v>0</v>
      </c>
      <c r="CF202" s="193">
        <f t="shared" si="43"/>
        <v>0</v>
      </c>
      <c r="CG202" s="193">
        <f t="shared" si="43"/>
        <v>0</v>
      </c>
      <c r="CH202" s="193">
        <f t="shared" si="43"/>
        <v>0</v>
      </c>
      <c r="CI202" s="193">
        <f t="shared" si="43"/>
        <v>0</v>
      </c>
      <c r="CJ202" s="193">
        <f t="shared" si="43"/>
        <v>0</v>
      </c>
      <c r="CK202" s="88"/>
    </row>
    <row r="203" spans="1:89" x14ac:dyDescent="0.3">
      <c r="A203" s="173"/>
      <c r="B203" s="197" t="s">
        <v>95</v>
      </c>
      <c r="C203" s="198">
        <v>0</v>
      </c>
      <c r="D203" s="198">
        <v>0</v>
      </c>
      <c r="E203" s="198">
        <v>0</v>
      </c>
      <c r="F203" s="198">
        <v>0</v>
      </c>
      <c r="G203" s="198">
        <v>0</v>
      </c>
      <c r="H203" s="198">
        <v>0</v>
      </c>
      <c r="I203" s="198">
        <v>0</v>
      </c>
      <c r="J203" s="198">
        <v>0</v>
      </c>
      <c r="K203" s="198">
        <v>0</v>
      </c>
      <c r="L203" s="198">
        <v>0</v>
      </c>
      <c r="M203" s="198">
        <v>0</v>
      </c>
      <c r="N203" s="198">
        <v>1291</v>
      </c>
      <c r="O203" s="198">
        <v>0</v>
      </c>
      <c r="P203" s="198">
        <v>0</v>
      </c>
      <c r="Q203" s="198">
        <v>0</v>
      </c>
      <c r="R203" s="198">
        <v>0</v>
      </c>
      <c r="S203" s="198">
        <v>0</v>
      </c>
      <c r="T203" s="198">
        <v>0</v>
      </c>
      <c r="U203" s="198">
        <v>0</v>
      </c>
      <c r="V203" s="198">
        <v>0</v>
      </c>
      <c r="W203" s="198">
        <v>0</v>
      </c>
      <c r="X203" s="198">
        <v>0</v>
      </c>
      <c r="Y203" s="198">
        <v>0</v>
      </c>
      <c r="Z203" s="198">
        <v>873.3</v>
      </c>
      <c r="AA203" s="198">
        <v>0</v>
      </c>
      <c r="AB203" s="198">
        <v>0</v>
      </c>
      <c r="AC203" s="198">
        <v>0</v>
      </c>
      <c r="AD203" s="198">
        <v>0</v>
      </c>
      <c r="AE203" s="198">
        <v>0</v>
      </c>
      <c r="AF203" s="198">
        <v>0</v>
      </c>
      <c r="AG203" s="198">
        <v>0</v>
      </c>
      <c r="AH203" s="198">
        <v>0</v>
      </c>
      <c r="AI203" s="198">
        <v>0</v>
      </c>
      <c r="AJ203" s="198">
        <v>0</v>
      </c>
      <c r="AK203" s="198">
        <v>0</v>
      </c>
      <c r="AL203" s="198">
        <v>842.2</v>
      </c>
      <c r="AM203" s="198">
        <v>0</v>
      </c>
      <c r="AN203" s="198">
        <v>0</v>
      </c>
      <c r="AO203" s="198">
        <v>0</v>
      </c>
      <c r="AP203" s="198">
        <v>0</v>
      </c>
      <c r="AQ203" s="198">
        <v>0</v>
      </c>
      <c r="AR203" s="198">
        <v>0</v>
      </c>
      <c r="AS203" s="198">
        <v>0</v>
      </c>
      <c r="AT203" s="198">
        <v>0</v>
      </c>
      <c r="AU203" s="198">
        <v>0</v>
      </c>
      <c r="AV203" s="198">
        <v>0</v>
      </c>
      <c r="AW203" s="198">
        <v>0</v>
      </c>
      <c r="AX203" s="198">
        <v>1076.2</v>
      </c>
      <c r="AY203" s="198">
        <v>0</v>
      </c>
      <c r="AZ203" s="198">
        <v>0</v>
      </c>
      <c r="BA203" s="198">
        <v>0</v>
      </c>
      <c r="BB203" s="198">
        <v>0</v>
      </c>
      <c r="BC203" s="198">
        <v>0</v>
      </c>
      <c r="BD203" s="198">
        <v>0</v>
      </c>
      <c r="BE203" s="198">
        <v>0</v>
      </c>
      <c r="BF203" s="198">
        <v>0</v>
      </c>
      <c r="BG203" s="198">
        <v>0</v>
      </c>
      <c r="BH203" s="198">
        <v>0</v>
      </c>
      <c r="BI203" s="198">
        <v>0</v>
      </c>
      <c r="BJ203" s="198">
        <v>0</v>
      </c>
      <c r="BK203" s="198">
        <v>0</v>
      </c>
      <c r="BL203" s="198">
        <v>0</v>
      </c>
      <c r="BM203" s="198">
        <v>0</v>
      </c>
      <c r="BN203" s="198">
        <v>0</v>
      </c>
      <c r="BO203" s="198">
        <v>0</v>
      </c>
      <c r="BP203" s="198">
        <v>0</v>
      </c>
      <c r="BQ203" s="198">
        <v>0</v>
      </c>
      <c r="BR203" s="198">
        <v>0</v>
      </c>
      <c r="BS203" s="198">
        <v>0</v>
      </c>
      <c r="BT203" s="198">
        <v>0</v>
      </c>
      <c r="BU203" s="198">
        <v>0</v>
      </c>
      <c r="BV203" s="198">
        <v>988.4</v>
      </c>
      <c r="BW203" s="198">
        <v>0</v>
      </c>
      <c r="BX203" s="198">
        <v>0</v>
      </c>
      <c r="BY203" s="198">
        <v>0</v>
      </c>
      <c r="BZ203" s="198">
        <v>0</v>
      </c>
      <c r="CA203" s="198">
        <v>0</v>
      </c>
      <c r="CB203" s="198">
        <v>0</v>
      </c>
      <c r="CC203" s="198">
        <v>0</v>
      </c>
      <c r="CD203" s="198">
        <v>0</v>
      </c>
      <c r="CE203" s="198">
        <v>0</v>
      </c>
      <c r="CF203" s="198">
        <v>0</v>
      </c>
      <c r="CG203" s="198">
        <v>0</v>
      </c>
      <c r="CH203" s="198">
        <v>0</v>
      </c>
      <c r="CI203" s="198">
        <v>0</v>
      </c>
      <c r="CJ203" s="198">
        <v>0</v>
      </c>
      <c r="CK203" s="88"/>
    </row>
    <row r="204" spans="1:89" x14ac:dyDescent="0.3">
      <c r="A204" s="173"/>
      <c r="B204" s="192" t="s">
        <v>314</v>
      </c>
      <c r="C204" s="193">
        <v>0</v>
      </c>
      <c r="D204" s="193">
        <v>101.8</v>
      </c>
      <c r="E204" s="193">
        <v>0</v>
      </c>
      <c r="F204" s="193">
        <v>0.6</v>
      </c>
      <c r="G204" s="193">
        <v>0.6</v>
      </c>
      <c r="H204" s="193">
        <v>0.4</v>
      </c>
      <c r="I204" s="193">
        <v>63</v>
      </c>
      <c r="J204" s="193">
        <v>0.6</v>
      </c>
      <c r="K204" s="193">
        <v>7.7</v>
      </c>
      <c r="L204" s="193">
        <v>0</v>
      </c>
      <c r="M204" s="193">
        <v>83</v>
      </c>
      <c r="N204" s="193">
        <v>1338</v>
      </c>
      <c r="O204" s="193">
        <v>1.2</v>
      </c>
      <c r="P204" s="193">
        <v>2.4</v>
      </c>
      <c r="Q204" s="193">
        <v>1.9</v>
      </c>
      <c r="R204" s="194">
        <v>17.100000000000001</v>
      </c>
      <c r="S204" s="194">
        <v>3.5</v>
      </c>
      <c r="T204" s="193">
        <v>2.6</v>
      </c>
      <c r="U204" s="193">
        <v>0.7</v>
      </c>
      <c r="V204" s="193">
        <v>8.9</v>
      </c>
      <c r="W204" s="193">
        <v>67.5</v>
      </c>
      <c r="X204" s="193">
        <v>3.5</v>
      </c>
      <c r="Y204" s="193">
        <v>22.4</v>
      </c>
      <c r="Z204" s="193">
        <v>254.6</v>
      </c>
      <c r="AA204" s="193">
        <v>7</v>
      </c>
      <c r="AB204" s="193">
        <v>5.6</v>
      </c>
      <c r="AC204" s="193">
        <v>3.1</v>
      </c>
      <c r="AD204" s="193">
        <v>9</v>
      </c>
      <c r="AE204" s="193">
        <v>1.9</v>
      </c>
      <c r="AF204" s="193">
        <v>2.1</v>
      </c>
      <c r="AG204" s="193">
        <v>25</v>
      </c>
      <c r="AH204" s="193">
        <v>2.5</v>
      </c>
      <c r="AI204" s="193">
        <v>1</v>
      </c>
      <c r="AJ204" s="193">
        <v>507.9</v>
      </c>
      <c r="AK204" s="193">
        <v>6</v>
      </c>
      <c r="AL204" s="193">
        <v>12.3</v>
      </c>
      <c r="AM204" s="193">
        <v>0</v>
      </c>
      <c r="AN204" s="193">
        <v>10.8</v>
      </c>
      <c r="AO204" s="193">
        <v>0.9</v>
      </c>
      <c r="AP204" s="193">
        <v>0.5</v>
      </c>
      <c r="AQ204" s="193">
        <v>3.3</v>
      </c>
      <c r="AR204" s="193">
        <v>3.9</v>
      </c>
      <c r="AS204" s="193">
        <v>5.3</v>
      </c>
      <c r="AT204" s="193">
        <v>0.9</v>
      </c>
      <c r="AU204" s="193">
        <v>1.9</v>
      </c>
      <c r="AV204" s="193">
        <v>1.2</v>
      </c>
      <c r="AW204" s="193">
        <v>1.8</v>
      </c>
      <c r="AX204" s="193">
        <v>598.9</v>
      </c>
      <c r="AY204" s="193">
        <v>1.1000000000000001</v>
      </c>
      <c r="AZ204" s="193">
        <v>1.7</v>
      </c>
      <c r="BA204" s="193">
        <v>1.4</v>
      </c>
      <c r="BB204" s="193">
        <v>1.3</v>
      </c>
      <c r="BC204" s="193">
        <v>0.7</v>
      </c>
      <c r="BD204" s="193">
        <v>1.3</v>
      </c>
      <c r="BE204" s="193">
        <v>0.8</v>
      </c>
      <c r="BF204" s="193">
        <v>0.2</v>
      </c>
      <c r="BG204" s="193">
        <v>0</v>
      </c>
      <c r="BH204" s="193">
        <v>0</v>
      </c>
      <c r="BI204" s="193">
        <v>0</v>
      </c>
      <c r="BJ204" s="193">
        <v>554.79999999999995</v>
      </c>
      <c r="BK204" s="193">
        <v>0</v>
      </c>
      <c r="BL204" s="193">
        <v>0</v>
      </c>
      <c r="BM204" s="193">
        <v>0</v>
      </c>
      <c r="BN204" s="193">
        <v>0</v>
      </c>
      <c r="BO204" s="193">
        <v>0</v>
      </c>
      <c r="BP204" s="193">
        <v>0</v>
      </c>
      <c r="BQ204" s="193">
        <v>0</v>
      </c>
      <c r="BR204" s="193">
        <v>0</v>
      </c>
      <c r="BS204" s="193">
        <v>0</v>
      </c>
      <c r="BT204" s="193">
        <v>0</v>
      </c>
      <c r="BU204" s="193">
        <v>0</v>
      </c>
      <c r="BV204" s="193">
        <v>0</v>
      </c>
      <c r="BW204" s="193">
        <v>0</v>
      </c>
      <c r="BX204" s="193">
        <v>0</v>
      </c>
      <c r="BY204" s="193">
        <v>0</v>
      </c>
      <c r="BZ204" s="193">
        <v>0</v>
      </c>
      <c r="CA204" s="193">
        <v>0</v>
      </c>
      <c r="CB204" s="193">
        <v>0</v>
      </c>
      <c r="CC204" s="193">
        <v>0</v>
      </c>
      <c r="CD204" s="193">
        <v>0</v>
      </c>
      <c r="CE204" s="193">
        <v>0</v>
      </c>
      <c r="CF204" s="193">
        <v>1097.5999999999999</v>
      </c>
      <c r="CG204" s="193">
        <v>0</v>
      </c>
      <c r="CH204" s="193">
        <v>0</v>
      </c>
      <c r="CI204" s="193">
        <v>0</v>
      </c>
      <c r="CJ204" s="193">
        <v>0</v>
      </c>
      <c r="CK204" s="88"/>
    </row>
    <row r="205" spans="1:89" ht="16.2" x14ac:dyDescent="0.3">
      <c r="A205" s="173"/>
      <c r="B205" s="190" t="s">
        <v>277</v>
      </c>
      <c r="C205" s="191">
        <f t="shared" ref="C205:Q205" si="45">+C206+C207+C256+C398+C408+C411+C417+C418+C415+C410+C416</f>
        <v>5400.7</v>
      </c>
      <c r="D205" s="191">
        <f t="shared" si="45"/>
        <v>10532.999999999998</v>
      </c>
      <c r="E205" s="191">
        <f t="shared" si="45"/>
        <v>9767.5000000000018</v>
      </c>
      <c r="F205" s="191">
        <f t="shared" si="45"/>
        <v>10008.4</v>
      </c>
      <c r="G205" s="191">
        <f t="shared" si="45"/>
        <v>11910.499999999998</v>
      </c>
      <c r="H205" s="191">
        <f t="shared" si="45"/>
        <v>7038.0000000000009</v>
      </c>
      <c r="I205" s="191">
        <f t="shared" si="45"/>
        <v>6938.7</v>
      </c>
      <c r="J205" s="191">
        <f t="shared" si="45"/>
        <v>15211.1</v>
      </c>
      <c r="K205" s="191">
        <f t="shared" si="45"/>
        <v>2393.6000000000004</v>
      </c>
      <c r="L205" s="191">
        <f t="shared" si="45"/>
        <v>4282</v>
      </c>
      <c r="M205" s="191">
        <f t="shared" si="45"/>
        <v>4743</v>
      </c>
      <c r="N205" s="191">
        <f t="shared" si="45"/>
        <v>4174</v>
      </c>
      <c r="O205" s="191">
        <f t="shared" si="45"/>
        <v>2813.9</v>
      </c>
      <c r="P205" s="191">
        <f t="shared" si="45"/>
        <v>2282.2000000000003</v>
      </c>
      <c r="Q205" s="191">
        <f t="shared" si="45"/>
        <v>12371.2</v>
      </c>
      <c r="R205" s="191">
        <f t="shared" ref="R205:AW205" si="46">+R206+R207+R256+R398+R408+R411+R417+R418+R415+R410+R416+R409</f>
        <v>8219.2999999999993</v>
      </c>
      <c r="S205" s="191">
        <f t="shared" si="46"/>
        <v>4633.1000000000013</v>
      </c>
      <c r="T205" s="191">
        <f t="shared" si="46"/>
        <v>4356.2</v>
      </c>
      <c r="U205" s="191">
        <f t="shared" si="46"/>
        <v>7419.9000000000005</v>
      </c>
      <c r="V205" s="191">
        <f t="shared" si="46"/>
        <v>2695.7999999999997</v>
      </c>
      <c r="W205" s="191">
        <f t="shared" si="46"/>
        <v>111448.50000000003</v>
      </c>
      <c r="X205" s="191">
        <f t="shared" si="46"/>
        <v>4961.6000000000004</v>
      </c>
      <c r="Y205" s="191">
        <f t="shared" si="46"/>
        <v>6543.5999999999995</v>
      </c>
      <c r="Z205" s="191">
        <f t="shared" si="46"/>
        <v>7617.1999999999989</v>
      </c>
      <c r="AA205" s="191">
        <f t="shared" si="46"/>
        <v>10284.200000000001</v>
      </c>
      <c r="AB205" s="191">
        <f t="shared" si="46"/>
        <v>3570.3</v>
      </c>
      <c r="AC205" s="191">
        <f t="shared" si="46"/>
        <v>6568.5000000000009</v>
      </c>
      <c r="AD205" s="191">
        <f t="shared" si="46"/>
        <v>6037.2000000000016</v>
      </c>
      <c r="AE205" s="191">
        <f t="shared" si="46"/>
        <v>3277.7999999999993</v>
      </c>
      <c r="AF205" s="191">
        <f t="shared" si="46"/>
        <v>7210.5999999999985</v>
      </c>
      <c r="AG205" s="191">
        <f t="shared" si="46"/>
        <v>7090.7000000000007</v>
      </c>
      <c r="AH205" s="191">
        <f t="shared" si="46"/>
        <v>4244.0000000000009</v>
      </c>
      <c r="AI205" s="191">
        <f t="shared" si="46"/>
        <v>12375.1</v>
      </c>
      <c r="AJ205" s="191">
        <f t="shared" si="46"/>
        <v>6091.4</v>
      </c>
      <c r="AK205" s="191">
        <f t="shared" si="46"/>
        <v>3084.7000000000003</v>
      </c>
      <c r="AL205" s="191">
        <f t="shared" si="46"/>
        <v>3001.7</v>
      </c>
      <c r="AM205" s="191">
        <f t="shared" si="46"/>
        <v>6696.0999999999976</v>
      </c>
      <c r="AN205" s="191">
        <f t="shared" si="46"/>
        <v>3111.3</v>
      </c>
      <c r="AO205" s="191">
        <f t="shared" si="46"/>
        <v>17558.899999999994</v>
      </c>
      <c r="AP205" s="191">
        <f t="shared" si="46"/>
        <v>14574.200000000003</v>
      </c>
      <c r="AQ205" s="191">
        <f t="shared" si="46"/>
        <v>10526.3</v>
      </c>
      <c r="AR205" s="191">
        <f t="shared" si="46"/>
        <v>9710.7999999999975</v>
      </c>
      <c r="AS205" s="191">
        <f t="shared" si="46"/>
        <v>6557.9</v>
      </c>
      <c r="AT205" s="191">
        <f t="shared" si="46"/>
        <v>15794.199999999999</v>
      </c>
      <c r="AU205" s="191">
        <f t="shared" si="46"/>
        <v>6187.9000000000005</v>
      </c>
      <c r="AV205" s="191">
        <f t="shared" si="46"/>
        <v>6495.2999999999993</v>
      </c>
      <c r="AW205" s="191">
        <f t="shared" si="46"/>
        <v>8751.8000000000011</v>
      </c>
      <c r="AX205" s="191">
        <f t="shared" ref="AX205:BZ205" si="47">+AX206+AX207+AX256+AX398+AX408+AX411+AX417+AX418+AX415+AX410+AX416+AX409</f>
        <v>11410.7</v>
      </c>
      <c r="AY205" s="191">
        <f t="shared" si="47"/>
        <v>28875.999999999996</v>
      </c>
      <c r="AZ205" s="191">
        <f t="shared" si="47"/>
        <v>3464.7</v>
      </c>
      <c r="BA205" s="191">
        <f t="shared" si="47"/>
        <v>31207.3</v>
      </c>
      <c r="BB205" s="191">
        <f t="shared" si="47"/>
        <v>9142.1</v>
      </c>
      <c r="BC205" s="191">
        <f t="shared" si="47"/>
        <v>4502.8</v>
      </c>
      <c r="BD205" s="191">
        <f t="shared" si="47"/>
        <v>40229.399999999994</v>
      </c>
      <c r="BE205" s="191">
        <f t="shared" si="47"/>
        <v>8379.6999999999989</v>
      </c>
      <c r="BF205" s="191">
        <f t="shared" si="47"/>
        <v>9937.0000000000018</v>
      </c>
      <c r="BG205" s="191">
        <f t="shared" si="47"/>
        <v>2982.8999999999996</v>
      </c>
      <c r="BH205" s="191">
        <f t="shared" si="47"/>
        <v>5436.8</v>
      </c>
      <c r="BI205" s="191">
        <f t="shared" si="47"/>
        <v>6538.7000000000007</v>
      </c>
      <c r="BJ205" s="191">
        <f t="shared" si="47"/>
        <v>7889.4000000000005</v>
      </c>
      <c r="BK205" s="191">
        <f t="shared" si="47"/>
        <v>14735.2</v>
      </c>
      <c r="BL205" s="191">
        <f t="shared" si="47"/>
        <v>18521.900000000001</v>
      </c>
      <c r="BM205" s="191">
        <f t="shared" si="47"/>
        <v>50764.4</v>
      </c>
      <c r="BN205" s="191">
        <f t="shared" si="47"/>
        <v>6056.5999999999995</v>
      </c>
      <c r="BO205" s="191">
        <f t="shared" si="47"/>
        <v>6674.5000000000009</v>
      </c>
      <c r="BP205" s="191">
        <f t="shared" si="47"/>
        <v>7133.1999999999989</v>
      </c>
      <c r="BQ205" s="191">
        <f t="shared" si="47"/>
        <v>37204.400000000001</v>
      </c>
      <c r="BR205" s="191">
        <f t="shared" si="47"/>
        <v>13477.299999999997</v>
      </c>
      <c r="BS205" s="191">
        <f t="shared" si="47"/>
        <v>15339.000000000002</v>
      </c>
      <c r="BT205" s="191">
        <f t="shared" si="47"/>
        <v>6873.0000000000009</v>
      </c>
      <c r="BU205" s="191">
        <f t="shared" si="47"/>
        <v>11871.3</v>
      </c>
      <c r="BV205" s="191">
        <f t="shared" si="47"/>
        <v>8734.5999999999985</v>
      </c>
      <c r="BW205" s="191">
        <f t="shared" si="47"/>
        <v>29421.799999999996</v>
      </c>
      <c r="BX205" s="191">
        <f t="shared" si="47"/>
        <v>11483.800000000001</v>
      </c>
      <c r="BY205" s="191">
        <f t="shared" si="47"/>
        <v>14506.5</v>
      </c>
      <c r="BZ205" s="191">
        <f t="shared" si="47"/>
        <v>13679.1</v>
      </c>
      <c r="CA205" s="191">
        <f t="shared" ref="CA205:CB205" si="48">+CA206+CA207+CA256+CA398+CA408+CA411+CA417+CA418+CA415+CA410+CA416+CA409</f>
        <v>33022.399999999994</v>
      </c>
      <c r="CB205" s="191">
        <f t="shared" si="48"/>
        <v>17162</v>
      </c>
      <c r="CC205" s="191">
        <f t="shared" ref="CC205:CD205" si="49">+CC206+CC207+CC256+CC398+CC408+CC411+CC417+CC418+CC415+CC410+CC416+CC409</f>
        <v>38769.5</v>
      </c>
      <c r="CD205" s="191">
        <f t="shared" si="49"/>
        <v>30379.000000000004</v>
      </c>
      <c r="CE205" s="191">
        <f t="shared" ref="CE205:CF205" si="50">+CE206+CE207+CE256+CE398+CE408+CE411+CE417+CE418+CE415+CE410+CE416+CE409</f>
        <v>19678.8</v>
      </c>
      <c r="CF205" s="191">
        <f t="shared" si="50"/>
        <v>20413.099999999999</v>
      </c>
      <c r="CG205" s="191">
        <f t="shared" ref="CG205:CH205" si="51">+CG206+CG207+CG256+CG398+CG408+CG411+CG417+CG418+CG415+CG410+CG416+CG409</f>
        <v>19226.7</v>
      </c>
      <c r="CH205" s="191">
        <f t="shared" si="51"/>
        <v>41163.9</v>
      </c>
      <c r="CI205" s="191">
        <f t="shared" ref="CI205:CJ205" si="52">+CI206+CI207+CI256+CI398+CI408+CI411+CI417+CI418+CI415+CI410+CI416+CI409</f>
        <v>21367.7</v>
      </c>
      <c r="CJ205" s="191">
        <f t="shared" si="52"/>
        <v>22764.300000000003</v>
      </c>
    </row>
    <row r="206" spans="1:89" x14ac:dyDescent="0.3">
      <c r="A206" s="173"/>
      <c r="B206" s="192" t="s">
        <v>309</v>
      </c>
      <c r="C206" s="193">
        <v>669.2</v>
      </c>
      <c r="D206" s="193">
        <v>526.5</v>
      </c>
      <c r="E206" s="193">
        <v>1551.3</v>
      </c>
      <c r="F206" s="193">
        <v>707</v>
      </c>
      <c r="G206" s="193">
        <v>1207.7</v>
      </c>
      <c r="H206" s="193">
        <v>907.1</v>
      </c>
      <c r="I206" s="193">
        <v>329.8</v>
      </c>
      <c r="J206" s="193">
        <v>0</v>
      </c>
      <c r="K206" s="193">
        <v>192.6</v>
      </c>
      <c r="L206" s="193">
        <v>431</v>
      </c>
      <c r="M206" s="193">
        <v>2860</v>
      </c>
      <c r="N206" s="193">
        <v>868</v>
      </c>
      <c r="O206" s="193">
        <v>422.4</v>
      </c>
      <c r="P206" s="193">
        <v>480.7</v>
      </c>
      <c r="Q206" s="193">
        <v>819.8</v>
      </c>
      <c r="R206" s="193">
        <v>565.4</v>
      </c>
      <c r="S206" s="193">
        <v>708.5</v>
      </c>
      <c r="T206" s="193">
        <v>593.9</v>
      </c>
      <c r="U206" s="193">
        <v>198.7</v>
      </c>
      <c r="V206" s="193">
        <v>0</v>
      </c>
      <c r="W206" s="193">
        <v>153.4</v>
      </c>
      <c r="X206" s="193">
        <v>1651.2</v>
      </c>
      <c r="Y206" s="193">
        <v>1657.4</v>
      </c>
      <c r="Z206" s="193">
        <v>1540.7</v>
      </c>
      <c r="AA206" s="193">
        <v>0</v>
      </c>
      <c r="AB206" s="193">
        <v>561.29999999999995</v>
      </c>
      <c r="AC206" s="193">
        <v>1397.2</v>
      </c>
      <c r="AD206" s="193">
        <v>537</v>
      </c>
      <c r="AE206" s="193">
        <v>242.1</v>
      </c>
      <c r="AF206" s="193">
        <v>2964.6</v>
      </c>
      <c r="AG206" s="193">
        <v>1420.7</v>
      </c>
      <c r="AH206" s="193">
        <v>899.8</v>
      </c>
      <c r="AI206" s="193">
        <v>5721.4</v>
      </c>
      <c r="AJ206" s="193">
        <v>759.6</v>
      </c>
      <c r="AK206" s="193">
        <v>0</v>
      </c>
      <c r="AL206" s="193">
        <v>0</v>
      </c>
      <c r="AM206" s="193">
        <v>0</v>
      </c>
      <c r="AN206" s="193">
        <v>380.9</v>
      </c>
      <c r="AO206" s="193">
        <v>1353.5</v>
      </c>
      <c r="AP206" s="193">
        <v>940.7</v>
      </c>
      <c r="AQ206" s="193">
        <v>2992.7</v>
      </c>
      <c r="AR206" s="193">
        <v>0</v>
      </c>
      <c r="AS206" s="193">
        <v>0</v>
      </c>
      <c r="AT206" s="193">
        <v>76.2</v>
      </c>
      <c r="AU206" s="193">
        <v>145.1</v>
      </c>
      <c r="AV206" s="193">
        <v>1764.9</v>
      </c>
      <c r="AW206" s="193">
        <v>828.6</v>
      </c>
      <c r="AX206" s="193">
        <v>3796.6</v>
      </c>
      <c r="AY206" s="193">
        <v>237.1</v>
      </c>
      <c r="AZ206" s="193">
        <v>465.6</v>
      </c>
      <c r="BA206" s="193">
        <v>1036.9000000000001</v>
      </c>
      <c r="BB206" s="193">
        <v>882.3</v>
      </c>
      <c r="BC206" s="193">
        <v>319.7</v>
      </c>
      <c r="BD206" s="193">
        <v>2787</v>
      </c>
      <c r="BE206" s="193">
        <v>650.6</v>
      </c>
      <c r="BF206" s="193">
        <v>1961.6</v>
      </c>
      <c r="BG206" s="193">
        <v>0</v>
      </c>
      <c r="BH206" s="193">
        <v>0</v>
      </c>
      <c r="BI206" s="193">
        <v>243.3</v>
      </c>
      <c r="BJ206" s="193">
        <v>1095.8</v>
      </c>
      <c r="BK206" s="193">
        <v>185.5</v>
      </c>
      <c r="BL206" s="193">
        <v>0</v>
      </c>
      <c r="BM206" s="193">
        <v>273.60000000000002</v>
      </c>
      <c r="BN206" s="193">
        <v>331.7</v>
      </c>
      <c r="BO206" s="193">
        <v>872.7</v>
      </c>
      <c r="BP206" s="193">
        <v>729.4</v>
      </c>
      <c r="BQ206" s="193">
        <v>122.8</v>
      </c>
      <c r="BR206" s="193">
        <v>93.3</v>
      </c>
      <c r="BS206" s="193">
        <v>109.1</v>
      </c>
      <c r="BT206" s="193">
        <v>0</v>
      </c>
      <c r="BU206" s="193">
        <v>80.7</v>
      </c>
      <c r="BV206" s="193">
        <v>1070.4000000000001</v>
      </c>
      <c r="BW206" s="193">
        <v>626.6</v>
      </c>
      <c r="BX206" s="193">
        <v>38</v>
      </c>
      <c r="BY206" s="193">
        <v>216.5</v>
      </c>
      <c r="BZ206" s="193">
        <v>437.8</v>
      </c>
      <c r="CA206" s="193">
        <v>498.8</v>
      </c>
      <c r="CB206" s="193">
        <v>546.29999999999995</v>
      </c>
      <c r="CC206" s="193">
        <v>93.8</v>
      </c>
      <c r="CD206" s="193">
        <v>64.400000000000006</v>
      </c>
      <c r="CE206" s="193">
        <v>78.599999999999994</v>
      </c>
      <c r="CF206" s="193">
        <v>0</v>
      </c>
      <c r="CG206" s="193">
        <v>55.4</v>
      </c>
      <c r="CH206" s="193">
        <v>746.5</v>
      </c>
      <c r="CI206" s="193">
        <v>443.3</v>
      </c>
      <c r="CJ206" s="193">
        <v>27.6</v>
      </c>
      <c r="CK206" s="88"/>
    </row>
    <row r="207" spans="1:89" x14ac:dyDescent="0.3">
      <c r="A207" s="173"/>
      <c r="B207" s="192" t="s">
        <v>315</v>
      </c>
      <c r="C207" s="193">
        <v>3538.1</v>
      </c>
      <c r="D207" s="193">
        <v>4922.3</v>
      </c>
      <c r="E207" s="193">
        <v>3089.5</v>
      </c>
      <c r="F207" s="193">
        <v>4969.2</v>
      </c>
      <c r="G207" s="193">
        <v>5352.7</v>
      </c>
      <c r="H207" s="193">
        <v>4537.5</v>
      </c>
      <c r="I207" s="193">
        <v>6206.1</v>
      </c>
      <c r="J207" s="193">
        <v>2135</v>
      </c>
      <c r="K207" s="193">
        <v>1892.3</v>
      </c>
      <c r="L207" s="193">
        <v>3635</v>
      </c>
      <c r="M207" s="193">
        <v>1672</v>
      </c>
      <c r="N207" s="194">
        <v>2982</v>
      </c>
      <c r="O207" s="194">
        <f>+SUM(O208:O255)</f>
        <v>2092.1999999999998</v>
      </c>
      <c r="P207" s="194">
        <f>+SUM(P208:P255)</f>
        <v>1035</v>
      </c>
      <c r="Q207" s="194">
        <f t="shared" ref="Q207:AI207" si="53">+SUM(Q208:Q255)</f>
        <v>7199.6000000000013</v>
      </c>
      <c r="R207" s="194">
        <f t="shared" si="53"/>
        <v>1644.2999999999997</v>
      </c>
      <c r="S207" s="194">
        <f t="shared" si="53"/>
        <v>3569.3000000000011</v>
      </c>
      <c r="T207" s="194">
        <f t="shared" si="53"/>
        <v>1781.1999999999998</v>
      </c>
      <c r="U207" s="194">
        <f t="shared" si="53"/>
        <v>6866.4</v>
      </c>
      <c r="V207" s="194">
        <f t="shared" si="53"/>
        <v>2471.6999999999998</v>
      </c>
      <c r="W207" s="194">
        <f t="shared" si="53"/>
        <v>5393.7999999999993</v>
      </c>
      <c r="X207" s="194">
        <f t="shared" si="53"/>
        <v>3102.9000000000005</v>
      </c>
      <c r="Y207" s="194">
        <f t="shared" si="53"/>
        <v>2728.1</v>
      </c>
      <c r="Z207" s="194">
        <f t="shared" si="53"/>
        <v>5333.9</v>
      </c>
      <c r="AA207" s="194">
        <f t="shared" si="53"/>
        <v>2403.1999999999994</v>
      </c>
      <c r="AB207" s="194">
        <f t="shared" si="53"/>
        <v>2390.6000000000004</v>
      </c>
      <c r="AC207" s="194">
        <f t="shared" si="53"/>
        <v>1874.6000000000001</v>
      </c>
      <c r="AD207" s="194">
        <f t="shared" si="53"/>
        <v>2365.6000000000004</v>
      </c>
      <c r="AE207" s="194">
        <f t="shared" si="53"/>
        <v>2789.8999999999996</v>
      </c>
      <c r="AF207" s="194">
        <f t="shared" si="53"/>
        <v>2102.6999999999998</v>
      </c>
      <c r="AG207" s="194">
        <f t="shared" si="53"/>
        <v>1830.8000000000004</v>
      </c>
      <c r="AH207" s="194">
        <f t="shared" si="53"/>
        <v>891.2</v>
      </c>
      <c r="AI207" s="194">
        <f t="shared" si="53"/>
        <v>2886.2</v>
      </c>
      <c r="AJ207" s="194">
        <f>+SUM(AJ208:AJ255)</f>
        <v>3760.6</v>
      </c>
      <c r="AK207" s="194">
        <f>+SUM(AK208:AK255)</f>
        <v>1904.2</v>
      </c>
      <c r="AL207" s="194">
        <f>+SUM(AL208:AL255)</f>
        <v>983.7</v>
      </c>
      <c r="AM207" s="194">
        <f>+SUM(AM208:AM255)</f>
        <v>5662.0999999999985</v>
      </c>
      <c r="AN207" s="194">
        <f>+SUM(AN208:AN255)</f>
        <v>2385.4</v>
      </c>
      <c r="AO207" s="194">
        <f t="shared" ref="AO207:BZ207" si="54">+SUM(AO208:AO255)</f>
        <v>7365.2999999999993</v>
      </c>
      <c r="AP207" s="194">
        <f t="shared" si="54"/>
        <v>4514.8000000000011</v>
      </c>
      <c r="AQ207" s="194">
        <f t="shared" si="54"/>
        <v>3837.2999999999997</v>
      </c>
      <c r="AR207" s="194">
        <f t="shared" si="54"/>
        <v>4738.8999999999996</v>
      </c>
      <c r="AS207" s="194">
        <f t="shared" si="54"/>
        <v>4310.3999999999996</v>
      </c>
      <c r="AT207" s="194">
        <f t="shared" si="54"/>
        <v>9295.6</v>
      </c>
      <c r="AU207" s="194">
        <f t="shared" si="54"/>
        <v>2323.4</v>
      </c>
      <c r="AV207" s="194">
        <f t="shared" si="54"/>
        <v>1892</v>
      </c>
      <c r="AW207" s="194">
        <f t="shared" si="54"/>
        <v>4923.3999999999996</v>
      </c>
      <c r="AX207" s="194">
        <f t="shared" si="54"/>
        <v>4654.2999999999993</v>
      </c>
      <c r="AY207" s="194">
        <f t="shared" si="54"/>
        <v>12270.8</v>
      </c>
      <c r="AZ207" s="194">
        <f t="shared" si="54"/>
        <v>2785.5</v>
      </c>
      <c r="BA207" s="194">
        <f t="shared" si="54"/>
        <v>19507.3</v>
      </c>
      <c r="BB207" s="194">
        <f t="shared" si="54"/>
        <v>3721.6000000000004</v>
      </c>
      <c r="BC207" s="194">
        <f t="shared" si="54"/>
        <v>3993.2</v>
      </c>
      <c r="BD207" s="194">
        <f t="shared" si="54"/>
        <v>4871.6000000000004</v>
      </c>
      <c r="BE207" s="194">
        <f t="shared" si="54"/>
        <v>2986.6</v>
      </c>
      <c r="BF207" s="194">
        <f t="shared" si="54"/>
        <v>1419.2</v>
      </c>
      <c r="BG207" s="194">
        <f t="shared" si="54"/>
        <v>2147.2999999999997</v>
      </c>
      <c r="BH207" s="194">
        <f t="shared" si="54"/>
        <v>4952.9000000000005</v>
      </c>
      <c r="BI207" s="194">
        <f t="shared" si="54"/>
        <v>3511.7</v>
      </c>
      <c r="BJ207" s="194">
        <f t="shared" si="54"/>
        <v>763.49999999999989</v>
      </c>
      <c r="BK207" s="194">
        <f t="shared" si="54"/>
        <v>3766.1</v>
      </c>
      <c r="BL207" s="194">
        <f t="shared" si="54"/>
        <v>3681.5000000000005</v>
      </c>
      <c r="BM207" s="194">
        <f t="shared" si="54"/>
        <v>660.3</v>
      </c>
      <c r="BN207" s="194">
        <f t="shared" si="54"/>
        <v>7</v>
      </c>
      <c r="BO207" s="194">
        <f t="shared" si="54"/>
        <v>1698.5</v>
      </c>
      <c r="BP207" s="194">
        <f t="shared" si="54"/>
        <v>5965.5999999999995</v>
      </c>
      <c r="BQ207" s="194">
        <f t="shared" si="54"/>
        <v>6447</v>
      </c>
      <c r="BR207" s="194">
        <f t="shared" si="54"/>
        <v>4788.5</v>
      </c>
      <c r="BS207" s="194">
        <f t="shared" si="54"/>
        <v>14439.5</v>
      </c>
      <c r="BT207" s="194">
        <f t="shared" si="54"/>
        <v>4499.8999999999996</v>
      </c>
      <c r="BU207" s="194">
        <f t="shared" si="54"/>
        <v>5782.5</v>
      </c>
      <c r="BV207" s="194">
        <f t="shared" si="54"/>
        <v>6108</v>
      </c>
      <c r="BW207" s="196">
        <f t="shared" si="54"/>
        <v>11161.5</v>
      </c>
      <c r="BX207" s="196">
        <f t="shared" si="54"/>
        <v>4961.7999999999993</v>
      </c>
      <c r="BY207" s="196">
        <f t="shared" si="54"/>
        <v>11880.5</v>
      </c>
      <c r="BZ207" s="196">
        <f t="shared" si="54"/>
        <v>11426.7</v>
      </c>
      <c r="CA207" s="196">
        <f t="shared" ref="CA207:CB207" si="55">+SUM(CA208:CA255)</f>
        <v>9656.7000000000007</v>
      </c>
      <c r="CB207" s="196">
        <f t="shared" si="55"/>
        <v>11458.1</v>
      </c>
      <c r="CC207" s="196">
        <f t="shared" ref="CC207:CD207" si="56">+SUM(CC208:CC255)</f>
        <v>35608.6</v>
      </c>
      <c r="CD207" s="196">
        <f t="shared" si="56"/>
        <v>26136.2</v>
      </c>
      <c r="CE207" s="196">
        <f t="shared" ref="CE207:CF207" si="57">+SUM(CE208:CE255)</f>
        <v>18964.400000000001</v>
      </c>
      <c r="CF207" s="196">
        <f t="shared" si="57"/>
        <v>8380.7000000000007</v>
      </c>
      <c r="CG207" s="196">
        <f t="shared" ref="CG207:CH207" si="58">+SUM(CG208:CG255)</f>
        <v>17790.8</v>
      </c>
      <c r="CH207" s="196">
        <f t="shared" si="58"/>
        <v>5988.4000000000005</v>
      </c>
      <c r="CI207" s="196">
        <f t="shared" ref="CI207:CJ207" si="59">+SUM(CI208:CI255)</f>
        <v>13023.7</v>
      </c>
      <c r="CJ207" s="196">
        <f t="shared" si="59"/>
        <v>15976.800000000001</v>
      </c>
      <c r="CK207" s="88"/>
    </row>
    <row r="208" spans="1:89" x14ac:dyDescent="0.3">
      <c r="A208" s="173"/>
      <c r="B208" s="197" t="s">
        <v>86</v>
      </c>
      <c r="C208" s="198">
        <v>1339</v>
      </c>
      <c r="D208" s="198">
        <v>2487.5</v>
      </c>
      <c r="E208" s="198">
        <v>1176.9000000000001</v>
      </c>
      <c r="F208" s="198">
        <v>2677.8</v>
      </c>
      <c r="G208" s="198">
        <v>2686.6</v>
      </c>
      <c r="H208" s="198">
        <v>2006.4</v>
      </c>
      <c r="I208" s="198">
        <v>3474.7</v>
      </c>
      <c r="J208" s="198">
        <v>260.3</v>
      </c>
      <c r="K208" s="198">
        <v>533.20000000000005</v>
      </c>
      <c r="L208" s="198">
        <v>2244</v>
      </c>
      <c r="M208" s="198">
        <v>441</v>
      </c>
      <c r="N208" s="198">
        <v>1035</v>
      </c>
      <c r="O208" s="198">
        <v>1914.5</v>
      </c>
      <c r="P208" s="198">
        <v>499.7</v>
      </c>
      <c r="Q208" s="198">
        <v>4310.3</v>
      </c>
      <c r="R208" s="198">
        <v>245.2</v>
      </c>
      <c r="S208" s="198">
        <v>493.2</v>
      </c>
      <c r="T208" s="198">
        <v>0</v>
      </c>
      <c r="U208" s="198">
        <v>144.19999999999999</v>
      </c>
      <c r="V208" s="198">
        <v>132.80000000000001</v>
      </c>
      <c r="W208" s="198">
        <v>0</v>
      </c>
      <c r="X208" s="198">
        <v>358.5</v>
      </c>
      <c r="Y208" s="198">
        <v>0</v>
      </c>
      <c r="Z208" s="198">
        <v>0</v>
      </c>
      <c r="AA208" s="198">
        <v>0</v>
      </c>
      <c r="AB208" s="198">
        <v>0</v>
      </c>
      <c r="AC208" s="198">
        <v>0</v>
      </c>
      <c r="AD208" s="198">
        <v>0</v>
      </c>
      <c r="AE208" s="198">
        <v>0</v>
      </c>
      <c r="AF208" s="198">
        <v>0</v>
      </c>
      <c r="AG208" s="198">
        <v>0</v>
      </c>
      <c r="AH208" s="198">
        <v>0</v>
      </c>
      <c r="AI208" s="198">
        <v>0</v>
      </c>
      <c r="AJ208" s="198">
        <v>0</v>
      </c>
      <c r="AK208" s="198">
        <v>0</v>
      </c>
      <c r="AL208" s="198">
        <v>0</v>
      </c>
      <c r="AM208" s="198">
        <v>0</v>
      </c>
      <c r="AN208" s="198">
        <v>0</v>
      </c>
      <c r="AO208" s="198">
        <v>0</v>
      </c>
      <c r="AP208" s="198">
        <v>0</v>
      </c>
      <c r="AQ208" s="198">
        <v>0</v>
      </c>
      <c r="AR208" s="198">
        <v>0</v>
      </c>
      <c r="AS208" s="198">
        <v>0</v>
      </c>
      <c r="AT208" s="198">
        <v>0</v>
      </c>
      <c r="AU208" s="198">
        <v>0</v>
      </c>
      <c r="AV208" s="198">
        <v>0</v>
      </c>
      <c r="AW208" s="198">
        <v>0</v>
      </c>
      <c r="AX208" s="198">
        <v>0</v>
      </c>
      <c r="AY208" s="198">
        <v>0</v>
      </c>
      <c r="AZ208" s="198">
        <v>0</v>
      </c>
      <c r="BA208" s="198">
        <v>0</v>
      </c>
      <c r="BB208" s="198">
        <v>0</v>
      </c>
      <c r="BC208" s="198">
        <v>0</v>
      </c>
      <c r="BD208" s="198">
        <v>0</v>
      </c>
      <c r="BE208" s="198">
        <v>0</v>
      </c>
      <c r="BF208" s="198">
        <v>0</v>
      </c>
      <c r="BG208" s="198">
        <v>0</v>
      </c>
      <c r="BH208" s="198">
        <v>0</v>
      </c>
      <c r="BI208" s="198">
        <v>0</v>
      </c>
      <c r="BJ208" s="198">
        <v>0</v>
      </c>
      <c r="BK208" s="198">
        <v>0</v>
      </c>
      <c r="BL208" s="198">
        <v>0</v>
      </c>
      <c r="BM208" s="198">
        <v>0</v>
      </c>
      <c r="BN208" s="198">
        <v>0</v>
      </c>
      <c r="BO208" s="198">
        <v>0</v>
      </c>
      <c r="BP208" s="198">
        <v>5771.9</v>
      </c>
      <c r="BQ208" s="198">
        <v>6440</v>
      </c>
      <c r="BR208" s="198">
        <v>3600.4</v>
      </c>
      <c r="BS208" s="198">
        <v>14439.5</v>
      </c>
      <c r="BT208" s="198">
        <v>4499.5</v>
      </c>
      <c r="BU208" s="198">
        <v>5782.5</v>
      </c>
      <c r="BV208" s="198">
        <v>5807.3</v>
      </c>
      <c r="BW208" s="198">
        <v>11161.5</v>
      </c>
      <c r="BX208" s="198">
        <v>3764.9</v>
      </c>
      <c r="BY208" s="198">
        <v>11880.5</v>
      </c>
      <c r="BZ208" s="198">
        <v>11426.7</v>
      </c>
      <c r="CA208" s="198">
        <v>9656.7000000000007</v>
      </c>
      <c r="CB208" s="198">
        <v>11453.1</v>
      </c>
      <c r="CC208" s="198">
        <v>12309.4</v>
      </c>
      <c r="CD208" s="198">
        <v>26136.2</v>
      </c>
      <c r="CE208" s="198">
        <v>18964.400000000001</v>
      </c>
      <c r="CF208" s="198">
        <v>5149.6000000000004</v>
      </c>
      <c r="CG208" s="198">
        <v>13780.8</v>
      </c>
      <c r="CH208" s="198">
        <v>5700.3</v>
      </c>
      <c r="CI208" s="198">
        <v>5252.8</v>
      </c>
      <c r="CJ208" s="198">
        <v>12372.8</v>
      </c>
      <c r="CK208" s="88"/>
    </row>
    <row r="209" spans="1:89" x14ac:dyDescent="0.3">
      <c r="A209" s="173"/>
      <c r="B209" s="204" t="s">
        <v>390</v>
      </c>
      <c r="C209" s="198">
        <v>0</v>
      </c>
      <c r="D209" s="198">
        <v>0</v>
      </c>
      <c r="E209" s="198">
        <v>0</v>
      </c>
      <c r="F209" s="198">
        <v>0</v>
      </c>
      <c r="G209" s="198">
        <v>0</v>
      </c>
      <c r="H209" s="198">
        <v>0</v>
      </c>
      <c r="I209" s="198">
        <v>0</v>
      </c>
      <c r="J209" s="198">
        <v>0</v>
      </c>
      <c r="K209" s="198">
        <v>0</v>
      </c>
      <c r="L209" s="198">
        <v>0</v>
      </c>
      <c r="M209" s="198">
        <v>0</v>
      </c>
      <c r="N209" s="198">
        <v>0</v>
      </c>
      <c r="O209" s="198">
        <v>0</v>
      </c>
      <c r="P209" s="198">
        <v>0</v>
      </c>
      <c r="Q209" s="198">
        <v>0</v>
      </c>
      <c r="R209" s="198">
        <v>0</v>
      </c>
      <c r="S209" s="198">
        <v>0</v>
      </c>
      <c r="T209" s="198">
        <v>0</v>
      </c>
      <c r="U209" s="198">
        <v>0</v>
      </c>
      <c r="V209" s="198">
        <v>0</v>
      </c>
      <c r="W209" s="198">
        <v>0</v>
      </c>
      <c r="X209" s="198">
        <v>0</v>
      </c>
      <c r="Y209" s="198">
        <v>0</v>
      </c>
      <c r="Z209" s="198">
        <v>0</v>
      </c>
      <c r="AA209" s="198">
        <v>0</v>
      </c>
      <c r="AB209" s="198">
        <v>0</v>
      </c>
      <c r="AC209" s="198">
        <v>0</v>
      </c>
      <c r="AD209" s="198">
        <v>0</v>
      </c>
      <c r="AE209" s="198">
        <v>0</v>
      </c>
      <c r="AF209" s="198">
        <v>0</v>
      </c>
      <c r="AG209" s="198">
        <v>0</v>
      </c>
      <c r="AH209" s="198">
        <v>0</v>
      </c>
      <c r="AI209" s="198">
        <v>0</v>
      </c>
      <c r="AJ209" s="198">
        <v>0</v>
      </c>
      <c r="AK209" s="198">
        <v>0</v>
      </c>
      <c r="AL209" s="198">
        <v>0</v>
      </c>
      <c r="AM209" s="198">
        <v>0</v>
      </c>
      <c r="AN209" s="198">
        <v>0</v>
      </c>
      <c r="AO209" s="198">
        <v>0</v>
      </c>
      <c r="AP209" s="198">
        <v>0</v>
      </c>
      <c r="AQ209" s="198">
        <v>0</v>
      </c>
      <c r="AR209" s="198">
        <v>0</v>
      </c>
      <c r="AS209" s="198">
        <v>0</v>
      </c>
      <c r="AT209" s="198">
        <v>0</v>
      </c>
      <c r="AU209" s="198">
        <v>0</v>
      </c>
      <c r="AV209" s="198">
        <v>0</v>
      </c>
      <c r="AW209" s="198">
        <v>0</v>
      </c>
      <c r="AX209" s="198">
        <v>0</v>
      </c>
      <c r="AY209" s="198">
        <v>0</v>
      </c>
      <c r="AZ209" s="198">
        <v>0</v>
      </c>
      <c r="BA209" s="198">
        <v>0</v>
      </c>
      <c r="BB209" s="198">
        <v>0</v>
      </c>
      <c r="BC209" s="198">
        <v>0</v>
      </c>
      <c r="BD209" s="198">
        <v>0</v>
      </c>
      <c r="BE209" s="198">
        <v>0</v>
      </c>
      <c r="BF209" s="198">
        <v>0</v>
      </c>
      <c r="BG209" s="198">
        <v>0</v>
      </c>
      <c r="BH209" s="198">
        <v>0</v>
      </c>
      <c r="BI209" s="198">
        <v>0</v>
      </c>
      <c r="BJ209" s="198">
        <v>0</v>
      </c>
      <c r="BK209" s="198">
        <v>0</v>
      </c>
      <c r="BL209" s="198">
        <v>0</v>
      </c>
      <c r="BM209" s="198">
        <v>0</v>
      </c>
      <c r="BN209" s="198">
        <v>0</v>
      </c>
      <c r="BO209" s="198">
        <v>0</v>
      </c>
      <c r="BP209" s="198">
        <v>0</v>
      </c>
      <c r="BQ209" s="198">
        <v>0</v>
      </c>
      <c r="BR209" s="198">
        <v>0</v>
      </c>
      <c r="BS209" s="198">
        <v>0</v>
      </c>
      <c r="BT209" s="198">
        <v>0</v>
      </c>
      <c r="BU209" s="198">
        <v>0</v>
      </c>
      <c r="BV209" s="198">
        <v>0</v>
      </c>
      <c r="BW209" s="198">
        <v>0</v>
      </c>
      <c r="BX209" s="198">
        <v>0</v>
      </c>
      <c r="BY209" s="198">
        <v>0</v>
      </c>
      <c r="BZ209" s="198">
        <v>0</v>
      </c>
      <c r="CA209" s="198">
        <v>0</v>
      </c>
      <c r="CB209" s="198">
        <v>0</v>
      </c>
      <c r="CC209" s="198">
        <v>23299.200000000001</v>
      </c>
      <c r="CD209" s="198">
        <v>0</v>
      </c>
      <c r="CE209" s="198">
        <v>0</v>
      </c>
      <c r="CF209" s="198">
        <v>0</v>
      </c>
      <c r="CG209" s="198">
        <v>0</v>
      </c>
      <c r="CH209" s="198">
        <v>0</v>
      </c>
      <c r="CI209" s="198">
        <v>0</v>
      </c>
      <c r="CJ209" s="198">
        <v>0</v>
      </c>
      <c r="CK209" s="88"/>
    </row>
    <row r="210" spans="1:89" x14ac:dyDescent="0.3">
      <c r="A210" s="173"/>
      <c r="B210" s="197" t="s">
        <v>288</v>
      </c>
      <c r="C210" s="198">
        <v>0</v>
      </c>
      <c r="D210" s="198">
        <v>0</v>
      </c>
      <c r="E210" s="198">
        <v>0</v>
      </c>
      <c r="F210" s="198">
        <v>0</v>
      </c>
      <c r="G210" s="198">
        <v>0</v>
      </c>
      <c r="H210" s="198">
        <v>0</v>
      </c>
      <c r="I210" s="198">
        <v>0</v>
      </c>
      <c r="J210" s="198">
        <v>0</v>
      </c>
      <c r="K210" s="198">
        <v>0</v>
      </c>
      <c r="L210" s="198">
        <v>0</v>
      </c>
      <c r="M210" s="198">
        <v>0</v>
      </c>
      <c r="N210" s="198">
        <v>0</v>
      </c>
      <c r="O210" s="198">
        <v>0</v>
      </c>
      <c r="P210" s="198">
        <v>0</v>
      </c>
      <c r="Q210" s="198">
        <v>0</v>
      </c>
      <c r="R210" s="198">
        <v>0</v>
      </c>
      <c r="S210" s="198">
        <v>0</v>
      </c>
      <c r="T210" s="198">
        <v>0</v>
      </c>
      <c r="U210" s="198">
        <v>0</v>
      </c>
      <c r="V210" s="198">
        <v>0</v>
      </c>
      <c r="W210" s="198">
        <v>0</v>
      </c>
      <c r="X210" s="198">
        <v>0</v>
      </c>
      <c r="Y210" s="198">
        <v>0</v>
      </c>
      <c r="Z210" s="198">
        <v>243.4</v>
      </c>
      <c r="AA210" s="198">
        <v>546</v>
      </c>
      <c r="AB210" s="198">
        <v>0</v>
      </c>
      <c r="AC210" s="198">
        <v>1045.4000000000001</v>
      </c>
      <c r="AD210" s="198">
        <v>684.4</v>
      </c>
      <c r="AE210" s="198">
        <v>621.29999999999995</v>
      </c>
      <c r="AF210" s="198">
        <v>1295.8</v>
      </c>
      <c r="AG210" s="198">
        <v>854.8</v>
      </c>
      <c r="AH210" s="198">
        <v>405.4</v>
      </c>
      <c r="AI210" s="198">
        <v>587</v>
      </c>
      <c r="AJ210" s="198">
        <v>625</v>
      </c>
      <c r="AK210" s="198">
        <v>222.3</v>
      </c>
      <c r="AL210" s="198">
        <v>0</v>
      </c>
      <c r="AM210" s="198">
        <v>0</v>
      </c>
      <c r="AN210" s="198">
        <v>0</v>
      </c>
      <c r="AO210" s="198">
        <v>0</v>
      </c>
      <c r="AP210" s="198">
        <v>0</v>
      </c>
      <c r="AQ210" s="198">
        <v>0</v>
      </c>
      <c r="AR210" s="198">
        <v>0</v>
      </c>
      <c r="AS210" s="198">
        <v>0</v>
      </c>
      <c r="AT210" s="198">
        <v>237.7</v>
      </c>
      <c r="AU210" s="198">
        <v>0</v>
      </c>
      <c r="AV210" s="198">
        <v>0</v>
      </c>
      <c r="AW210" s="198">
        <v>0</v>
      </c>
      <c r="AX210" s="198">
        <v>0</v>
      </c>
      <c r="AY210" s="198">
        <v>0</v>
      </c>
      <c r="AZ210" s="198">
        <v>0</v>
      </c>
      <c r="BA210" s="198">
        <v>0</v>
      </c>
      <c r="BB210" s="198">
        <v>0</v>
      </c>
      <c r="BC210" s="198">
        <v>0</v>
      </c>
      <c r="BD210" s="198">
        <v>0</v>
      </c>
      <c r="BE210" s="198">
        <v>0</v>
      </c>
      <c r="BF210" s="198">
        <v>0</v>
      </c>
      <c r="BG210" s="198">
        <v>0</v>
      </c>
      <c r="BH210" s="198">
        <v>0</v>
      </c>
      <c r="BI210" s="198">
        <v>0</v>
      </c>
      <c r="BJ210" s="198">
        <v>0</v>
      </c>
      <c r="BK210" s="198">
        <v>0</v>
      </c>
      <c r="BL210" s="198">
        <v>0</v>
      </c>
      <c r="BM210" s="198">
        <v>0</v>
      </c>
      <c r="BN210" s="198">
        <v>0</v>
      </c>
      <c r="BO210" s="198">
        <v>0</v>
      </c>
      <c r="BP210" s="198">
        <v>0</v>
      </c>
      <c r="BQ210" s="198">
        <v>0</v>
      </c>
      <c r="BR210" s="198">
        <v>0</v>
      </c>
      <c r="BS210" s="198">
        <v>0</v>
      </c>
      <c r="BT210" s="198">
        <v>0</v>
      </c>
      <c r="BU210" s="198">
        <v>0</v>
      </c>
      <c r="BV210" s="198">
        <v>0</v>
      </c>
      <c r="BW210" s="198">
        <v>0</v>
      </c>
      <c r="BX210" s="198">
        <v>0</v>
      </c>
      <c r="BY210" s="198">
        <v>0</v>
      </c>
      <c r="BZ210" s="198">
        <v>0</v>
      </c>
      <c r="CA210" s="198">
        <v>0</v>
      </c>
      <c r="CB210" s="198">
        <v>0</v>
      </c>
      <c r="CC210" s="198">
        <v>0</v>
      </c>
      <c r="CD210" s="198">
        <v>0</v>
      </c>
      <c r="CE210" s="198">
        <v>0</v>
      </c>
      <c r="CF210" s="198">
        <v>0</v>
      </c>
      <c r="CG210" s="198">
        <v>0</v>
      </c>
      <c r="CH210" s="198">
        <v>0</v>
      </c>
      <c r="CI210" s="198">
        <v>0</v>
      </c>
      <c r="CJ210" s="198">
        <v>0</v>
      </c>
      <c r="CK210" s="88"/>
    </row>
    <row r="211" spans="1:89" x14ac:dyDescent="0.3">
      <c r="A211" s="173"/>
      <c r="B211" s="197" t="s">
        <v>72</v>
      </c>
      <c r="C211" s="198">
        <v>0</v>
      </c>
      <c r="D211" s="198">
        <v>194.9</v>
      </c>
      <c r="E211" s="198">
        <v>0</v>
      </c>
      <c r="F211" s="198">
        <v>0</v>
      </c>
      <c r="G211" s="198">
        <v>374.7</v>
      </c>
      <c r="H211" s="198">
        <v>0</v>
      </c>
      <c r="I211" s="198">
        <v>0</v>
      </c>
      <c r="J211" s="198">
        <v>35.799999999999997</v>
      </c>
      <c r="K211" s="198">
        <v>149.30000000000001</v>
      </c>
      <c r="L211" s="198">
        <v>0</v>
      </c>
      <c r="M211" s="198">
        <v>43</v>
      </c>
      <c r="N211" s="198">
        <v>250</v>
      </c>
      <c r="O211" s="198">
        <v>0</v>
      </c>
      <c r="P211" s="198">
        <v>283.10000000000002</v>
      </c>
      <c r="Q211" s="198">
        <v>1380.6</v>
      </c>
      <c r="R211" s="198">
        <v>299.3</v>
      </c>
      <c r="S211" s="198">
        <v>97.2</v>
      </c>
      <c r="T211" s="198">
        <v>1092.5</v>
      </c>
      <c r="U211" s="198">
        <v>2494.6999999999998</v>
      </c>
      <c r="V211" s="198">
        <v>1538.2</v>
      </c>
      <c r="W211" s="198">
        <v>2407.1</v>
      </c>
      <c r="X211" s="198">
        <v>1820.8</v>
      </c>
      <c r="Y211" s="198">
        <v>2637.7</v>
      </c>
      <c r="Z211" s="198">
        <v>4792.6000000000004</v>
      </c>
      <c r="AA211" s="198">
        <v>1680.1</v>
      </c>
      <c r="AB211" s="198">
        <v>2389.8000000000002</v>
      </c>
      <c r="AC211" s="198">
        <v>563.70000000000005</v>
      </c>
      <c r="AD211" s="198">
        <v>516.5</v>
      </c>
      <c r="AE211" s="198">
        <v>2168.1</v>
      </c>
      <c r="AF211" s="198">
        <v>804.2</v>
      </c>
      <c r="AG211" s="198">
        <v>695.1</v>
      </c>
      <c r="AH211" s="198">
        <v>485.8</v>
      </c>
      <c r="AI211" s="198">
        <v>2075.1999999999998</v>
      </c>
      <c r="AJ211" s="198">
        <v>1922.9</v>
      </c>
      <c r="AK211" s="198">
        <v>1669.5</v>
      </c>
      <c r="AL211" s="198">
        <v>309.5</v>
      </c>
      <c r="AM211" s="198">
        <v>5373.9</v>
      </c>
      <c r="AN211" s="198">
        <v>2381</v>
      </c>
      <c r="AO211" s="198">
        <v>6262.8</v>
      </c>
      <c r="AP211" s="198">
        <v>4169.8999999999996</v>
      </c>
      <c r="AQ211" s="198">
        <v>3835.1</v>
      </c>
      <c r="AR211" s="198">
        <v>4736.5</v>
      </c>
      <c r="AS211" s="198">
        <v>4025.2</v>
      </c>
      <c r="AT211" s="198">
        <v>9047.2999999999993</v>
      </c>
      <c r="AU211" s="198">
        <v>877.1</v>
      </c>
      <c r="AV211" s="198">
        <v>1828</v>
      </c>
      <c r="AW211" s="198">
        <v>4911</v>
      </c>
      <c r="AX211" s="198">
        <v>2798.3</v>
      </c>
      <c r="AY211" s="198">
        <v>12169.1</v>
      </c>
      <c r="AZ211" s="198">
        <v>2785.5</v>
      </c>
      <c r="BA211" s="198">
        <v>18141.900000000001</v>
      </c>
      <c r="BB211" s="198">
        <v>3589.4</v>
      </c>
      <c r="BC211" s="198">
        <v>3987.7</v>
      </c>
      <c r="BD211" s="198">
        <v>4400.3999999999996</v>
      </c>
      <c r="BE211" s="198">
        <v>2857.7</v>
      </c>
      <c r="BF211" s="198">
        <v>265.39999999999998</v>
      </c>
      <c r="BG211" s="198">
        <v>1984.5</v>
      </c>
      <c r="BH211" s="198">
        <v>4217.6000000000004</v>
      </c>
      <c r="BI211" s="198">
        <v>3511.7</v>
      </c>
      <c r="BJ211" s="198">
        <v>0</v>
      </c>
      <c r="BK211" s="198">
        <v>3735.2</v>
      </c>
      <c r="BL211" s="198">
        <v>2507.8000000000002</v>
      </c>
      <c r="BM211" s="198">
        <v>541.5</v>
      </c>
      <c r="BN211" s="198">
        <v>0</v>
      </c>
      <c r="BO211" s="198">
        <v>1698.5</v>
      </c>
      <c r="BP211" s="198">
        <v>0</v>
      </c>
      <c r="BQ211" s="198">
        <v>0</v>
      </c>
      <c r="BR211" s="198">
        <v>0</v>
      </c>
      <c r="BS211" s="198">
        <v>0</v>
      </c>
      <c r="BT211" s="198">
        <v>0</v>
      </c>
      <c r="BU211" s="198">
        <v>0</v>
      </c>
      <c r="BV211" s="198">
        <v>0</v>
      </c>
      <c r="BW211" s="198">
        <v>0</v>
      </c>
      <c r="BX211" s="198">
        <v>0</v>
      </c>
      <c r="BY211" s="198">
        <v>0</v>
      </c>
      <c r="BZ211" s="198">
        <v>0</v>
      </c>
      <c r="CA211" s="198">
        <v>0</v>
      </c>
      <c r="CB211" s="198">
        <v>0</v>
      </c>
      <c r="CC211" s="198">
        <v>0</v>
      </c>
      <c r="CD211" s="198">
        <v>0</v>
      </c>
      <c r="CE211" s="198">
        <v>0</v>
      </c>
      <c r="CF211" s="198">
        <v>0</v>
      </c>
      <c r="CG211" s="198">
        <v>0</v>
      </c>
      <c r="CH211" s="198">
        <v>0</v>
      </c>
      <c r="CI211" s="198">
        <v>0</v>
      </c>
      <c r="CJ211" s="198">
        <v>0</v>
      </c>
      <c r="CK211" s="88"/>
    </row>
    <row r="212" spans="1:89" x14ac:dyDescent="0.3">
      <c r="A212" s="173"/>
      <c r="B212" s="197" t="s">
        <v>54</v>
      </c>
      <c r="C212" s="198">
        <v>2010.7</v>
      </c>
      <c r="D212" s="198">
        <v>2201.4</v>
      </c>
      <c r="E212" s="198">
        <v>1675.8</v>
      </c>
      <c r="F212" s="198">
        <v>2281.6999999999998</v>
      </c>
      <c r="G212" s="198">
        <v>2203.6</v>
      </c>
      <c r="H212" s="198">
        <v>1825.5</v>
      </c>
      <c r="I212" s="198">
        <v>2704.6</v>
      </c>
      <c r="J212" s="198">
        <v>1348.4</v>
      </c>
      <c r="K212" s="198">
        <v>1136.2</v>
      </c>
      <c r="L212" s="198">
        <v>1144</v>
      </c>
      <c r="M212" s="198">
        <v>1054</v>
      </c>
      <c r="N212" s="198">
        <v>667</v>
      </c>
      <c r="O212" s="198">
        <v>38.200000000000003</v>
      </c>
      <c r="P212" s="198">
        <v>57.6</v>
      </c>
      <c r="Q212" s="198">
        <v>0.3</v>
      </c>
      <c r="R212" s="198">
        <v>89.3</v>
      </c>
      <c r="S212" s="198">
        <v>2191.5</v>
      </c>
      <c r="T212" s="198">
        <v>0</v>
      </c>
      <c r="U212" s="198">
        <v>3692</v>
      </c>
      <c r="V212" s="198">
        <v>0</v>
      </c>
      <c r="W212" s="198">
        <v>2692.6</v>
      </c>
      <c r="X212" s="198">
        <v>90.8</v>
      </c>
      <c r="Y212" s="198">
        <v>1.2</v>
      </c>
      <c r="Z212" s="198">
        <v>0.2</v>
      </c>
      <c r="AA212" s="198">
        <v>0.2</v>
      </c>
      <c r="AB212" s="198">
        <v>0.8</v>
      </c>
      <c r="AC212" s="198">
        <v>0.1</v>
      </c>
      <c r="AD212" s="198">
        <v>0.2</v>
      </c>
      <c r="AE212" s="198">
        <v>0.5</v>
      </c>
      <c r="AF212" s="198">
        <v>0</v>
      </c>
      <c r="AG212" s="198">
        <v>20.399999999999999</v>
      </c>
      <c r="AH212" s="198">
        <v>0</v>
      </c>
      <c r="AI212" s="198">
        <v>0</v>
      </c>
      <c r="AJ212" s="198">
        <v>0.2</v>
      </c>
      <c r="AK212" s="198">
        <v>0.7</v>
      </c>
      <c r="AL212" s="198">
        <v>0.1</v>
      </c>
      <c r="AM212" s="198">
        <v>0.1</v>
      </c>
      <c r="AN212" s="198">
        <v>0</v>
      </c>
      <c r="AO212" s="198">
        <v>0</v>
      </c>
      <c r="AP212" s="198">
        <v>0.3</v>
      </c>
      <c r="AQ212" s="198">
        <v>0</v>
      </c>
      <c r="AR212" s="198">
        <v>0</v>
      </c>
      <c r="AS212" s="198">
        <v>0</v>
      </c>
      <c r="AT212" s="198">
        <v>0</v>
      </c>
      <c r="AU212" s="198">
        <v>0</v>
      </c>
      <c r="AV212" s="198">
        <v>6.4</v>
      </c>
      <c r="AW212" s="198">
        <v>0</v>
      </c>
      <c r="AX212" s="198">
        <v>0</v>
      </c>
      <c r="AY212" s="198">
        <v>0</v>
      </c>
      <c r="AZ212" s="198">
        <v>0</v>
      </c>
      <c r="BA212" s="198">
        <v>0</v>
      </c>
      <c r="BB212" s="198">
        <v>0</v>
      </c>
      <c r="BC212" s="198">
        <v>0</v>
      </c>
      <c r="BD212" s="198">
        <v>0</v>
      </c>
      <c r="BE212" s="198">
        <v>0</v>
      </c>
      <c r="BF212" s="198">
        <v>0</v>
      </c>
      <c r="BG212" s="198">
        <v>0</v>
      </c>
      <c r="BH212" s="198">
        <v>0</v>
      </c>
      <c r="BI212" s="198">
        <v>0</v>
      </c>
      <c r="BJ212" s="198">
        <v>0</v>
      </c>
      <c r="BK212" s="198">
        <v>0</v>
      </c>
      <c r="BL212" s="198">
        <v>0</v>
      </c>
      <c r="BM212" s="198">
        <v>0</v>
      </c>
      <c r="BN212" s="198">
        <v>0</v>
      </c>
      <c r="BO212" s="198">
        <v>0</v>
      </c>
      <c r="BP212" s="198">
        <v>0</v>
      </c>
      <c r="BQ212" s="198">
        <v>0</v>
      </c>
      <c r="BR212" s="198">
        <v>0</v>
      </c>
      <c r="BS212" s="198">
        <v>0</v>
      </c>
      <c r="BT212" s="198">
        <v>0</v>
      </c>
      <c r="BU212" s="198">
        <v>0</v>
      </c>
      <c r="BV212" s="198">
        <v>0</v>
      </c>
      <c r="BW212" s="198">
        <v>0</v>
      </c>
      <c r="BX212" s="198">
        <v>0</v>
      </c>
      <c r="BY212" s="198">
        <v>0</v>
      </c>
      <c r="BZ212" s="198">
        <v>0</v>
      </c>
      <c r="CA212" s="198">
        <v>0</v>
      </c>
      <c r="CB212" s="198">
        <v>0</v>
      </c>
      <c r="CC212" s="198">
        <v>0</v>
      </c>
      <c r="CD212" s="198">
        <v>0</v>
      </c>
      <c r="CE212" s="198">
        <v>0</v>
      </c>
      <c r="CF212" s="198">
        <v>0</v>
      </c>
      <c r="CG212" s="198">
        <v>0</v>
      </c>
      <c r="CH212" s="198">
        <v>0</v>
      </c>
      <c r="CI212" s="198">
        <v>0</v>
      </c>
      <c r="CJ212" s="198">
        <v>0</v>
      </c>
      <c r="CK212" s="88"/>
    </row>
    <row r="213" spans="1:89" x14ac:dyDescent="0.3">
      <c r="A213" s="173"/>
      <c r="B213" s="197" t="s">
        <v>151</v>
      </c>
      <c r="C213" s="200">
        <v>0</v>
      </c>
      <c r="D213" s="200">
        <v>0</v>
      </c>
      <c r="E213" s="200">
        <v>0</v>
      </c>
      <c r="F213" s="200">
        <v>0</v>
      </c>
      <c r="G213" s="200">
        <v>0</v>
      </c>
      <c r="H213" s="200">
        <v>500</v>
      </c>
      <c r="I213" s="198">
        <v>0</v>
      </c>
      <c r="J213" s="198">
        <v>0</v>
      </c>
      <c r="K213" s="198">
        <v>0</v>
      </c>
      <c r="L213" s="198">
        <v>76</v>
      </c>
      <c r="M213" s="198">
        <v>38</v>
      </c>
      <c r="N213" s="198">
        <v>149</v>
      </c>
      <c r="O213" s="198">
        <v>122.8</v>
      </c>
      <c r="P213" s="198">
        <v>60.5</v>
      </c>
      <c r="Q213" s="198">
        <v>471.6</v>
      </c>
      <c r="R213" s="198">
        <v>0</v>
      </c>
      <c r="S213" s="198">
        <v>0</v>
      </c>
      <c r="T213" s="198">
        <v>0</v>
      </c>
      <c r="U213" s="198">
        <v>414.7</v>
      </c>
      <c r="V213" s="198">
        <v>0</v>
      </c>
      <c r="W213" s="198">
        <v>2.4</v>
      </c>
      <c r="X213" s="198">
        <v>30</v>
      </c>
      <c r="Y213" s="198">
        <v>0</v>
      </c>
      <c r="Z213" s="198">
        <v>0</v>
      </c>
      <c r="AA213" s="198">
        <v>65.5</v>
      </c>
      <c r="AB213" s="198">
        <v>0</v>
      </c>
      <c r="AC213" s="198">
        <v>0</v>
      </c>
      <c r="AD213" s="198">
        <v>64.099999999999994</v>
      </c>
      <c r="AE213" s="198">
        <v>0</v>
      </c>
      <c r="AF213" s="198">
        <v>0</v>
      </c>
      <c r="AG213" s="198">
        <v>46.3</v>
      </c>
      <c r="AH213" s="198">
        <v>0</v>
      </c>
      <c r="AI213" s="198">
        <v>0</v>
      </c>
      <c r="AJ213" s="198">
        <v>57.1</v>
      </c>
      <c r="AK213" s="198">
        <v>0</v>
      </c>
      <c r="AL213" s="198">
        <v>0</v>
      </c>
      <c r="AM213" s="198">
        <v>52.8</v>
      </c>
      <c r="AN213" s="198">
        <v>0</v>
      </c>
      <c r="AO213" s="198">
        <v>0</v>
      </c>
      <c r="AP213" s="198">
        <v>50.8</v>
      </c>
      <c r="AQ213" s="198">
        <v>0</v>
      </c>
      <c r="AR213" s="198">
        <v>0</v>
      </c>
      <c r="AS213" s="198">
        <v>50.1</v>
      </c>
      <c r="AT213" s="198">
        <v>0</v>
      </c>
      <c r="AU213" s="198">
        <v>0</v>
      </c>
      <c r="AV213" s="198">
        <v>57.6</v>
      </c>
      <c r="AW213" s="198">
        <v>0</v>
      </c>
      <c r="AX213" s="198">
        <v>0</v>
      </c>
      <c r="AY213" s="198">
        <v>94.3</v>
      </c>
      <c r="AZ213" s="198">
        <v>0</v>
      </c>
      <c r="BA213" s="198">
        <v>0</v>
      </c>
      <c r="BB213" s="198">
        <v>113</v>
      </c>
      <c r="BC213" s="198">
        <v>0</v>
      </c>
      <c r="BD213" s="198">
        <v>0</v>
      </c>
      <c r="BE213" s="198">
        <v>128.9</v>
      </c>
      <c r="BF213" s="198">
        <v>0</v>
      </c>
      <c r="BG213" s="198">
        <v>0</v>
      </c>
      <c r="BH213" s="198">
        <v>111.8</v>
      </c>
      <c r="BI213" s="198">
        <v>0</v>
      </c>
      <c r="BJ213" s="198">
        <v>0</v>
      </c>
      <c r="BK213" s="198">
        <v>30.9</v>
      </c>
      <c r="BL213" s="198">
        <v>0</v>
      </c>
      <c r="BM213" s="198">
        <v>0</v>
      </c>
      <c r="BN213" s="198">
        <v>7</v>
      </c>
      <c r="BO213" s="198">
        <v>0</v>
      </c>
      <c r="BP213" s="198">
        <v>0</v>
      </c>
      <c r="BQ213" s="198">
        <v>7</v>
      </c>
      <c r="BR213" s="198">
        <v>0</v>
      </c>
      <c r="BS213" s="198">
        <v>0</v>
      </c>
      <c r="BT213" s="198">
        <v>0.4</v>
      </c>
      <c r="BU213" s="198">
        <v>0</v>
      </c>
      <c r="BV213" s="198">
        <v>0</v>
      </c>
      <c r="BW213" s="198">
        <v>0</v>
      </c>
      <c r="BX213" s="198">
        <v>0</v>
      </c>
      <c r="BY213" s="198">
        <v>0</v>
      </c>
      <c r="BZ213" s="198">
        <v>0</v>
      </c>
      <c r="CA213" s="198">
        <v>0</v>
      </c>
      <c r="CB213" s="198">
        <v>0</v>
      </c>
      <c r="CC213" s="198">
        <v>0</v>
      </c>
      <c r="CD213" s="198">
        <v>0</v>
      </c>
      <c r="CE213" s="198">
        <v>0</v>
      </c>
      <c r="CF213" s="198">
        <v>0</v>
      </c>
      <c r="CG213" s="198">
        <v>0</v>
      </c>
      <c r="CH213" s="198">
        <v>0</v>
      </c>
      <c r="CI213" s="198">
        <v>0</v>
      </c>
      <c r="CJ213" s="198">
        <v>0</v>
      </c>
      <c r="CK213" s="88"/>
    </row>
    <row r="214" spans="1:89" x14ac:dyDescent="0.3">
      <c r="A214" s="173"/>
      <c r="B214" s="201" t="s">
        <v>162</v>
      </c>
      <c r="C214" s="200">
        <v>0</v>
      </c>
      <c r="D214" s="200">
        <v>0</v>
      </c>
      <c r="E214" s="200">
        <v>0</v>
      </c>
      <c r="F214" s="200">
        <v>0</v>
      </c>
      <c r="G214" s="200">
        <v>0</v>
      </c>
      <c r="H214" s="200">
        <v>0</v>
      </c>
      <c r="I214" s="198">
        <v>0</v>
      </c>
      <c r="J214" s="198">
        <v>0</v>
      </c>
      <c r="K214" s="198">
        <v>0</v>
      </c>
      <c r="L214" s="198">
        <v>0</v>
      </c>
      <c r="M214" s="198">
        <v>0</v>
      </c>
      <c r="N214" s="198">
        <v>0</v>
      </c>
      <c r="O214" s="198">
        <v>0</v>
      </c>
      <c r="P214" s="198">
        <v>0</v>
      </c>
      <c r="Q214" s="198">
        <v>0</v>
      </c>
      <c r="R214" s="198">
        <v>0</v>
      </c>
      <c r="S214" s="198">
        <v>0</v>
      </c>
      <c r="T214" s="198">
        <v>0</v>
      </c>
      <c r="U214" s="198">
        <v>0</v>
      </c>
      <c r="V214" s="198">
        <v>0</v>
      </c>
      <c r="W214" s="198">
        <v>0</v>
      </c>
      <c r="X214" s="198">
        <v>0</v>
      </c>
      <c r="Y214" s="198">
        <v>0</v>
      </c>
      <c r="Z214" s="198">
        <v>0</v>
      </c>
      <c r="AA214" s="198">
        <v>0</v>
      </c>
      <c r="AB214" s="198">
        <v>0</v>
      </c>
      <c r="AC214" s="198">
        <v>0</v>
      </c>
      <c r="AD214" s="198">
        <v>0</v>
      </c>
      <c r="AE214" s="198">
        <v>0</v>
      </c>
      <c r="AF214" s="198">
        <v>0</v>
      </c>
      <c r="AG214" s="198">
        <v>0</v>
      </c>
      <c r="AH214" s="198">
        <v>0</v>
      </c>
      <c r="AI214" s="198">
        <v>0</v>
      </c>
      <c r="AJ214" s="198">
        <v>0</v>
      </c>
      <c r="AK214" s="198">
        <v>0</v>
      </c>
      <c r="AL214" s="198">
        <v>0</v>
      </c>
      <c r="AM214" s="198">
        <v>0</v>
      </c>
      <c r="AN214" s="198">
        <v>0</v>
      </c>
      <c r="AO214" s="198">
        <v>0</v>
      </c>
      <c r="AP214" s="198">
        <v>0</v>
      </c>
      <c r="AQ214" s="198">
        <v>0</v>
      </c>
      <c r="AR214" s="198">
        <v>0</v>
      </c>
      <c r="AS214" s="198">
        <v>0</v>
      </c>
      <c r="AT214" s="198">
        <v>0</v>
      </c>
      <c r="AU214" s="198">
        <v>0</v>
      </c>
      <c r="AV214" s="198">
        <v>0</v>
      </c>
      <c r="AW214" s="198">
        <v>0</v>
      </c>
      <c r="AX214" s="198">
        <v>0</v>
      </c>
      <c r="AY214" s="198">
        <v>0</v>
      </c>
      <c r="AZ214" s="198">
        <v>0</v>
      </c>
      <c r="BA214" s="198">
        <v>0</v>
      </c>
      <c r="BB214" s="198">
        <v>0</v>
      </c>
      <c r="BC214" s="198">
        <v>0</v>
      </c>
      <c r="BD214" s="198">
        <v>0</v>
      </c>
      <c r="BE214" s="198">
        <v>0</v>
      </c>
      <c r="BF214" s="198">
        <v>0</v>
      </c>
      <c r="BG214" s="198">
        <v>0</v>
      </c>
      <c r="BH214" s="198">
        <v>620.5</v>
      </c>
      <c r="BI214" s="198">
        <v>0</v>
      </c>
      <c r="BJ214" s="198">
        <v>0</v>
      </c>
      <c r="BK214" s="198">
        <v>0</v>
      </c>
      <c r="BL214" s="198">
        <v>0</v>
      </c>
      <c r="BM214" s="198">
        <v>0</v>
      </c>
      <c r="BN214" s="198">
        <v>0</v>
      </c>
      <c r="BO214" s="198">
        <v>0</v>
      </c>
      <c r="BP214" s="198">
        <v>0</v>
      </c>
      <c r="BQ214" s="198">
        <v>0</v>
      </c>
      <c r="BR214" s="198">
        <v>0</v>
      </c>
      <c r="BS214" s="198">
        <v>0</v>
      </c>
      <c r="BT214" s="198">
        <v>0</v>
      </c>
      <c r="BU214" s="198">
        <v>0</v>
      </c>
      <c r="BV214" s="198">
        <v>0</v>
      </c>
      <c r="BW214" s="198">
        <v>0</v>
      </c>
      <c r="BX214" s="198">
        <v>0</v>
      </c>
      <c r="BY214" s="198">
        <v>0</v>
      </c>
      <c r="BZ214" s="198">
        <v>0</v>
      </c>
      <c r="CA214" s="198">
        <v>0</v>
      </c>
      <c r="CB214" s="198">
        <v>0</v>
      </c>
      <c r="CC214" s="198">
        <v>0</v>
      </c>
      <c r="CD214" s="198">
        <v>0</v>
      </c>
      <c r="CE214" s="198">
        <v>0</v>
      </c>
      <c r="CF214" s="198">
        <v>3231.1</v>
      </c>
      <c r="CG214" s="198">
        <v>4010</v>
      </c>
      <c r="CH214" s="198">
        <v>0</v>
      </c>
      <c r="CI214" s="198">
        <v>7770.9</v>
      </c>
      <c r="CJ214" s="198">
        <v>2394.1999999999998</v>
      </c>
      <c r="CK214" s="88"/>
    </row>
    <row r="215" spans="1:89" x14ac:dyDescent="0.3">
      <c r="A215" s="173"/>
      <c r="B215" s="197" t="s">
        <v>171</v>
      </c>
      <c r="C215" s="200">
        <v>0</v>
      </c>
      <c r="D215" s="200">
        <v>0</v>
      </c>
      <c r="E215" s="200">
        <v>0</v>
      </c>
      <c r="F215" s="200">
        <v>0</v>
      </c>
      <c r="G215" s="200">
        <v>0</v>
      </c>
      <c r="H215" s="200">
        <v>0</v>
      </c>
      <c r="I215" s="198">
        <v>0</v>
      </c>
      <c r="J215" s="198">
        <v>0</v>
      </c>
      <c r="K215" s="198">
        <v>0</v>
      </c>
      <c r="L215" s="198">
        <v>0</v>
      </c>
      <c r="M215" s="198">
        <v>0</v>
      </c>
      <c r="N215" s="198">
        <v>0</v>
      </c>
      <c r="O215" s="198">
        <v>0</v>
      </c>
      <c r="P215" s="198">
        <v>0</v>
      </c>
      <c r="Q215" s="198">
        <v>0</v>
      </c>
      <c r="R215" s="198">
        <v>0</v>
      </c>
      <c r="S215" s="198">
        <v>58.4</v>
      </c>
      <c r="T215" s="198">
        <v>0</v>
      </c>
      <c r="U215" s="198">
        <v>0</v>
      </c>
      <c r="V215" s="198">
        <v>0</v>
      </c>
      <c r="W215" s="198">
        <v>0</v>
      </c>
      <c r="X215" s="198">
        <v>0</v>
      </c>
      <c r="Y215" s="198">
        <v>0</v>
      </c>
      <c r="Z215" s="198">
        <v>0</v>
      </c>
      <c r="AA215" s="198">
        <v>3</v>
      </c>
      <c r="AB215" s="198">
        <v>0</v>
      </c>
      <c r="AC215" s="198">
        <v>0</v>
      </c>
      <c r="AD215" s="198">
        <v>48.6</v>
      </c>
      <c r="AE215" s="198">
        <v>0</v>
      </c>
      <c r="AF215" s="198">
        <v>0</v>
      </c>
      <c r="AG215" s="198">
        <v>109.9</v>
      </c>
      <c r="AH215" s="198">
        <v>0</v>
      </c>
      <c r="AI215" s="198">
        <v>0</v>
      </c>
      <c r="AJ215" s="198">
        <v>52.5</v>
      </c>
      <c r="AK215" s="198">
        <v>0</v>
      </c>
      <c r="AL215" s="198">
        <v>0</v>
      </c>
      <c r="AM215" s="198">
        <v>114.7</v>
      </c>
      <c r="AN215" s="198">
        <v>0</v>
      </c>
      <c r="AO215" s="198">
        <v>0</v>
      </c>
      <c r="AP215" s="198">
        <v>58.8</v>
      </c>
      <c r="AQ215" s="198">
        <v>0</v>
      </c>
      <c r="AR215" s="198">
        <v>0</v>
      </c>
      <c r="AS215" s="198">
        <v>106</v>
      </c>
      <c r="AT215" s="198">
        <v>0</v>
      </c>
      <c r="AU215" s="198">
        <v>59.3</v>
      </c>
      <c r="AV215" s="198">
        <v>0</v>
      </c>
      <c r="AW215" s="198">
        <v>0</v>
      </c>
      <c r="AX215" s="198">
        <v>379.8</v>
      </c>
      <c r="AY215" s="198">
        <v>0</v>
      </c>
      <c r="AZ215" s="198">
        <v>0</v>
      </c>
      <c r="BA215" s="198">
        <v>83.7</v>
      </c>
      <c r="BB215" s="198">
        <v>0</v>
      </c>
      <c r="BC215" s="198">
        <v>0</v>
      </c>
      <c r="BD215" s="198">
        <v>317</v>
      </c>
      <c r="BE215" s="198">
        <v>0</v>
      </c>
      <c r="BF215" s="198">
        <v>0</v>
      </c>
      <c r="BG215" s="198">
        <v>94.3</v>
      </c>
      <c r="BH215" s="198">
        <v>0</v>
      </c>
      <c r="BI215" s="198">
        <v>0</v>
      </c>
      <c r="BJ215" s="198">
        <v>262.89999999999998</v>
      </c>
      <c r="BK215" s="198">
        <v>0</v>
      </c>
      <c r="BL215" s="198">
        <v>0</v>
      </c>
      <c r="BM215" s="198">
        <v>78.400000000000006</v>
      </c>
      <c r="BN215" s="198">
        <v>0</v>
      </c>
      <c r="BO215" s="198">
        <v>0</v>
      </c>
      <c r="BP215" s="198">
        <v>154.1</v>
      </c>
      <c r="BQ215" s="198">
        <v>0</v>
      </c>
      <c r="BR215" s="198">
        <v>0</v>
      </c>
      <c r="BS215" s="198">
        <v>0</v>
      </c>
      <c r="BT215" s="198">
        <v>0</v>
      </c>
      <c r="BU215" s="198">
        <v>0</v>
      </c>
      <c r="BV215" s="198">
        <v>0</v>
      </c>
      <c r="BW215" s="198">
        <v>0</v>
      </c>
      <c r="BX215" s="198">
        <v>0</v>
      </c>
      <c r="BY215" s="198">
        <v>0</v>
      </c>
      <c r="BZ215" s="198">
        <v>0</v>
      </c>
      <c r="CA215" s="198">
        <v>0</v>
      </c>
      <c r="CB215" s="198">
        <v>0</v>
      </c>
      <c r="CC215" s="198">
        <v>0</v>
      </c>
      <c r="CD215" s="198">
        <v>0</v>
      </c>
      <c r="CE215" s="198">
        <v>0</v>
      </c>
      <c r="CF215" s="198">
        <v>0</v>
      </c>
      <c r="CG215" s="198">
        <v>0</v>
      </c>
      <c r="CH215" s="198">
        <v>0</v>
      </c>
      <c r="CI215" s="198">
        <v>0</v>
      </c>
      <c r="CJ215" s="198">
        <v>0</v>
      </c>
      <c r="CK215" s="88"/>
    </row>
    <row r="216" spans="1:89" x14ac:dyDescent="0.3">
      <c r="A216" s="173"/>
      <c r="B216" s="197" t="s">
        <v>222</v>
      </c>
      <c r="C216" s="198">
        <v>0</v>
      </c>
      <c r="D216" s="198">
        <v>0</v>
      </c>
      <c r="E216" s="198">
        <v>0</v>
      </c>
      <c r="F216" s="198">
        <v>0</v>
      </c>
      <c r="G216" s="198">
        <v>0</v>
      </c>
      <c r="H216" s="198">
        <v>0</v>
      </c>
      <c r="I216" s="198">
        <v>0</v>
      </c>
      <c r="J216" s="198">
        <v>0</v>
      </c>
      <c r="K216" s="198">
        <v>0</v>
      </c>
      <c r="L216" s="198">
        <v>0</v>
      </c>
      <c r="M216" s="198">
        <v>0</v>
      </c>
      <c r="N216" s="198">
        <v>0</v>
      </c>
      <c r="O216" s="198">
        <v>0</v>
      </c>
      <c r="P216" s="198">
        <v>0</v>
      </c>
      <c r="Q216" s="198">
        <v>0</v>
      </c>
      <c r="R216" s="198">
        <v>0</v>
      </c>
      <c r="S216" s="198">
        <v>0</v>
      </c>
      <c r="T216" s="198">
        <v>0</v>
      </c>
      <c r="U216" s="198">
        <v>0</v>
      </c>
      <c r="V216" s="198">
        <v>0</v>
      </c>
      <c r="W216" s="198">
        <v>0</v>
      </c>
      <c r="X216" s="198">
        <v>0</v>
      </c>
      <c r="Y216" s="198">
        <v>0</v>
      </c>
      <c r="Z216" s="198">
        <v>0</v>
      </c>
      <c r="AA216" s="198">
        <v>0.9</v>
      </c>
      <c r="AB216" s="198">
        <v>0</v>
      </c>
      <c r="AC216" s="198">
        <v>0</v>
      </c>
      <c r="AD216" s="198">
        <v>15</v>
      </c>
      <c r="AE216" s="198">
        <v>0</v>
      </c>
      <c r="AF216" s="198">
        <v>0</v>
      </c>
      <c r="AG216" s="198">
        <v>1.7</v>
      </c>
      <c r="AH216" s="198">
        <v>0</v>
      </c>
      <c r="AI216" s="198">
        <v>0</v>
      </c>
      <c r="AJ216" s="198">
        <v>15.2</v>
      </c>
      <c r="AK216" s="198">
        <v>0</v>
      </c>
      <c r="AL216" s="198">
        <v>0</v>
      </c>
      <c r="AM216" s="198">
        <v>2.9</v>
      </c>
      <c r="AN216" s="198">
        <v>0</v>
      </c>
      <c r="AO216" s="198">
        <v>0</v>
      </c>
      <c r="AP216" s="198">
        <v>14.8</v>
      </c>
      <c r="AQ216" s="198">
        <v>0</v>
      </c>
      <c r="AR216" s="198">
        <v>0</v>
      </c>
      <c r="AS216" s="198">
        <v>3.6</v>
      </c>
      <c r="AT216" s="198">
        <v>0</v>
      </c>
      <c r="AU216" s="198">
        <v>13.2</v>
      </c>
      <c r="AV216" s="198">
        <v>0</v>
      </c>
      <c r="AW216" s="198">
        <v>0</v>
      </c>
      <c r="AX216" s="198">
        <v>4.0999999999999996</v>
      </c>
      <c r="AY216" s="198">
        <v>0</v>
      </c>
      <c r="AZ216" s="198">
        <v>0</v>
      </c>
      <c r="BA216" s="198">
        <v>10.9</v>
      </c>
      <c r="BB216" s="198">
        <v>0</v>
      </c>
      <c r="BC216" s="198">
        <v>0</v>
      </c>
      <c r="BD216" s="198">
        <v>4.7</v>
      </c>
      <c r="BE216" s="198">
        <v>0</v>
      </c>
      <c r="BF216" s="198">
        <v>0</v>
      </c>
      <c r="BG216" s="198">
        <v>0</v>
      </c>
      <c r="BH216" s="198">
        <v>0</v>
      </c>
      <c r="BI216" s="198">
        <v>0</v>
      </c>
      <c r="BJ216" s="198">
        <v>0</v>
      </c>
      <c r="BK216" s="198">
        <v>0</v>
      </c>
      <c r="BL216" s="198">
        <v>0</v>
      </c>
      <c r="BM216" s="198">
        <v>0</v>
      </c>
      <c r="BN216" s="198">
        <v>0</v>
      </c>
      <c r="BO216" s="198">
        <v>0</v>
      </c>
      <c r="BP216" s="198">
        <v>0</v>
      </c>
      <c r="BQ216" s="198">
        <v>0</v>
      </c>
      <c r="BR216" s="198">
        <v>0</v>
      </c>
      <c r="BS216" s="198">
        <v>0</v>
      </c>
      <c r="BT216" s="198">
        <v>0</v>
      </c>
      <c r="BU216" s="198">
        <v>0</v>
      </c>
      <c r="BV216" s="198">
        <v>0</v>
      </c>
      <c r="BW216" s="198">
        <v>0</v>
      </c>
      <c r="BX216" s="198">
        <v>0</v>
      </c>
      <c r="BY216" s="198">
        <v>0</v>
      </c>
      <c r="BZ216" s="198">
        <v>0</v>
      </c>
      <c r="CA216" s="198">
        <v>0</v>
      </c>
      <c r="CB216" s="198">
        <v>0</v>
      </c>
      <c r="CC216" s="198">
        <v>0</v>
      </c>
      <c r="CD216" s="198">
        <v>0</v>
      </c>
      <c r="CE216" s="198">
        <v>0</v>
      </c>
      <c r="CF216" s="198">
        <v>0</v>
      </c>
      <c r="CG216" s="198">
        <v>0</v>
      </c>
      <c r="CH216" s="198">
        <v>0</v>
      </c>
      <c r="CI216" s="198">
        <v>0</v>
      </c>
      <c r="CJ216" s="198">
        <v>0</v>
      </c>
      <c r="CK216" s="88"/>
    </row>
    <row r="217" spans="1:89" x14ac:dyDescent="0.3">
      <c r="A217" s="173"/>
      <c r="B217" s="197" t="s">
        <v>70</v>
      </c>
      <c r="C217" s="198">
        <v>158.69999999999999</v>
      </c>
      <c r="D217" s="200">
        <v>0</v>
      </c>
      <c r="E217" s="200">
        <v>128.19999999999999</v>
      </c>
      <c r="F217" s="200">
        <v>0</v>
      </c>
      <c r="G217" s="200">
        <v>68.2</v>
      </c>
      <c r="H217" s="200">
        <v>200.6</v>
      </c>
      <c r="I217" s="198">
        <v>0</v>
      </c>
      <c r="J217" s="198">
        <v>455.9</v>
      </c>
      <c r="K217" s="198">
        <v>0</v>
      </c>
      <c r="L217" s="198">
        <v>162</v>
      </c>
      <c r="M217" s="198">
        <v>0</v>
      </c>
      <c r="N217" s="198">
        <v>830</v>
      </c>
      <c r="O217" s="198">
        <v>0</v>
      </c>
      <c r="P217" s="198">
        <v>0</v>
      </c>
      <c r="Q217" s="198">
        <v>0</v>
      </c>
      <c r="R217" s="198">
        <v>0</v>
      </c>
      <c r="S217" s="198">
        <v>0</v>
      </c>
      <c r="T217" s="198">
        <v>0</v>
      </c>
      <c r="U217" s="198">
        <v>0</v>
      </c>
      <c r="V217" s="198">
        <v>0</v>
      </c>
      <c r="W217" s="198">
        <v>0</v>
      </c>
      <c r="X217" s="198">
        <v>0</v>
      </c>
      <c r="Y217" s="198">
        <v>0</v>
      </c>
      <c r="Z217" s="198">
        <v>0</v>
      </c>
      <c r="AA217" s="198">
        <v>0</v>
      </c>
      <c r="AB217" s="198">
        <v>0</v>
      </c>
      <c r="AC217" s="198">
        <v>0</v>
      </c>
      <c r="AD217" s="198">
        <v>0</v>
      </c>
      <c r="AE217" s="198">
        <v>0</v>
      </c>
      <c r="AF217" s="198">
        <v>0</v>
      </c>
      <c r="AG217" s="198">
        <v>0</v>
      </c>
      <c r="AH217" s="198">
        <v>0</v>
      </c>
      <c r="AI217" s="198">
        <v>0</v>
      </c>
      <c r="AJ217" s="198">
        <v>0</v>
      </c>
      <c r="AK217" s="198">
        <v>0</v>
      </c>
      <c r="AL217" s="198">
        <v>0</v>
      </c>
      <c r="AM217" s="198">
        <v>0</v>
      </c>
      <c r="AN217" s="198">
        <v>0</v>
      </c>
      <c r="AO217" s="198">
        <v>0</v>
      </c>
      <c r="AP217" s="198">
        <v>0</v>
      </c>
      <c r="AQ217" s="198">
        <v>0</v>
      </c>
      <c r="AR217" s="198">
        <v>0</v>
      </c>
      <c r="AS217" s="198">
        <v>0</v>
      </c>
      <c r="AT217" s="198">
        <v>0</v>
      </c>
      <c r="AU217" s="198">
        <v>0</v>
      </c>
      <c r="AV217" s="198">
        <v>0</v>
      </c>
      <c r="AW217" s="198">
        <v>0</v>
      </c>
      <c r="AX217" s="198">
        <v>0</v>
      </c>
      <c r="AY217" s="198">
        <v>0</v>
      </c>
      <c r="AZ217" s="198">
        <v>0</v>
      </c>
      <c r="BA217" s="198">
        <v>0</v>
      </c>
      <c r="BB217" s="198">
        <v>0</v>
      </c>
      <c r="BC217" s="198">
        <v>0</v>
      </c>
      <c r="BD217" s="198">
        <v>0</v>
      </c>
      <c r="BE217" s="198">
        <v>0</v>
      </c>
      <c r="BF217" s="198">
        <v>0</v>
      </c>
      <c r="BG217" s="198">
        <v>0</v>
      </c>
      <c r="BH217" s="198">
        <v>0</v>
      </c>
      <c r="BI217" s="198">
        <v>0</v>
      </c>
      <c r="BJ217" s="198">
        <v>0</v>
      </c>
      <c r="BK217" s="198">
        <v>0</v>
      </c>
      <c r="BL217" s="198">
        <v>0</v>
      </c>
      <c r="BM217" s="198">
        <v>0</v>
      </c>
      <c r="BN217" s="198">
        <v>0</v>
      </c>
      <c r="BO217" s="198">
        <v>0</v>
      </c>
      <c r="BP217" s="198">
        <v>0</v>
      </c>
      <c r="BQ217" s="198">
        <v>0</v>
      </c>
      <c r="BR217" s="198">
        <v>0</v>
      </c>
      <c r="BS217" s="198">
        <v>0</v>
      </c>
      <c r="BT217" s="198">
        <v>0</v>
      </c>
      <c r="BU217" s="198">
        <v>0</v>
      </c>
      <c r="BV217" s="198">
        <v>0</v>
      </c>
      <c r="BW217" s="198">
        <v>0</v>
      </c>
      <c r="BX217" s="198">
        <v>0</v>
      </c>
      <c r="BY217" s="198">
        <v>0</v>
      </c>
      <c r="BZ217" s="198">
        <v>0</v>
      </c>
      <c r="CA217" s="198">
        <v>0</v>
      </c>
      <c r="CB217" s="198">
        <v>0</v>
      </c>
      <c r="CC217" s="198">
        <v>0</v>
      </c>
      <c r="CD217" s="198">
        <v>0</v>
      </c>
      <c r="CE217" s="198">
        <v>0</v>
      </c>
      <c r="CF217" s="198">
        <v>0</v>
      </c>
      <c r="CG217" s="198">
        <v>0</v>
      </c>
      <c r="CH217" s="198">
        <v>0</v>
      </c>
      <c r="CI217" s="198">
        <v>0</v>
      </c>
      <c r="CJ217" s="198">
        <v>0</v>
      </c>
      <c r="CK217" s="88"/>
    </row>
    <row r="218" spans="1:89" x14ac:dyDescent="0.3">
      <c r="A218" s="173"/>
      <c r="B218" s="197" t="s">
        <v>172</v>
      </c>
      <c r="C218" s="198">
        <v>0</v>
      </c>
      <c r="D218" s="200">
        <v>0</v>
      </c>
      <c r="E218" s="200">
        <v>0</v>
      </c>
      <c r="F218" s="200">
        <v>0</v>
      </c>
      <c r="G218" s="200">
        <v>0</v>
      </c>
      <c r="H218" s="200">
        <v>0</v>
      </c>
      <c r="I218" s="198">
        <v>0</v>
      </c>
      <c r="J218" s="198">
        <v>0</v>
      </c>
      <c r="K218" s="198">
        <v>0</v>
      </c>
      <c r="L218" s="198">
        <v>0</v>
      </c>
      <c r="M218" s="198">
        <v>0</v>
      </c>
      <c r="N218" s="198">
        <v>0</v>
      </c>
      <c r="O218" s="198">
        <v>0</v>
      </c>
      <c r="P218" s="198">
        <v>0</v>
      </c>
      <c r="Q218" s="198">
        <v>0</v>
      </c>
      <c r="R218" s="198">
        <v>0</v>
      </c>
      <c r="S218" s="198">
        <v>1.3</v>
      </c>
      <c r="T218" s="198">
        <v>0</v>
      </c>
      <c r="U218" s="198">
        <v>0</v>
      </c>
      <c r="V218" s="198">
        <v>0</v>
      </c>
      <c r="W218" s="198">
        <v>0</v>
      </c>
      <c r="X218" s="198">
        <v>0</v>
      </c>
      <c r="Y218" s="198">
        <v>0</v>
      </c>
      <c r="Z218" s="198">
        <v>0</v>
      </c>
      <c r="AA218" s="198">
        <v>0.1</v>
      </c>
      <c r="AB218" s="198">
        <v>0</v>
      </c>
      <c r="AC218" s="198">
        <v>0</v>
      </c>
      <c r="AD218" s="198">
        <v>1.1000000000000001</v>
      </c>
      <c r="AE218" s="198">
        <v>0</v>
      </c>
      <c r="AF218" s="198">
        <v>0</v>
      </c>
      <c r="AG218" s="198">
        <v>0.1</v>
      </c>
      <c r="AH218" s="198">
        <v>0</v>
      </c>
      <c r="AI218" s="198">
        <v>0</v>
      </c>
      <c r="AJ218" s="198">
        <v>1.1000000000000001</v>
      </c>
      <c r="AK218" s="198">
        <v>0</v>
      </c>
      <c r="AL218" s="198">
        <v>0</v>
      </c>
      <c r="AM218" s="198">
        <v>0.2</v>
      </c>
      <c r="AN218" s="198">
        <v>0</v>
      </c>
      <c r="AO218" s="198">
        <v>0</v>
      </c>
      <c r="AP218" s="198">
        <v>1.1000000000000001</v>
      </c>
      <c r="AQ218" s="198">
        <v>0</v>
      </c>
      <c r="AR218" s="198">
        <v>0</v>
      </c>
      <c r="AS218" s="198">
        <v>0.3</v>
      </c>
      <c r="AT218" s="198">
        <v>0</v>
      </c>
      <c r="AU218" s="198">
        <v>1</v>
      </c>
      <c r="AV218" s="198">
        <v>0</v>
      </c>
      <c r="AW218" s="198">
        <v>0</v>
      </c>
      <c r="AX218" s="198">
        <v>0.3</v>
      </c>
      <c r="AY218" s="198">
        <v>0</v>
      </c>
      <c r="AZ218" s="198">
        <v>0</v>
      </c>
      <c r="BA218" s="198">
        <v>0.8</v>
      </c>
      <c r="BB218" s="198">
        <v>0</v>
      </c>
      <c r="BC218" s="198">
        <v>0</v>
      </c>
      <c r="BD218" s="198">
        <v>0.3</v>
      </c>
      <c r="BE218" s="198">
        <v>0</v>
      </c>
      <c r="BF218" s="198">
        <v>0</v>
      </c>
      <c r="BG218" s="198">
        <v>0.6</v>
      </c>
      <c r="BH218" s="198">
        <v>0</v>
      </c>
      <c r="BI218" s="198">
        <v>0</v>
      </c>
      <c r="BJ218" s="198">
        <v>0.4</v>
      </c>
      <c r="BK218" s="198">
        <v>0</v>
      </c>
      <c r="BL218" s="198">
        <v>0</v>
      </c>
      <c r="BM218" s="198">
        <v>0.3</v>
      </c>
      <c r="BN218" s="198">
        <v>0</v>
      </c>
      <c r="BO218" s="198">
        <v>0</v>
      </c>
      <c r="BP218" s="198">
        <v>0.3</v>
      </c>
      <c r="BQ218" s="198">
        <v>0</v>
      </c>
      <c r="BR218" s="198">
        <v>0</v>
      </c>
      <c r="BS218" s="198">
        <v>0</v>
      </c>
      <c r="BT218" s="198">
        <v>0</v>
      </c>
      <c r="BU218" s="198">
        <v>0</v>
      </c>
      <c r="BV218" s="198">
        <v>0</v>
      </c>
      <c r="BW218" s="198">
        <v>0</v>
      </c>
      <c r="BX218" s="198">
        <v>0</v>
      </c>
      <c r="BY218" s="198">
        <v>0</v>
      </c>
      <c r="BZ218" s="198">
        <v>0</v>
      </c>
      <c r="CA218" s="198">
        <v>0</v>
      </c>
      <c r="CB218" s="198">
        <v>0</v>
      </c>
      <c r="CC218" s="198">
        <v>0</v>
      </c>
      <c r="CD218" s="198">
        <v>0</v>
      </c>
      <c r="CE218" s="198">
        <v>0</v>
      </c>
      <c r="CF218" s="198">
        <v>0</v>
      </c>
      <c r="CG218" s="198">
        <v>0</v>
      </c>
      <c r="CH218" s="198">
        <v>0</v>
      </c>
      <c r="CI218" s="198">
        <v>0</v>
      </c>
      <c r="CJ218" s="198">
        <v>0</v>
      </c>
      <c r="CK218" s="88"/>
    </row>
    <row r="219" spans="1:89" x14ac:dyDescent="0.3">
      <c r="A219" s="173"/>
      <c r="B219" s="197" t="s">
        <v>87</v>
      </c>
      <c r="C219" s="198">
        <v>3.3</v>
      </c>
      <c r="D219" s="198">
        <v>4.8</v>
      </c>
      <c r="E219" s="198">
        <v>3.2</v>
      </c>
      <c r="F219" s="198">
        <v>2.9</v>
      </c>
      <c r="G219" s="198">
        <v>5.2</v>
      </c>
      <c r="H219" s="198">
        <v>5</v>
      </c>
      <c r="I219" s="198">
        <v>3.2</v>
      </c>
      <c r="J219" s="198">
        <v>4.0999999999999996</v>
      </c>
      <c r="K219" s="198">
        <v>4</v>
      </c>
      <c r="L219" s="198">
        <v>4</v>
      </c>
      <c r="M219" s="198">
        <v>4</v>
      </c>
      <c r="N219" s="198">
        <v>4</v>
      </c>
      <c r="O219" s="198">
        <v>0</v>
      </c>
      <c r="P219" s="198">
        <v>0</v>
      </c>
      <c r="Q219" s="198">
        <v>6.1</v>
      </c>
      <c r="R219" s="198">
        <v>2.6</v>
      </c>
      <c r="S219" s="198">
        <v>4.8</v>
      </c>
      <c r="T219" s="198">
        <v>3.6</v>
      </c>
      <c r="U219" s="198">
        <v>0</v>
      </c>
      <c r="V219" s="198">
        <v>0</v>
      </c>
      <c r="W219" s="198">
        <v>174.3</v>
      </c>
      <c r="X219" s="198">
        <v>1.8</v>
      </c>
      <c r="Y219" s="198">
        <v>0</v>
      </c>
      <c r="Z219" s="198">
        <v>0</v>
      </c>
      <c r="AA219" s="198">
        <v>2.2000000000000002</v>
      </c>
      <c r="AB219" s="198">
        <v>0</v>
      </c>
      <c r="AC219" s="198">
        <v>0</v>
      </c>
      <c r="AD219" s="198">
        <v>2.4</v>
      </c>
      <c r="AE219" s="198">
        <v>0</v>
      </c>
      <c r="AF219" s="198">
        <v>2.7</v>
      </c>
      <c r="AG219" s="198">
        <v>0</v>
      </c>
      <c r="AH219" s="198">
        <v>0</v>
      </c>
      <c r="AI219" s="198">
        <v>12.9</v>
      </c>
      <c r="AJ219" s="198">
        <v>0</v>
      </c>
      <c r="AK219" s="198">
        <v>11.7</v>
      </c>
      <c r="AL219" s="198">
        <v>4</v>
      </c>
      <c r="AM219" s="198">
        <v>0</v>
      </c>
      <c r="AN219" s="198">
        <v>4.4000000000000004</v>
      </c>
      <c r="AO219" s="198">
        <v>6.3</v>
      </c>
      <c r="AP219" s="198">
        <v>2.1</v>
      </c>
      <c r="AQ219" s="198">
        <v>2.2000000000000002</v>
      </c>
      <c r="AR219" s="198">
        <v>2.4</v>
      </c>
      <c r="AS219" s="198">
        <v>3.7</v>
      </c>
      <c r="AT219" s="198">
        <v>10.6</v>
      </c>
      <c r="AU219" s="198">
        <v>97.2</v>
      </c>
      <c r="AV219" s="198">
        <v>0</v>
      </c>
      <c r="AW219" s="198">
        <v>12.4</v>
      </c>
      <c r="AX219" s="198">
        <v>9.6</v>
      </c>
      <c r="AY219" s="198">
        <v>7.4</v>
      </c>
      <c r="AZ219" s="198">
        <v>0</v>
      </c>
      <c r="BA219" s="198">
        <v>6.3</v>
      </c>
      <c r="BB219" s="198">
        <v>13.3</v>
      </c>
      <c r="BC219" s="198">
        <v>5.5</v>
      </c>
      <c r="BD219" s="198">
        <v>27</v>
      </c>
      <c r="BE219" s="198">
        <v>0</v>
      </c>
      <c r="BF219" s="198">
        <v>0</v>
      </c>
      <c r="BG219" s="198">
        <v>0</v>
      </c>
      <c r="BH219" s="198">
        <v>3</v>
      </c>
      <c r="BI219" s="198">
        <v>0</v>
      </c>
      <c r="BJ219" s="198">
        <v>3.9</v>
      </c>
      <c r="BK219" s="198">
        <v>0</v>
      </c>
      <c r="BL219" s="198">
        <v>0</v>
      </c>
      <c r="BM219" s="198">
        <v>0</v>
      </c>
      <c r="BN219" s="198">
        <v>0</v>
      </c>
      <c r="BO219" s="198">
        <v>0</v>
      </c>
      <c r="BP219" s="198">
        <v>0</v>
      </c>
      <c r="BQ219" s="198">
        <v>0</v>
      </c>
      <c r="BR219" s="198">
        <v>0</v>
      </c>
      <c r="BS219" s="198">
        <v>0</v>
      </c>
      <c r="BT219" s="198">
        <v>0</v>
      </c>
      <c r="BU219" s="198">
        <v>0</v>
      </c>
      <c r="BV219" s="198">
        <v>0</v>
      </c>
      <c r="BW219" s="198">
        <v>0</v>
      </c>
      <c r="BX219" s="198">
        <v>0</v>
      </c>
      <c r="BY219" s="198">
        <v>0</v>
      </c>
      <c r="BZ219" s="198">
        <v>0</v>
      </c>
      <c r="CA219" s="198">
        <v>0</v>
      </c>
      <c r="CB219" s="198">
        <v>0</v>
      </c>
      <c r="CC219" s="198">
        <v>0</v>
      </c>
      <c r="CD219" s="198">
        <v>0</v>
      </c>
      <c r="CE219" s="198">
        <v>0</v>
      </c>
      <c r="CF219" s="198">
        <v>0</v>
      </c>
      <c r="CG219" s="198">
        <v>0</v>
      </c>
      <c r="CH219" s="198">
        <v>0</v>
      </c>
      <c r="CI219" s="198">
        <v>0</v>
      </c>
      <c r="CJ219" s="198">
        <v>0</v>
      </c>
      <c r="CK219" s="88"/>
    </row>
    <row r="220" spans="1:89" x14ac:dyDescent="0.3">
      <c r="A220" s="173"/>
      <c r="B220" s="197" t="s">
        <v>173</v>
      </c>
      <c r="C220" s="198">
        <v>0</v>
      </c>
      <c r="D220" s="198">
        <v>0</v>
      </c>
      <c r="E220" s="198">
        <v>0</v>
      </c>
      <c r="F220" s="198">
        <v>0</v>
      </c>
      <c r="G220" s="198">
        <v>0</v>
      </c>
      <c r="H220" s="198">
        <v>0</v>
      </c>
      <c r="I220" s="198">
        <v>0</v>
      </c>
      <c r="J220" s="198">
        <v>0</v>
      </c>
      <c r="K220" s="198">
        <v>0</v>
      </c>
      <c r="L220" s="198">
        <v>0</v>
      </c>
      <c r="M220" s="198">
        <v>0</v>
      </c>
      <c r="N220" s="198">
        <v>0</v>
      </c>
      <c r="O220" s="198">
        <v>0</v>
      </c>
      <c r="P220" s="198">
        <v>0</v>
      </c>
      <c r="Q220" s="198">
        <v>0</v>
      </c>
      <c r="R220" s="198">
        <v>7</v>
      </c>
      <c r="S220" s="198">
        <v>0</v>
      </c>
      <c r="T220" s="198">
        <v>0</v>
      </c>
      <c r="U220" s="198">
        <v>0</v>
      </c>
      <c r="V220" s="198">
        <v>0</v>
      </c>
      <c r="W220" s="198">
        <v>0</v>
      </c>
      <c r="X220" s="198">
        <v>0</v>
      </c>
      <c r="Y220" s="198">
        <v>1.3</v>
      </c>
      <c r="Z220" s="198">
        <v>4.8</v>
      </c>
      <c r="AA220" s="198">
        <v>1</v>
      </c>
      <c r="AB220" s="198">
        <v>0</v>
      </c>
      <c r="AC220" s="198">
        <v>0</v>
      </c>
      <c r="AD220" s="198">
        <v>0</v>
      </c>
      <c r="AE220" s="198">
        <v>0</v>
      </c>
      <c r="AF220" s="198">
        <v>0</v>
      </c>
      <c r="AG220" s="198">
        <v>0</v>
      </c>
      <c r="AH220" s="198">
        <v>0</v>
      </c>
      <c r="AI220" s="198">
        <v>0</v>
      </c>
      <c r="AJ220" s="198">
        <v>0</v>
      </c>
      <c r="AK220" s="198">
        <v>0</v>
      </c>
      <c r="AL220" s="198">
        <v>0</v>
      </c>
      <c r="AM220" s="198">
        <v>0</v>
      </c>
      <c r="AN220" s="198">
        <v>0</v>
      </c>
      <c r="AO220" s="198">
        <v>0</v>
      </c>
      <c r="AP220" s="198">
        <v>0</v>
      </c>
      <c r="AQ220" s="198">
        <v>0</v>
      </c>
      <c r="AR220" s="198">
        <v>0</v>
      </c>
      <c r="AS220" s="198">
        <v>0</v>
      </c>
      <c r="AT220" s="198">
        <v>0</v>
      </c>
      <c r="AU220" s="198">
        <v>0</v>
      </c>
      <c r="AV220" s="198">
        <v>0</v>
      </c>
      <c r="AW220" s="198">
        <v>0</v>
      </c>
      <c r="AX220" s="198">
        <v>0</v>
      </c>
      <c r="AY220" s="198">
        <v>0</v>
      </c>
      <c r="AZ220" s="198">
        <v>0</v>
      </c>
      <c r="BA220" s="198">
        <v>0</v>
      </c>
      <c r="BB220" s="198">
        <v>0</v>
      </c>
      <c r="BC220" s="198">
        <v>0</v>
      </c>
      <c r="BD220" s="198">
        <v>0</v>
      </c>
      <c r="BE220" s="198">
        <v>0</v>
      </c>
      <c r="BF220" s="198">
        <v>0</v>
      </c>
      <c r="BG220" s="198">
        <v>0</v>
      </c>
      <c r="BH220" s="198">
        <v>0</v>
      </c>
      <c r="BI220" s="198">
        <v>0</v>
      </c>
      <c r="BJ220" s="198">
        <v>0</v>
      </c>
      <c r="BK220" s="198">
        <v>0</v>
      </c>
      <c r="BL220" s="198">
        <v>0</v>
      </c>
      <c r="BM220" s="198">
        <v>0</v>
      </c>
      <c r="BN220" s="198">
        <v>0</v>
      </c>
      <c r="BO220" s="198">
        <v>0</v>
      </c>
      <c r="BP220" s="198">
        <v>0</v>
      </c>
      <c r="BQ220" s="198">
        <v>0</v>
      </c>
      <c r="BR220" s="198">
        <v>0</v>
      </c>
      <c r="BS220" s="198">
        <v>0</v>
      </c>
      <c r="BT220" s="198">
        <v>0</v>
      </c>
      <c r="BU220" s="198">
        <v>0</v>
      </c>
      <c r="BV220" s="198">
        <v>0</v>
      </c>
      <c r="BW220" s="198">
        <v>0</v>
      </c>
      <c r="BX220" s="198">
        <v>0</v>
      </c>
      <c r="BY220" s="198">
        <v>0</v>
      </c>
      <c r="BZ220" s="198">
        <v>0</v>
      </c>
      <c r="CA220" s="198">
        <v>0</v>
      </c>
      <c r="CB220" s="198">
        <v>0</v>
      </c>
      <c r="CC220" s="198">
        <v>0</v>
      </c>
      <c r="CD220" s="198">
        <v>0</v>
      </c>
      <c r="CE220" s="198">
        <v>0</v>
      </c>
      <c r="CF220" s="198">
        <v>0</v>
      </c>
      <c r="CG220" s="198">
        <v>0</v>
      </c>
      <c r="CH220" s="198">
        <v>0</v>
      </c>
      <c r="CI220" s="198">
        <v>0</v>
      </c>
      <c r="CJ220" s="198">
        <v>0</v>
      </c>
      <c r="CK220" s="88"/>
    </row>
    <row r="221" spans="1:89" x14ac:dyDescent="0.3">
      <c r="A221" s="173"/>
      <c r="B221" s="197" t="s">
        <v>332</v>
      </c>
      <c r="C221" s="198">
        <v>0</v>
      </c>
      <c r="D221" s="198">
        <v>0</v>
      </c>
      <c r="E221" s="198">
        <v>0</v>
      </c>
      <c r="F221" s="198">
        <v>0</v>
      </c>
      <c r="G221" s="198">
        <v>0</v>
      </c>
      <c r="H221" s="198">
        <v>0</v>
      </c>
      <c r="I221" s="198">
        <v>0</v>
      </c>
      <c r="J221" s="198">
        <v>0</v>
      </c>
      <c r="K221" s="198">
        <v>0</v>
      </c>
      <c r="L221" s="198">
        <v>0</v>
      </c>
      <c r="M221" s="198">
        <v>0</v>
      </c>
      <c r="N221" s="198">
        <v>0</v>
      </c>
      <c r="O221" s="198">
        <v>0</v>
      </c>
      <c r="P221" s="198">
        <v>0</v>
      </c>
      <c r="Q221" s="198">
        <v>0</v>
      </c>
      <c r="R221" s="198">
        <v>0</v>
      </c>
      <c r="S221" s="198">
        <v>0</v>
      </c>
      <c r="T221" s="198">
        <v>0</v>
      </c>
      <c r="U221" s="198">
        <v>0</v>
      </c>
      <c r="V221" s="198">
        <v>0</v>
      </c>
      <c r="W221" s="198">
        <v>0</v>
      </c>
      <c r="X221" s="198">
        <v>0</v>
      </c>
      <c r="Y221" s="198">
        <v>0</v>
      </c>
      <c r="Z221" s="198">
        <v>0</v>
      </c>
      <c r="AA221" s="198">
        <v>0</v>
      </c>
      <c r="AB221" s="198">
        <v>0</v>
      </c>
      <c r="AC221" s="198">
        <v>0</v>
      </c>
      <c r="AD221" s="198">
        <v>0</v>
      </c>
      <c r="AE221" s="198">
        <v>0</v>
      </c>
      <c r="AF221" s="198">
        <v>0</v>
      </c>
      <c r="AG221" s="198">
        <v>0</v>
      </c>
      <c r="AH221" s="198">
        <v>0</v>
      </c>
      <c r="AI221" s="198">
        <v>0</v>
      </c>
      <c r="AJ221" s="198">
        <v>0</v>
      </c>
      <c r="AK221" s="198">
        <v>0</v>
      </c>
      <c r="AL221" s="198">
        <v>0</v>
      </c>
      <c r="AM221" s="198">
        <v>0</v>
      </c>
      <c r="AN221" s="198">
        <v>0</v>
      </c>
      <c r="AO221" s="198">
        <v>0</v>
      </c>
      <c r="AP221" s="198">
        <v>0</v>
      </c>
      <c r="AQ221" s="198">
        <v>0</v>
      </c>
      <c r="AR221" s="198">
        <v>0</v>
      </c>
      <c r="AS221" s="198">
        <v>0</v>
      </c>
      <c r="AT221" s="198">
        <v>0</v>
      </c>
      <c r="AU221" s="198">
        <v>0</v>
      </c>
      <c r="AV221" s="198">
        <v>0</v>
      </c>
      <c r="AW221" s="198">
        <v>0</v>
      </c>
      <c r="AX221" s="198">
        <v>2</v>
      </c>
      <c r="AY221" s="198">
        <v>0</v>
      </c>
      <c r="AZ221" s="198">
        <v>0</v>
      </c>
      <c r="BA221" s="198">
        <v>0</v>
      </c>
      <c r="BB221" s="198">
        <v>0</v>
      </c>
      <c r="BC221" s="198">
        <v>0</v>
      </c>
      <c r="BD221" s="198">
        <v>1.6</v>
      </c>
      <c r="BE221" s="198">
        <v>0</v>
      </c>
      <c r="BF221" s="198">
        <v>0</v>
      </c>
      <c r="BG221" s="198">
        <v>0.2</v>
      </c>
      <c r="BH221" s="198">
        <v>0</v>
      </c>
      <c r="BI221" s="198">
        <v>0</v>
      </c>
      <c r="BJ221" s="198">
        <v>1.3</v>
      </c>
      <c r="BK221" s="198">
        <v>0</v>
      </c>
      <c r="BL221" s="198">
        <v>0</v>
      </c>
      <c r="BM221" s="198">
        <v>0.2</v>
      </c>
      <c r="BN221" s="198">
        <v>0</v>
      </c>
      <c r="BO221" s="198">
        <v>0</v>
      </c>
      <c r="BP221" s="198">
        <v>0.7</v>
      </c>
      <c r="BQ221" s="198">
        <v>0</v>
      </c>
      <c r="BR221" s="198">
        <v>0</v>
      </c>
      <c r="BS221" s="198">
        <v>0</v>
      </c>
      <c r="BT221" s="198">
        <v>0</v>
      </c>
      <c r="BU221" s="198">
        <v>0</v>
      </c>
      <c r="BV221" s="198">
        <v>0</v>
      </c>
      <c r="BW221" s="198">
        <v>0</v>
      </c>
      <c r="BX221" s="198">
        <v>0</v>
      </c>
      <c r="BY221" s="198">
        <v>0</v>
      </c>
      <c r="BZ221" s="198">
        <v>0</v>
      </c>
      <c r="CA221" s="198">
        <v>0</v>
      </c>
      <c r="CB221" s="198">
        <v>0</v>
      </c>
      <c r="CC221" s="198">
        <v>0</v>
      </c>
      <c r="CD221" s="198">
        <v>0</v>
      </c>
      <c r="CE221" s="198">
        <v>0</v>
      </c>
      <c r="CF221" s="198">
        <v>0</v>
      </c>
      <c r="CG221" s="198">
        <v>0</v>
      </c>
      <c r="CH221" s="198">
        <v>0</v>
      </c>
      <c r="CI221" s="198">
        <v>0</v>
      </c>
      <c r="CJ221" s="198">
        <v>0</v>
      </c>
      <c r="CK221" s="88"/>
    </row>
    <row r="222" spans="1:89" x14ac:dyDescent="0.3">
      <c r="A222" s="173"/>
      <c r="B222" s="197" t="s">
        <v>174</v>
      </c>
      <c r="C222" s="198">
        <v>0</v>
      </c>
      <c r="D222" s="198">
        <v>0</v>
      </c>
      <c r="E222" s="198">
        <v>0</v>
      </c>
      <c r="F222" s="198">
        <v>0</v>
      </c>
      <c r="G222" s="198">
        <v>0</v>
      </c>
      <c r="H222" s="198">
        <v>0</v>
      </c>
      <c r="I222" s="198">
        <v>0</v>
      </c>
      <c r="J222" s="198">
        <v>0</v>
      </c>
      <c r="K222" s="198">
        <v>0</v>
      </c>
      <c r="L222" s="198">
        <v>0</v>
      </c>
      <c r="M222" s="198">
        <v>0</v>
      </c>
      <c r="N222" s="198">
        <v>0</v>
      </c>
      <c r="O222" s="198">
        <v>0</v>
      </c>
      <c r="P222" s="198">
        <v>0</v>
      </c>
      <c r="Q222" s="198">
        <v>0</v>
      </c>
      <c r="R222" s="198">
        <v>116.5</v>
      </c>
      <c r="S222" s="198">
        <v>0</v>
      </c>
      <c r="T222" s="198">
        <v>0</v>
      </c>
      <c r="U222" s="198">
        <v>0</v>
      </c>
      <c r="V222" s="198">
        <v>0</v>
      </c>
      <c r="W222" s="198">
        <v>0</v>
      </c>
      <c r="X222" s="198">
        <v>0</v>
      </c>
      <c r="Y222" s="198">
        <v>0</v>
      </c>
      <c r="Z222" s="198">
        <v>0</v>
      </c>
      <c r="AA222" s="198">
        <v>6.4</v>
      </c>
      <c r="AB222" s="198">
        <v>0</v>
      </c>
      <c r="AC222" s="198">
        <v>0</v>
      </c>
      <c r="AD222" s="198">
        <v>37.299999999999997</v>
      </c>
      <c r="AE222" s="198">
        <v>0</v>
      </c>
      <c r="AF222" s="198">
        <v>0</v>
      </c>
      <c r="AG222" s="198">
        <v>8.6999999999999993</v>
      </c>
      <c r="AH222" s="198">
        <v>0</v>
      </c>
      <c r="AI222" s="198">
        <v>0</v>
      </c>
      <c r="AJ222" s="198">
        <v>38.200000000000003</v>
      </c>
      <c r="AK222" s="198">
        <v>0</v>
      </c>
      <c r="AL222" s="198">
        <v>0</v>
      </c>
      <c r="AM222" s="198">
        <v>11.7</v>
      </c>
      <c r="AN222" s="198">
        <v>0</v>
      </c>
      <c r="AO222" s="198">
        <v>0</v>
      </c>
      <c r="AP222" s="198">
        <v>37.5</v>
      </c>
      <c r="AQ222" s="198">
        <v>0</v>
      </c>
      <c r="AR222" s="198">
        <v>0</v>
      </c>
      <c r="AS222" s="198">
        <v>13.1</v>
      </c>
      <c r="AT222" s="198">
        <v>0</v>
      </c>
      <c r="AU222" s="198">
        <v>33.6</v>
      </c>
      <c r="AV222" s="198">
        <v>0</v>
      </c>
      <c r="AW222" s="198">
        <v>0</v>
      </c>
      <c r="AX222" s="198">
        <v>13.7</v>
      </c>
      <c r="AY222" s="198">
        <v>0</v>
      </c>
      <c r="AZ222" s="198">
        <v>0</v>
      </c>
      <c r="BA222" s="198">
        <v>28.3</v>
      </c>
      <c r="BB222" s="198">
        <v>0</v>
      </c>
      <c r="BC222" s="198">
        <v>0</v>
      </c>
      <c r="BD222" s="198">
        <v>14.7</v>
      </c>
      <c r="BE222" s="198">
        <v>0</v>
      </c>
      <c r="BF222" s="198">
        <v>0</v>
      </c>
      <c r="BG222" s="198">
        <v>20.6</v>
      </c>
      <c r="BH222" s="198">
        <v>0</v>
      </c>
      <c r="BI222" s="198">
        <v>0</v>
      </c>
      <c r="BJ222" s="198">
        <v>14.9</v>
      </c>
      <c r="BK222" s="198">
        <v>0</v>
      </c>
      <c r="BL222" s="198">
        <v>0</v>
      </c>
      <c r="BM222" s="198">
        <v>12.4</v>
      </c>
      <c r="BN222" s="198">
        <v>0</v>
      </c>
      <c r="BO222" s="198">
        <v>0</v>
      </c>
      <c r="BP222" s="198">
        <v>10.7</v>
      </c>
      <c r="BQ222" s="198">
        <v>0</v>
      </c>
      <c r="BR222" s="198">
        <v>0</v>
      </c>
      <c r="BS222" s="198">
        <v>0</v>
      </c>
      <c r="BT222" s="198">
        <v>0</v>
      </c>
      <c r="BU222" s="198">
        <v>0</v>
      </c>
      <c r="BV222" s="198">
        <v>0</v>
      </c>
      <c r="BW222" s="198">
        <v>0</v>
      </c>
      <c r="BX222" s="198">
        <v>0</v>
      </c>
      <c r="BY222" s="198">
        <v>0</v>
      </c>
      <c r="BZ222" s="198">
        <v>0</v>
      </c>
      <c r="CA222" s="198">
        <v>0</v>
      </c>
      <c r="CB222" s="198">
        <v>0</v>
      </c>
      <c r="CC222" s="198">
        <v>0</v>
      </c>
      <c r="CD222" s="198">
        <v>0</v>
      </c>
      <c r="CE222" s="198">
        <v>0</v>
      </c>
      <c r="CF222" s="198">
        <v>0</v>
      </c>
      <c r="CG222" s="198">
        <v>0</v>
      </c>
      <c r="CH222" s="198">
        <v>0</v>
      </c>
      <c r="CI222" s="198">
        <v>0</v>
      </c>
      <c r="CJ222" s="198">
        <v>0</v>
      </c>
      <c r="CK222" s="88"/>
    </row>
    <row r="223" spans="1:89" x14ac:dyDescent="0.3">
      <c r="A223" s="173"/>
      <c r="B223" s="197" t="s">
        <v>281</v>
      </c>
      <c r="C223" s="198">
        <v>0</v>
      </c>
      <c r="D223" s="198">
        <v>0</v>
      </c>
      <c r="E223" s="198">
        <v>0</v>
      </c>
      <c r="F223" s="198">
        <v>0</v>
      </c>
      <c r="G223" s="198">
        <v>0</v>
      </c>
      <c r="H223" s="198">
        <v>0</v>
      </c>
      <c r="I223" s="198">
        <v>0</v>
      </c>
      <c r="J223" s="198">
        <v>0</v>
      </c>
      <c r="K223" s="198">
        <v>0</v>
      </c>
      <c r="L223" s="198">
        <v>0</v>
      </c>
      <c r="M223" s="198">
        <v>0</v>
      </c>
      <c r="N223" s="198">
        <v>0</v>
      </c>
      <c r="O223" s="198">
        <v>0</v>
      </c>
      <c r="P223" s="198">
        <v>0</v>
      </c>
      <c r="Q223" s="198">
        <v>0</v>
      </c>
      <c r="R223" s="198">
        <v>0</v>
      </c>
      <c r="S223" s="198">
        <v>0</v>
      </c>
      <c r="T223" s="198">
        <v>0</v>
      </c>
      <c r="U223" s="198">
        <v>0</v>
      </c>
      <c r="V223" s="198">
        <v>0</v>
      </c>
      <c r="W223" s="198">
        <v>0</v>
      </c>
      <c r="X223" s="198">
        <v>0</v>
      </c>
      <c r="Y223" s="198">
        <v>0</v>
      </c>
      <c r="Z223" s="198">
        <v>0</v>
      </c>
      <c r="AA223" s="198">
        <v>0.6</v>
      </c>
      <c r="AB223" s="198">
        <v>0</v>
      </c>
      <c r="AC223" s="198">
        <v>0</v>
      </c>
      <c r="AD223" s="198">
        <v>0.1</v>
      </c>
      <c r="AE223" s="198">
        <v>0</v>
      </c>
      <c r="AF223" s="198">
        <v>0</v>
      </c>
      <c r="AG223" s="198">
        <v>0.5</v>
      </c>
      <c r="AH223" s="198">
        <v>0</v>
      </c>
      <c r="AI223" s="198">
        <v>0</v>
      </c>
      <c r="AJ223" s="198">
        <v>0.1</v>
      </c>
      <c r="AK223" s="198">
        <v>0</v>
      </c>
      <c r="AL223" s="198">
        <v>0</v>
      </c>
      <c r="AM223" s="198">
        <v>0.6</v>
      </c>
      <c r="AN223" s="198">
        <v>0</v>
      </c>
      <c r="AO223" s="198">
        <v>0</v>
      </c>
      <c r="AP223" s="198">
        <v>0.1</v>
      </c>
      <c r="AQ223" s="198">
        <v>0</v>
      </c>
      <c r="AR223" s="198">
        <v>0</v>
      </c>
      <c r="AS223" s="198">
        <v>1.4</v>
      </c>
      <c r="AT223" s="198">
        <v>0</v>
      </c>
      <c r="AU223" s="198">
        <v>0.4</v>
      </c>
      <c r="AV223" s="198">
        <v>0</v>
      </c>
      <c r="AW223" s="198">
        <v>0</v>
      </c>
      <c r="AX223" s="198">
        <v>1.2</v>
      </c>
      <c r="AY223" s="198">
        <v>0</v>
      </c>
      <c r="AZ223" s="198">
        <v>0</v>
      </c>
      <c r="BA223" s="198">
        <v>0.4</v>
      </c>
      <c r="BB223" s="198">
        <v>0</v>
      </c>
      <c r="BC223" s="198">
        <v>0</v>
      </c>
      <c r="BD223" s="198">
        <v>1.3</v>
      </c>
      <c r="BE223" s="198">
        <v>0</v>
      </c>
      <c r="BF223" s="198">
        <v>0</v>
      </c>
      <c r="BG223" s="198">
        <v>0.5</v>
      </c>
      <c r="BH223" s="198">
        <v>0</v>
      </c>
      <c r="BI223" s="198">
        <v>0</v>
      </c>
      <c r="BJ223" s="198">
        <v>1.3</v>
      </c>
      <c r="BK223" s="198">
        <v>0</v>
      </c>
      <c r="BL223" s="198">
        <v>0</v>
      </c>
      <c r="BM223" s="198">
        <v>0.4</v>
      </c>
      <c r="BN223" s="198">
        <v>0</v>
      </c>
      <c r="BO223" s="198">
        <v>0</v>
      </c>
      <c r="BP223" s="198">
        <v>0.8</v>
      </c>
      <c r="BQ223" s="198">
        <v>0</v>
      </c>
      <c r="BR223" s="198">
        <v>0</v>
      </c>
      <c r="BS223" s="198">
        <v>0</v>
      </c>
      <c r="BT223" s="198">
        <v>0</v>
      </c>
      <c r="BU223" s="198">
        <v>0</v>
      </c>
      <c r="BV223" s="198">
        <v>0</v>
      </c>
      <c r="BW223" s="198">
        <v>0</v>
      </c>
      <c r="BX223" s="198">
        <v>0</v>
      </c>
      <c r="BY223" s="198">
        <v>0</v>
      </c>
      <c r="BZ223" s="198">
        <v>0</v>
      </c>
      <c r="CA223" s="198">
        <v>0</v>
      </c>
      <c r="CB223" s="198">
        <v>0</v>
      </c>
      <c r="CC223" s="198">
        <v>0</v>
      </c>
      <c r="CD223" s="198">
        <v>0</v>
      </c>
      <c r="CE223" s="198">
        <v>0</v>
      </c>
      <c r="CF223" s="198">
        <v>0</v>
      </c>
      <c r="CG223" s="198">
        <v>0</v>
      </c>
      <c r="CH223" s="198">
        <v>0</v>
      </c>
      <c r="CI223" s="198">
        <v>0</v>
      </c>
      <c r="CJ223" s="198">
        <v>0</v>
      </c>
      <c r="CK223" s="88"/>
    </row>
    <row r="224" spans="1:89" x14ac:dyDescent="0.3">
      <c r="A224" s="173"/>
      <c r="B224" s="197" t="s">
        <v>282</v>
      </c>
      <c r="C224" s="198">
        <v>0</v>
      </c>
      <c r="D224" s="198">
        <v>0</v>
      </c>
      <c r="E224" s="198">
        <v>0</v>
      </c>
      <c r="F224" s="198">
        <v>0</v>
      </c>
      <c r="G224" s="198">
        <v>0</v>
      </c>
      <c r="H224" s="198">
        <v>0</v>
      </c>
      <c r="I224" s="198">
        <v>0</v>
      </c>
      <c r="J224" s="198">
        <v>0</v>
      </c>
      <c r="K224" s="198">
        <v>0</v>
      </c>
      <c r="L224" s="198">
        <v>0</v>
      </c>
      <c r="M224" s="198">
        <v>0</v>
      </c>
      <c r="N224" s="198">
        <v>0</v>
      </c>
      <c r="O224" s="198">
        <v>0</v>
      </c>
      <c r="P224" s="198">
        <v>0</v>
      </c>
      <c r="Q224" s="198">
        <v>0</v>
      </c>
      <c r="R224" s="198">
        <v>0</v>
      </c>
      <c r="S224" s="198">
        <v>0</v>
      </c>
      <c r="T224" s="198">
        <v>0</v>
      </c>
      <c r="U224" s="198">
        <v>0</v>
      </c>
      <c r="V224" s="198">
        <v>0</v>
      </c>
      <c r="W224" s="198">
        <v>0</v>
      </c>
      <c r="X224" s="198">
        <v>0</v>
      </c>
      <c r="Y224" s="198">
        <v>0</v>
      </c>
      <c r="Z224" s="198">
        <v>0</v>
      </c>
      <c r="AA224" s="198">
        <v>0.1</v>
      </c>
      <c r="AB224" s="198">
        <v>0</v>
      </c>
      <c r="AC224" s="198">
        <v>0</v>
      </c>
      <c r="AD224" s="198">
        <v>0</v>
      </c>
      <c r="AE224" s="198">
        <v>0</v>
      </c>
      <c r="AF224" s="198">
        <v>0</v>
      </c>
      <c r="AG224" s="198">
        <v>0.1</v>
      </c>
      <c r="AH224" s="198">
        <v>0</v>
      </c>
      <c r="AI224" s="198">
        <v>0</v>
      </c>
      <c r="AJ224" s="198">
        <v>0</v>
      </c>
      <c r="AK224" s="198">
        <v>0</v>
      </c>
      <c r="AL224" s="198">
        <v>0</v>
      </c>
      <c r="AM224" s="198">
        <v>0.1</v>
      </c>
      <c r="AN224" s="198">
        <v>0</v>
      </c>
      <c r="AO224" s="198">
        <v>0</v>
      </c>
      <c r="AP224" s="198">
        <v>0</v>
      </c>
      <c r="AQ224" s="198">
        <v>0</v>
      </c>
      <c r="AR224" s="198">
        <v>0</v>
      </c>
      <c r="AS224" s="198">
        <v>0.2</v>
      </c>
      <c r="AT224" s="198">
        <v>0</v>
      </c>
      <c r="AU224" s="198">
        <v>0.1</v>
      </c>
      <c r="AV224" s="198">
        <v>0</v>
      </c>
      <c r="AW224" s="198">
        <v>0</v>
      </c>
      <c r="AX224" s="198">
        <v>0.2</v>
      </c>
      <c r="AY224" s="198">
        <v>0</v>
      </c>
      <c r="AZ224" s="198">
        <v>0</v>
      </c>
      <c r="BA224" s="198">
        <v>0.1</v>
      </c>
      <c r="BB224" s="198">
        <v>0</v>
      </c>
      <c r="BC224" s="198">
        <v>0</v>
      </c>
      <c r="BD224" s="198">
        <v>0.1</v>
      </c>
      <c r="BE224" s="198">
        <v>0</v>
      </c>
      <c r="BF224" s="198">
        <v>0</v>
      </c>
      <c r="BG224" s="198">
        <v>0.1</v>
      </c>
      <c r="BH224" s="198">
        <v>0</v>
      </c>
      <c r="BI224" s="198">
        <v>0</v>
      </c>
      <c r="BJ224" s="198">
        <v>0.2</v>
      </c>
      <c r="BK224" s="198">
        <v>0</v>
      </c>
      <c r="BL224" s="198">
        <v>0</v>
      </c>
      <c r="BM224" s="198">
        <v>0.1</v>
      </c>
      <c r="BN224" s="198">
        <v>0</v>
      </c>
      <c r="BO224" s="198">
        <v>0</v>
      </c>
      <c r="BP224" s="198">
        <v>0.1</v>
      </c>
      <c r="BQ224" s="198">
        <v>0</v>
      </c>
      <c r="BR224" s="198">
        <v>0</v>
      </c>
      <c r="BS224" s="198">
        <v>0</v>
      </c>
      <c r="BT224" s="198">
        <v>0</v>
      </c>
      <c r="BU224" s="198">
        <v>0</v>
      </c>
      <c r="BV224" s="198">
        <v>0</v>
      </c>
      <c r="BW224" s="198">
        <v>0</v>
      </c>
      <c r="BX224" s="198">
        <v>0</v>
      </c>
      <c r="BY224" s="198">
        <v>0</v>
      </c>
      <c r="BZ224" s="198">
        <v>0</v>
      </c>
      <c r="CA224" s="198">
        <v>0</v>
      </c>
      <c r="CB224" s="198">
        <v>0</v>
      </c>
      <c r="CC224" s="198">
        <v>0</v>
      </c>
      <c r="CD224" s="198">
        <v>0</v>
      </c>
      <c r="CE224" s="198">
        <v>0</v>
      </c>
      <c r="CF224" s="198">
        <v>0</v>
      </c>
      <c r="CG224" s="198">
        <v>0</v>
      </c>
      <c r="CH224" s="198">
        <v>0</v>
      </c>
      <c r="CI224" s="198">
        <v>0</v>
      </c>
      <c r="CJ224" s="198">
        <v>0</v>
      </c>
      <c r="CK224" s="88"/>
    </row>
    <row r="225" spans="1:89" x14ac:dyDescent="0.3">
      <c r="A225" s="173"/>
      <c r="B225" s="197" t="s">
        <v>223</v>
      </c>
      <c r="C225" s="198">
        <v>0</v>
      </c>
      <c r="D225" s="198">
        <v>0</v>
      </c>
      <c r="E225" s="198">
        <v>0</v>
      </c>
      <c r="F225" s="198">
        <v>0</v>
      </c>
      <c r="G225" s="198">
        <v>0</v>
      </c>
      <c r="H225" s="198">
        <v>0</v>
      </c>
      <c r="I225" s="198">
        <v>0</v>
      </c>
      <c r="J225" s="198">
        <v>0</v>
      </c>
      <c r="K225" s="198">
        <v>0</v>
      </c>
      <c r="L225" s="198">
        <v>0</v>
      </c>
      <c r="M225" s="198">
        <v>0</v>
      </c>
      <c r="N225" s="198">
        <v>0</v>
      </c>
      <c r="O225" s="198">
        <v>0</v>
      </c>
      <c r="P225" s="198">
        <v>0</v>
      </c>
      <c r="Q225" s="198">
        <v>0</v>
      </c>
      <c r="R225" s="198">
        <v>0</v>
      </c>
      <c r="S225" s="198">
        <v>0</v>
      </c>
      <c r="T225" s="198">
        <v>0</v>
      </c>
      <c r="U225" s="198">
        <v>0</v>
      </c>
      <c r="V225" s="198">
        <v>0</v>
      </c>
      <c r="W225" s="198">
        <v>0</v>
      </c>
      <c r="X225" s="198">
        <v>0</v>
      </c>
      <c r="Y225" s="198">
        <v>0</v>
      </c>
      <c r="Z225" s="198">
        <v>0</v>
      </c>
      <c r="AA225" s="198">
        <v>0.1</v>
      </c>
      <c r="AB225" s="198">
        <v>0</v>
      </c>
      <c r="AC225" s="198">
        <v>0</v>
      </c>
      <c r="AD225" s="198">
        <v>0.3</v>
      </c>
      <c r="AE225" s="198">
        <v>0</v>
      </c>
      <c r="AF225" s="198">
        <v>0</v>
      </c>
      <c r="AG225" s="198">
        <v>0.2</v>
      </c>
      <c r="AH225" s="198">
        <v>0</v>
      </c>
      <c r="AI225" s="198">
        <v>0</v>
      </c>
      <c r="AJ225" s="198">
        <v>0.3</v>
      </c>
      <c r="AK225" s="198">
        <v>0</v>
      </c>
      <c r="AL225" s="198">
        <v>0</v>
      </c>
      <c r="AM225" s="198">
        <v>0.2</v>
      </c>
      <c r="AN225" s="198">
        <v>0</v>
      </c>
      <c r="AO225" s="198">
        <v>0</v>
      </c>
      <c r="AP225" s="198">
        <v>0.3</v>
      </c>
      <c r="AQ225" s="198">
        <v>0</v>
      </c>
      <c r="AR225" s="198">
        <v>0</v>
      </c>
      <c r="AS225" s="198">
        <v>0.8</v>
      </c>
      <c r="AT225" s="198">
        <v>0</v>
      </c>
      <c r="AU225" s="198">
        <v>0.4</v>
      </c>
      <c r="AV225" s="198">
        <v>0</v>
      </c>
      <c r="AW225" s="198">
        <v>0</v>
      </c>
      <c r="AX225" s="198">
        <v>0.7</v>
      </c>
      <c r="AY225" s="198">
        <v>0</v>
      </c>
      <c r="AZ225" s="198">
        <v>0</v>
      </c>
      <c r="BA225" s="198">
        <v>0.4</v>
      </c>
      <c r="BB225" s="198">
        <v>0</v>
      </c>
      <c r="BC225" s="198">
        <v>0</v>
      </c>
      <c r="BD225" s="198">
        <v>0.6</v>
      </c>
      <c r="BE225" s="198">
        <v>0</v>
      </c>
      <c r="BF225" s="198">
        <v>0</v>
      </c>
      <c r="BG225" s="198">
        <v>0.3</v>
      </c>
      <c r="BH225" s="198">
        <v>0</v>
      </c>
      <c r="BI225" s="198">
        <v>0</v>
      </c>
      <c r="BJ225" s="198">
        <v>0.6</v>
      </c>
      <c r="BK225" s="198">
        <v>0</v>
      </c>
      <c r="BL225" s="198">
        <v>0</v>
      </c>
      <c r="BM225" s="198">
        <v>0.3</v>
      </c>
      <c r="BN225" s="198">
        <v>0</v>
      </c>
      <c r="BO225" s="198">
        <v>0</v>
      </c>
      <c r="BP225" s="198">
        <v>0.4</v>
      </c>
      <c r="BQ225" s="198">
        <v>0</v>
      </c>
      <c r="BR225" s="198">
        <v>0</v>
      </c>
      <c r="BS225" s="198">
        <v>0</v>
      </c>
      <c r="BT225" s="198">
        <v>0</v>
      </c>
      <c r="BU225" s="198">
        <v>0</v>
      </c>
      <c r="BV225" s="198">
        <v>0</v>
      </c>
      <c r="BW225" s="198">
        <v>0</v>
      </c>
      <c r="BX225" s="198">
        <v>0</v>
      </c>
      <c r="BY225" s="198">
        <v>0</v>
      </c>
      <c r="BZ225" s="198">
        <v>0</v>
      </c>
      <c r="CA225" s="198">
        <v>0</v>
      </c>
      <c r="CB225" s="198">
        <v>0</v>
      </c>
      <c r="CC225" s="198">
        <v>0</v>
      </c>
      <c r="CD225" s="198">
        <v>0</v>
      </c>
      <c r="CE225" s="198">
        <v>0</v>
      </c>
      <c r="CF225" s="198">
        <v>0</v>
      </c>
      <c r="CG225" s="198">
        <v>0</v>
      </c>
      <c r="CH225" s="198">
        <v>0</v>
      </c>
      <c r="CI225" s="198">
        <v>0</v>
      </c>
      <c r="CJ225" s="198">
        <v>0</v>
      </c>
      <c r="CK225" s="88"/>
    </row>
    <row r="226" spans="1:89" x14ac:dyDescent="0.3">
      <c r="A226" s="173"/>
      <c r="B226" s="197" t="s">
        <v>224</v>
      </c>
      <c r="C226" s="198">
        <v>0</v>
      </c>
      <c r="D226" s="198">
        <v>0</v>
      </c>
      <c r="E226" s="198">
        <v>0</v>
      </c>
      <c r="F226" s="198">
        <v>0</v>
      </c>
      <c r="G226" s="198">
        <v>0</v>
      </c>
      <c r="H226" s="198">
        <v>0</v>
      </c>
      <c r="I226" s="198">
        <v>0</v>
      </c>
      <c r="J226" s="198">
        <v>0</v>
      </c>
      <c r="K226" s="198">
        <v>0</v>
      </c>
      <c r="L226" s="198">
        <v>0</v>
      </c>
      <c r="M226" s="198">
        <v>0</v>
      </c>
      <c r="N226" s="198">
        <v>0</v>
      </c>
      <c r="O226" s="198">
        <v>0</v>
      </c>
      <c r="P226" s="198">
        <v>0</v>
      </c>
      <c r="Q226" s="198">
        <v>0</v>
      </c>
      <c r="R226" s="198">
        <v>0</v>
      </c>
      <c r="S226" s="198">
        <v>0</v>
      </c>
      <c r="T226" s="198">
        <v>0</v>
      </c>
      <c r="U226" s="198">
        <v>0</v>
      </c>
      <c r="V226" s="198">
        <v>0</v>
      </c>
      <c r="W226" s="198">
        <v>0</v>
      </c>
      <c r="X226" s="198">
        <v>0</v>
      </c>
      <c r="Y226" s="198">
        <v>0</v>
      </c>
      <c r="Z226" s="198">
        <v>0</v>
      </c>
      <c r="AA226" s="198">
        <v>0.3</v>
      </c>
      <c r="AB226" s="198">
        <v>0</v>
      </c>
      <c r="AC226" s="198">
        <v>0</v>
      </c>
      <c r="AD226" s="198">
        <v>0</v>
      </c>
      <c r="AE226" s="198">
        <v>0</v>
      </c>
      <c r="AF226" s="198">
        <v>0</v>
      </c>
      <c r="AG226" s="198">
        <v>0.3</v>
      </c>
      <c r="AH226" s="198">
        <v>0</v>
      </c>
      <c r="AI226" s="198">
        <v>0</v>
      </c>
      <c r="AJ226" s="198">
        <v>0</v>
      </c>
      <c r="AK226" s="198">
        <v>0</v>
      </c>
      <c r="AL226" s="198">
        <v>0</v>
      </c>
      <c r="AM226" s="198">
        <v>0.3</v>
      </c>
      <c r="AN226" s="198">
        <v>0</v>
      </c>
      <c r="AO226" s="198">
        <v>0</v>
      </c>
      <c r="AP226" s="198">
        <v>0.1</v>
      </c>
      <c r="AQ226" s="198">
        <v>0</v>
      </c>
      <c r="AR226" s="198">
        <v>0</v>
      </c>
      <c r="AS226" s="198">
        <v>0.4</v>
      </c>
      <c r="AT226" s="198">
        <v>0</v>
      </c>
      <c r="AU226" s="198">
        <v>0.2</v>
      </c>
      <c r="AV226" s="198">
        <v>0</v>
      </c>
      <c r="AW226" s="198">
        <v>0</v>
      </c>
      <c r="AX226" s="198">
        <v>0.4</v>
      </c>
      <c r="AY226" s="198">
        <v>0</v>
      </c>
      <c r="AZ226" s="198">
        <v>0</v>
      </c>
      <c r="BA226" s="198">
        <v>0.2</v>
      </c>
      <c r="BB226" s="198">
        <v>0</v>
      </c>
      <c r="BC226" s="198">
        <v>0</v>
      </c>
      <c r="BD226" s="198">
        <v>0</v>
      </c>
      <c r="BE226" s="198">
        <v>0</v>
      </c>
      <c r="BF226" s="198">
        <v>0</v>
      </c>
      <c r="BG226" s="198">
        <v>0.1</v>
      </c>
      <c r="BH226" s="198">
        <v>0</v>
      </c>
      <c r="BI226" s="198">
        <v>0</v>
      </c>
      <c r="BJ226" s="198">
        <v>0</v>
      </c>
      <c r="BK226" s="198">
        <v>0</v>
      </c>
      <c r="BL226" s="198">
        <v>0</v>
      </c>
      <c r="BM226" s="198">
        <v>0.1</v>
      </c>
      <c r="BN226" s="198">
        <v>0</v>
      </c>
      <c r="BO226" s="198">
        <v>0</v>
      </c>
      <c r="BP226" s="198">
        <v>0</v>
      </c>
      <c r="BQ226" s="198">
        <v>0</v>
      </c>
      <c r="BR226" s="198">
        <v>0</v>
      </c>
      <c r="BS226" s="198">
        <v>0</v>
      </c>
      <c r="BT226" s="198">
        <v>0</v>
      </c>
      <c r="BU226" s="198">
        <v>0</v>
      </c>
      <c r="BV226" s="198">
        <v>0</v>
      </c>
      <c r="BW226" s="198">
        <v>0</v>
      </c>
      <c r="BX226" s="198">
        <v>0</v>
      </c>
      <c r="BY226" s="198">
        <v>0</v>
      </c>
      <c r="BZ226" s="198">
        <v>0</v>
      </c>
      <c r="CA226" s="198">
        <v>0</v>
      </c>
      <c r="CB226" s="198">
        <v>0</v>
      </c>
      <c r="CC226" s="198">
        <v>0</v>
      </c>
      <c r="CD226" s="198">
        <v>0</v>
      </c>
      <c r="CE226" s="198">
        <v>0</v>
      </c>
      <c r="CF226" s="198">
        <v>0</v>
      </c>
      <c r="CG226" s="198">
        <v>0</v>
      </c>
      <c r="CH226" s="198">
        <v>0</v>
      </c>
      <c r="CI226" s="198">
        <v>0</v>
      </c>
      <c r="CJ226" s="198">
        <v>0</v>
      </c>
      <c r="CK226" s="88"/>
    </row>
    <row r="227" spans="1:89" x14ac:dyDescent="0.3">
      <c r="A227" s="173"/>
      <c r="B227" s="197" t="s">
        <v>158</v>
      </c>
      <c r="C227" s="198">
        <v>0</v>
      </c>
      <c r="D227" s="198">
        <v>0</v>
      </c>
      <c r="E227" s="198">
        <v>0</v>
      </c>
      <c r="F227" s="198">
        <v>0</v>
      </c>
      <c r="G227" s="198">
        <v>0</v>
      </c>
      <c r="H227" s="198">
        <v>0</v>
      </c>
      <c r="I227" s="198">
        <v>0</v>
      </c>
      <c r="J227" s="198">
        <v>0</v>
      </c>
      <c r="K227" s="198">
        <v>0</v>
      </c>
      <c r="L227" s="198">
        <v>0</v>
      </c>
      <c r="M227" s="198">
        <v>79</v>
      </c>
      <c r="N227" s="198">
        <v>0</v>
      </c>
      <c r="O227" s="198">
        <v>0</v>
      </c>
      <c r="P227" s="198">
        <v>0</v>
      </c>
      <c r="Q227" s="198">
        <v>0</v>
      </c>
      <c r="R227" s="198">
        <v>0</v>
      </c>
      <c r="S227" s="198">
        <v>0</v>
      </c>
      <c r="T227" s="198">
        <v>0</v>
      </c>
      <c r="U227" s="198">
        <v>0</v>
      </c>
      <c r="V227" s="198">
        <v>0</v>
      </c>
      <c r="W227" s="198">
        <v>0</v>
      </c>
      <c r="X227" s="198">
        <v>0</v>
      </c>
      <c r="Y227" s="198">
        <v>0</v>
      </c>
      <c r="Z227" s="198">
        <v>0</v>
      </c>
      <c r="AA227" s="198">
        <v>3.3</v>
      </c>
      <c r="AB227" s="198">
        <v>0</v>
      </c>
      <c r="AC227" s="198">
        <v>0</v>
      </c>
      <c r="AD227" s="198">
        <v>56.9</v>
      </c>
      <c r="AE227" s="198">
        <v>0</v>
      </c>
      <c r="AF227" s="198">
        <v>0</v>
      </c>
      <c r="AG227" s="198">
        <v>0</v>
      </c>
      <c r="AH227" s="198">
        <v>0</v>
      </c>
      <c r="AI227" s="198">
        <v>0</v>
      </c>
      <c r="AJ227" s="198">
        <v>57.2</v>
      </c>
      <c r="AK227" s="198">
        <v>0</v>
      </c>
      <c r="AL227" s="198">
        <v>0</v>
      </c>
      <c r="AM227" s="198">
        <v>4.4000000000000004</v>
      </c>
      <c r="AN227" s="198">
        <v>0</v>
      </c>
      <c r="AO227" s="198">
        <v>0</v>
      </c>
      <c r="AP227" s="198">
        <v>55.3</v>
      </c>
      <c r="AQ227" s="198">
        <v>0</v>
      </c>
      <c r="AR227" s="198">
        <v>0</v>
      </c>
      <c r="AS227" s="198">
        <v>7.9</v>
      </c>
      <c r="AT227" s="198">
        <v>0</v>
      </c>
      <c r="AU227" s="198">
        <v>0</v>
      </c>
      <c r="AV227" s="198">
        <v>0</v>
      </c>
      <c r="AW227" s="198">
        <v>0</v>
      </c>
      <c r="AX227" s="198">
        <v>6.5</v>
      </c>
      <c r="AY227" s="198">
        <v>0</v>
      </c>
      <c r="AZ227" s="198">
        <v>0</v>
      </c>
      <c r="BA227" s="198">
        <v>0.7</v>
      </c>
      <c r="BB227" s="198">
        <v>0</v>
      </c>
      <c r="BC227" s="198">
        <v>0</v>
      </c>
      <c r="BD227" s="198">
        <v>5.4</v>
      </c>
      <c r="BE227" s="198">
        <v>0</v>
      </c>
      <c r="BF227" s="198">
        <v>0</v>
      </c>
      <c r="BG227" s="198">
        <v>1.1000000000000001</v>
      </c>
      <c r="BH227" s="198">
        <v>0</v>
      </c>
      <c r="BI227" s="198">
        <v>0</v>
      </c>
      <c r="BJ227" s="198">
        <v>0</v>
      </c>
      <c r="BK227" s="198">
        <v>0</v>
      </c>
      <c r="BL227" s="198">
        <v>0</v>
      </c>
      <c r="BM227" s="198">
        <v>0</v>
      </c>
      <c r="BN227" s="198">
        <v>0</v>
      </c>
      <c r="BO227" s="198">
        <v>0</v>
      </c>
      <c r="BP227" s="198">
        <v>0</v>
      </c>
      <c r="BQ227" s="198">
        <v>0</v>
      </c>
      <c r="BR227" s="198">
        <v>0</v>
      </c>
      <c r="BS227" s="198">
        <v>0</v>
      </c>
      <c r="BT227" s="198">
        <v>0</v>
      </c>
      <c r="BU227" s="198">
        <v>0</v>
      </c>
      <c r="BV227" s="198">
        <v>0</v>
      </c>
      <c r="BW227" s="198">
        <v>0</v>
      </c>
      <c r="BX227" s="198">
        <v>0</v>
      </c>
      <c r="BY227" s="198">
        <v>0</v>
      </c>
      <c r="BZ227" s="198">
        <v>0</v>
      </c>
      <c r="CA227" s="198">
        <v>0</v>
      </c>
      <c r="CB227" s="198">
        <v>0</v>
      </c>
      <c r="CC227" s="198">
        <v>0</v>
      </c>
      <c r="CD227" s="198">
        <v>0</v>
      </c>
      <c r="CE227" s="198">
        <v>0</v>
      </c>
      <c r="CF227" s="198">
        <v>0</v>
      </c>
      <c r="CG227" s="198">
        <v>0</v>
      </c>
      <c r="CH227" s="198">
        <v>0</v>
      </c>
      <c r="CI227" s="198">
        <v>0</v>
      </c>
      <c r="CJ227" s="198">
        <v>0</v>
      </c>
      <c r="CK227" s="88"/>
    </row>
    <row r="228" spans="1:89" x14ac:dyDescent="0.3">
      <c r="A228" s="173"/>
      <c r="B228" s="197" t="s">
        <v>175</v>
      </c>
      <c r="C228" s="198">
        <v>0</v>
      </c>
      <c r="D228" s="198">
        <v>0</v>
      </c>
      <c r="E228" s="198">
        <v>0</v>
      </c>
      <c r="F228" s="198">
        <v>0</v>
      </c>
      <c r="G228" s="198">
        <v>0</v>
      </c>
      <c r="H228" s="198">
        <v>0</v>
      </c>
      <c r="I228" s="198">
        <v>0</v>
      </c>
      <c r="J228" s="198">
        <v>0</v>
      </c>
      <c r="K228" s="198">
        <v>0</v>
      </c>
      <c r="L228" s="198">
        <v>0</v>
      </c>
      <c r="M228" s="198">
        <v>0</v>
      </c>
      <c r="N228" s="198">
        <v>0</v>
      </c>
      <c r="O228" s="198">
        <v>0</v>
      </c>
      <c r="P228" s="198">
        <v>0</v>
      </c>
      <c r="Q228" s="198">
        <v>0</v>
      </c>
      <c r="R228" s="198">
        <v>0</v>
      </c>
      <c r="S228" s="198">
        <v>9.5</v>
      </c>
      <c r="T228" s="198">
        <v>0</v>
      </c>
      <c r="U228" s="198">
        <v>0</v>
      </c>
      <c r="V228" s="198">
        <v>0</v>
      </c>
      <c r="W228" s="198">
        <v>0</v>
      </c>
      <c r="X228" s="198">
        <v>0</v>
      </c>
      <c r="Y228" s="198">
        <v>0</v>
      </c>
      <c r="Z228" s="198">
        <v>0</v>
      </c>
      <c r="AA228" s="198">
        <v>0</v>
      </c>
      <c r="AB228" s="198">
        <v>0</v>
      </c>
      <c r="AC228" s="198">
        <v>0</v>
      </c>
      <c r="AD228" s="198">
        <v>0</v>
      </c>
      <c r="AE228" s="198">
        <v>0</v>
      </c>
      <c r="AF228" s="198">
        <v>0</v>
      </c>
      <c r="AG228" s="198">
        <v>0</v>
      </c>
      <c r="AH228" s="198">
        <v>0</v>
      </c>
      <c r="AI228" s="198">
        <v>0</v>
      </c>
      <c r="AJ228" s="198">
        <v>0</v>
      </c>
      <c r="AK228" s="198">
        <v>0</v>
      </c>
      <c r="AL228" s="198">
        <v>0</v>
      </c>
      <c r="AM228" s="198">
        <v>0</v>
      </c>
      <c r="AN228" s="198">
        <v>0</v>
      </c>
      <c r="AO228" s="198">
        <v>0</v>
      </c>
      <c r="AP228" s="198">
        <v>0</v>
      </c>
      <c r="AQ228" s="198">
        <v>0</v>
      </c>
      <c r="AR228" s="198">
        <v>0</v>
      </c>
      <c r="AS228" s="198">
        <v>0</v>
      </c>
      <c r="AT228" s="198">
        <v>0</v>
      </c>
      <c r="AU228" s="198">
        <v>0</v>
      </c>
      <c r="AV228" s="198">
        <v>0</v>
      </c>
      <c r="AW228" s="198">
        <v>0</v>
      </c>
      <c r="AX228" s="198">
        <v>0</v>
      </c>
      <c r="AY228" s="198">
        <v>0</v>
      </c>
      <c r="AZ228" s="198">
        <v>0</v>
      </c>
      <c r="BA228" s="198">
        <v>0</v>
      </c>
      <c r="BB228" s="198">
        <v>0</v>
      </c>
      <c r="BC228" s="198">
        <v>0</v>
      </c>
      <c r="BD228" s="198">
        <v>0</v>
      </c>
      <c r="BE228" s="198">
        <v>0</v>
      </c>
      <c r="BF228" s="198">
        <v>0</v>
      </c>
      <c r="BG228" s="198">
        <v>0</v>
      </c>
      <c r="BH228" s="198">
        <v>0</v>
      </c>
      <c r="BI228" s="198">
        <v>0</v>
      </c>
      <c r="BJ228" s="198">
        <v>0</v>
      </c>
      <c r="BK228" s="198">
        <v>0</v>
      </c>
      <c r="BL228" s="198">
        <v>0</v>
      </c>
      <c r="BM228" s="198">
        <v>0</v>
      </c>
      <c r="BN228" s="198">
        <v>0</v>
      </c>
      <c r="BO228" s="198">
        <v>0</v>
      </c>
      <c r="BP228" s="198">
        <v>0</v>
      </c>
      <c r="BQ228" s="198">
        <v>0</v>
      </c>
      <c r="BR228" s="198">
        <v>0</v>
      </c>
      <c r="BS228" s="198">
        <v>0</v>
      </c>
      <c r="BT228" s="198">
        <v>0</v>
      </c>
      <c r="BU228" s="198">
        <v>0</v>
      </c>
      <c r="BV228" s="198">
        <v>0</v>
      </c>
      <c r="BW228" s="198">
        <v>0</v>
      </c>
      <c r="BX228" s="198">
        <v>0</v>
      </c>
      <c r="BY228" s="198">
        <v>0</v>
      </c>
      <c r="BZ228" s="198">
        <v>0</v>
      </c>
      <c r="CA228" s="198">
        <v>0</v>
      </c>
      <c r="CB228" s="198">
        <v>0</v>
      </c>
      <c r="CC228" s="198">
        <v>0</v>
      </c>
      <c r="CD228" s="198">
        <v>0</v>
      </c>
      <c r="CE228" s="198">
        <v>0</v>
      </c>
      <c r="CF228" s="198">
        <v>0</v>
      </c>
      <c r="CG228" s="198">
        <v>0</v>
      </c>
      <c r="CH228" s="198">
        <v>0</v>
      </c>
      <c r="CI228" s="198">
        <v>0</v>
      </c>
      <c r="CJ228" s="198">
        <v>0</v>
      </c>
      <c r="CK228" s="88"/>
    </row>
    <row r="229" spans="1:89" x14ac:dyDescent="0.3">
      <c r="A229" s="173"/>
      <c r="B229" s="197" t="s">
        <v>217</v>
      </c>
      <c r="C229" s="200">
        <v>0</v>
      </c>
      <c r="D229" s="200">
        <v>0</v>
      </c>
      <c r="E229" s="200">
        <v>0</v>
      </c>
      <c r="F229" s="200">
        <v>0</v>
      </c>
      <c r="G229" s="198">
        <v>14.5</v>
      </c>
      <c r="H229" s="198">
        <v>0</v>
      </c>
      <c r="I229" s="198">
        <v>0</v>
      </c>
      <c r="J229" s="198">
        <v>0</v>
      </c>
      <c r="K229" s="198">
        <v>0</v>
      </c>
      <c r="L229" s="198">
        <v>0</v>
      </c>
      <c r="M229" s="198">
        <v>14</v>
      </c>
      <c r="N229" s="198">
        <v>0</v>
      </c>
      <c r="O229" s="198">
        <v>0</v>
      </c>
      <c r="P229" s="198">
        <v>0</v>
      </c>
      <c r="Q229" s="198">
        <v>0</v>
      </c>
      <c r="R229" s="198">
        <v>0</v>
      </c>
      <c r="S229" s="198">
        <v>15.3</v>
      </c>
      <c r="T229" s="198">
        <v>0</v>
      </c>
      <c r="U229" s="198">
        <v>0</v>
      </c>
      <c r="V229" s="198">
        <v>0</v>
      </c>
      <c r="W229" s="198">
        <v>0</v>
      </c>
      <c r="X229" s="198">
        <v>0</v>
      </c>
      <c r="Y229" s="198">
        <v>0</v>
      </c>
      <c r="Z229" s="198">
        <v>0</v>
      </c>
      <c r="AA229" s="198">
        <v>2.4</v>
      </c>
      <c r="AB229" s="198">
        <v>0</v>
      </c>
      <c r="AC229" s="198">
        <v>0</v>
      </c>
      <c r="AD229" s="198">
        <v>12.9</v>
      </c>
      <c r="AE229" s="198">
        <v>0</v>
      </c>
      <c r="AF229" s="198">
        <v>0</v>
      </c>
      <c r="AG229" s="198">
        <v>3</v>
      </c>
      <c r="AH229" s="198">
        <v>0</v>
      </c>
      <c r="AI229" s="198">
        <v>0</v>
      </c>
      <c r="AJ229" s="198">
        <v>13.2</v>
      </c>
      <c r="AK229" s="198">
        <v>0</v>
      </c>
      <c r="AL229" s="198">
        <v>0</v>
      </c>
      <c r="AM229" s="198">
        <v>4</v>
      </c>
      <c r="AN229" s="198">
        <v>0</v>
      </c>
      <c r="AO229" s="198">
        <v>0</v>
      </c>
      <c r="AP229" s="198">
        <v>12.9</v>
      </c>
      <c r="AQ229" s="198">
        <v>0</v>
      </c>
      <c r="AR229" s="198">
        <v>0</v>
      </c>
      <c r="AS229" s="198">
        <v>4.5</v>
      </c>
      <c r="AT229" s="198">
        <v>0</v>
      </c>
      <c r="AU229" s="198">
        <v>11.6</v>
      </c>
      <c r="AV229" s="198">
        <v>0</v>
      </c>
      <c r="AW229" s="198">
        <v>0</v>
      </c>
      <c r="AX229" s="198">
        <v>4.7</v>
      </c>
      <c r="AY229" s="198">
        <v>0</v>
      </c>
      <c r="AZ229" s="198">
        <v>0</v>
      </c>
      <c r="BA229" s="198">
        <v>9.6999999999999993</v>
      </c>
      <c r="BB229" s="198">
        <v>0</v>
      </c>
      <c r="BC229" s="198">
        <v>0</v>
      </c>
      <c r="BD229" s="198">
        <v>5</v>
      </c>
      <c r="BE229" s="198">
        <v>0</v>
      </c>
      <c r="BF229" s="198">
        <v>0</v>
      </c>
      <c r="BG229" s="198">
        <v>6.9</v>
      </c>
      <c r="BH229" s="198">
        <v>0</v>
      </c>
      <c r="BI229" s="198">
        <v>0</v>
      </c>
      <c r="BJ229" s="198">
        <v>5</v>
      </c>
      <c r="BK229" s="198">
        <v>0</v>
      </c>
      <c r="BL229" s="198">
        <v>0</v>
      </c>
      <c r="BM229" s="198">
        <v>0</v>
      </c>
      <c r="BN229" s="198">
        <v>0</v>
      </c>
      <c r="BO229" s="198">
        <v>0</v>
      </c>
      <c r="BP229" s="198">
        <v>2.5</v>
      </c>
      <c r="BQ229" s="198">
        <v>0</v>
      </c>
      <c r="BR229" s="198">
        <v>0</v>
      </c>
      <c r="BS229" s="198">
        <v>0</v>
      </c>
      <c r="BT229" s="198">
        <v>0</v>
      </c>
      <c r="BU229" s="198">
        <v>0</v>
      </c>
      <c r="BV229" s="198">
        <v>0</v>
      </c>
      <c r="BW229" s="198">
        <v>0</v>
      </c>
      <c r="BX229" s="198">
        <v>0</v>
      </c>
      <c r="BY229" s="198">
        <v>0</v>
      </c>
      <c r="BZ229" s="198">
        <v>0</v>
      </c>
      <c r="CA229" s="198">
        <v>0</v>
      </c>
      <c r="CB229" s="198">
        <v>0</v>
      </c>
      <c r="CC229" s="198">
        <v>0</v>
      </c>
      <c r="CD229" s="198">
        <v>0</v>
      </c>
      <c r="CE229" s="198">
        <v>0</v>
      </c>
      <c r="CF229" s="198">
        <v>0</v>
      </c>
      <c r="CG229" s="198">
        <v>0</v>
      </c>
      <c r="CH229" s="198">
        <v>0</v>
      </c>
      <c r="CI229" s="198">
        <v>0</v>
      </c>
      <c r="CJ229" s="198">
        <v>0</v>
      </c>
      <c r="CK229" s="88"/>
    </row>
    <row r="230" spans="1:89" x14ac:dyDescent="0.3">
      <c r="A230" s="173"/>
      <c r="B230" s="197" t="s">
        <v>71</v>
      </c>
      <c r="C230" s="198">
        <v>26.4</v>
      </c>
      <c r="D230" s="198">
        <v>33.799999999999997</v>
      </c>
      <c r="E230" s="198">
        <v>105.4</v>
      </c>
      <c r="F230" s="198">
        <v>6.9</v>
      </c>
      <c r="G230" s="198">
        <v>0</v>
      </c>
      <c r="H230" s="198">
        <v>0</v>
      </c>
      <c r="I230" s="198">
        <v>23.6</v>
      </c>
      <c r="J230" s="198">
        <v>28.5</v>
      </c>
      <c r="K230" s="198">
        <v>69.599999999999994</v>
      </c>
      <c r="L230" s="198">
        <v>5</v>
      </c>
      <c r="M230" s="198">
        <v>0</v>
      </c>
      <c r="N230" s="198">
        <v>0</v>
      </c>
      <c r="O230" s="198">
        <v>16.7</v>
      </c>
      <c r="P230" s="198">
        <v>20.7</v>
      </c>
      <c r="Q230" s="198">
        <v>66.099999999999994</v>
      </c>
      <c r="R230" s="198">
        <v>30</v>
      </c>
      <c r="S230" s="198">
        <v>0</v>
      </c>
      <c r="T230" s="198">
        <v>0</v>
      </c>
      <c r="U230" s="198">
        <v>0</v>
      </c>
      <c r="V230" s="198">
        <v>0</v>
      </c>
      <c r="W230" s="198">
        <v>0</v>
      </c>
      <c r="X230" s="198">
        <v>0</v>
      </c>
      <c r="Y230" s="198">
        <v>0</v>
      </c>
      <c r="Z230" s="198">
        <v>0</v>
      </c>
      <c r="AA230" s="198">
        <v>0</v>
      </c>
      <c r="AB230" s="198">
        <v>0</v>
      </c>
      <c r="AC230" s="198">
        <v>0</v>
      </c>
      <c r="AD230" s="198">
        <v>0</v>
      </c>
      <c r="AE230" s="198">
        <v>0</v>
      </c>
      <c r="AF230" s="198">
        <v>0</v>
      </c>
      <c r="AG230" s="198">
        <v>0</v>
      </c>
      <c r="AH230" s="198">
        <v>0</v>
      </c>
      <c r="AI230" s="198">
        <v>0</v>
      </c>
      <c r="AJ230" s="198">
        <v>0</v>
      </c>
      <c r="AK230" s="198">
        <v>0</v>
      </c>
      <c r="AL230" s="198">
        <v>0</v>
      </c>
      <c r="AM230" s="198">
        <v>0</v>
      </c>
      <c r="AN230" s="198">
        <v>0</v>
      </c>
      <c r="AO230" s="198">
        <v>0</v>
      </c>
      <c r="AP230" s="198">
        <v>0</v>
      </c>
      <c r="AQ230" s="198">
        <v>0</v>
      </c>
      <c r="AR230" s="198">
        <v>0</v>
      </c>
      <c r="AS230" s="198">
        <v>0</v>
      </c>
      <c r="AT230" s="198">
        <v>0</v>
      </c>
      <c r="AU230" s="198">
        <v>0</v>
      </c>
      <c r="AV230" s="198">
        <v>0</v>
      </c>
      <c r="AW230" s="198">
        <v>0</v>
      </c>
      <c r="AX230" s="198">
        <v>0</v>
      </c>
      <c r="AY230" s="198">
        <v>0</v>
      </c>
      <c r="AZ230" s="198">
        <v>0</v>
      </c>
      <c r="BA230" s="198">
        <v>0</v>
      </c>
      <c r="BB230" s="198">
        <v>0</v>
      </c>
      <c r="BC230" s="198">
        <v>0</v>
      </c>
      <c r="BD230" s="198">
        <v>0</v>
      </c>
      <c r="BE230" s="198">
        <v>0</v>
      </c>
      <c r="BF230" s="198">
        <v>0</v>
      </c>
      <c r="BG230" s="198">
        <v>0</v>
      </c>
      <c r="BH230" s="198">
        <v>0</v>
      </c>
      <c r="BI230" s="198">
        <v>0</v>
      </c>
      <c r="BJ230" s="198">
        <v>0</v>
      </c>
      <c r="BK230" s="198">
        <v>0</v>
      </c>
      <c r="BL230" s="198">
        <v>0</v>
      </c>
      <c r="BM230" s="198">
        <v>0</v>
      </c>
      <c r="BN230" s="198">
        <v>0</v>
      </c>
      <c r="BO230" s="198">
        <v>0</v>
      </c>
      <c r="BP230" s="198">
        <v>0</v>
      </c>
      <c r="BQ230" s="198">
        <v>0</v>
      </c>
      <c r="BR230" s="198">
        <v>0</v>
      </c>
      <c r="BS230" s="198">
        <v>0</v>
      </c>
      <c r="BT230" s="198">
        <v>0</v>
      </c>
      <c r="BU230" s="198">
        <v>0</v>
      </c>
      <c r="BV230" s="198">
        <v>0</v>
      </c>
      <c r="BW230" s="198">
        <v>0</v>
      </c>
      <c r="BX230" s="198">
        <v>0</v>
      </c>
      <c r="BY230" s="198">
        <v>0</v>
      </c>
      <c r="BZ230" s="198">
        <v>0</v>
      </c>
      <c r="CA230" s="198">
        <v>0</v>
      </c>
      <c r="CB230" s="198">
        <v>0</v>
      </c>
      <c r="CC230" s="198">
        <v>0</v>
      </c>
      <c r="CD230" s="198">
        <v>0</v>
      </c>
      <c r="CE230" s="198">
        <v>0</v>
      </c>
      <c r="CF230" s="198">
        <v>0</v>
      </c>
      <c r="CG230" s="198">
        <v>0</v>
      </c>
      <c r="CH230" s="198">
        <v>0</v>
      </c>
      <c r="CI230" s="198">
        <v>0</v>
      </c>
      <c r="CJ230" s="198">
        <v>0</v>
      </c>
      <c r="CK230" s="88"/>
    </row>
    <row r="231" spans="1:89" x14ac:dyDescent="0.3">
      <c r="A231" s="173"/>
      <c r="B231" s="197" t="s">
        <v>176</v>
      </c>
      <c r="C231" s="198">
        <v>0</v>
      </c>
      <c r="D231" s="198">
        <v>0</v>
      </c>
      <c r="E231" s="198">
        <v>0</v>
      </c>
      <c r="F231" s="198">
        <v>0</v>
      </c>
      <c r="G231" s="198">
        <v>0</v>
      </c>
      <c r="H231" s="198">
        <v>0</v>
      </c>
      <c r="I231" s="198">
        <v>0</v>
      </c>
      <c r="J231" s="198">
        <v>0</v>
      </c>
      <c r="K231" s="198">
        <v>0</v>
      </c>
      <c r="L231" s="198">
        <v>0</v>
      </c>
      <c r="M231" s="198">
        <v>0</v>
      </c>
      <c r="N231" s="198">
        <v>0</v>
      </c>
      <c r="O231" s="198">
        <v>0</v>
      </c>
      <c r="P231" s="198">
        <v>0</v>
      </c>
      <c r="Q231" s="198">
        <v>0</v>
      </c>
      <c r="R231" s="198">
        <v>0</v>
      </c>
      <c r="S231" s="198">
        <v>72.7</v>
      </c>
      <c r="T231" s="198">
        <v>0</v>
      </c>
      <c r="U231" s="198">
        <v>0</v>
      </c>
      <c r="V231" s="198">
        <v>0</v>
      </c>
      <c r="W231" s="198">
        <v>0</v>
      </c>
      <c r="X231" s="198">
        <v>0</v>
      </c>
      <c r="Y231" s="198">
        <v>0</v>
      </c>
      <c r="Z231" s="198">
        <v>0</v>
      </c>
      <c r="AA231" s="198">
        <v>0</v>
      </c>
      <c r="AB231" s="198">
        <v>0</v>
      </c>
      <c r="AC231" s="198">
        <v>57.9</v>
      </c>
      <c r="AD231" s="198">
        <v>0</v>
      </c>
      <c r="AE231" s="198">
        <v>0</v>
      </c>
      <c r="AF231" s="198">
        <v>0</v>
      </c>
      <c r="AG231" s="198">
        <v>0</v>
      </c>
      <c r="AH231" s="198">
        <v>0</v>
      </c>
      <c r="AI231" s="198">
        <v>0</v>
      </c>
      <c r="AJ231" s="198">
        <v>0</v>
      </c>
      <c r="AK231" s="198">
        <v>0</v>
      </c>
      <c r="AL231" s="198">
        <v>0</v>
      </c>
      <c r="AM231" s="198">
        <v>0</v>
      </c>
      <c r="AN231" s="198">
        <v>0</v>
      </c>
      <c r="AO231" s="198">
        <v>0</v>
      </c>
      <c r="AP231" s="198">
        <v>0</v>
      </c>
      <c r="AQ231" s="198">
        <v>0</v>
      </c>
      <c r="AR231" s="198">
        <v>0</v>
      </c>
      <c r="AS231" s="198">
        <v>0</v>
      </c>
      <c r="AT231" s="198">
        <v>0</v>
      </c>
      <c r="AU231" s="198">
        <v>0</v>
      </c>
      <c r="AV231" s="198">
        <v>0</v>
      </c>
      <c r="AW231" s="198">
        <v>0</v>
      </c>
      <c r="AX231" s="198">
        <v>1.8</v>
      </c>
      <c r="AY231" s="198">
        <v>0</v>
      </c>
      <c r="AZ231" s="198">
        <v>0</v>
      </c>
      <c r="BA231" s="198">
        <v>0.1</v>
      </c>
      <c r="BB231" s="198">
        <v>0</v>
      </c>
      <c r="BC231" s="198">
        <v>0</v>
      </c>
      <c r="BD231" s="198">
        <v>0</v>
      </c>
      <c r="BE231" s="198">
        <v>0</v>
      </c>
      <c r="BF231" s="198">
        <v>0</v>
      </c>
      <c r="BG231" s="198">
        <v>0.1</v>
      </c>
      <c r="BH231" s="198">
        <v>0</v>
      </c>
      <c r="BI231" s="198">
        <v>0</v>
      </c>
      <c r="BJ231" s="198">
        <v>0</v>
      </c>
      <c r="BK231" s="198">
        <v>0</v>
      </c>
      <c r="BL231" s="198">
        <v>0</v>
      </c>
      <c r="BM231" s="198">
        <v>0</v>
      </c>
      <c r="BN231" s="198">
        <v>0</v>
      </c>
      <c r="BO231" s="198">
        <v>0</v>
      </c>
      <c r="BP231" s="198">
        <v>0</v>
      </c>
      <c r="BQ231" s="198">
        <v>0</v>
      </c>
      <c r="BR231" s="198">
        <v>0</v>
      </c>
      <c r="BS231" s="198">
        <v>0</v>
      </c>
      <c r="BT231" s="198">
        <v>0</v>
      </c>
      <c r="BU231" s="198">
        <v>0</v>
      </c>
      <c r="BV231" s="198">
        <v>0</v>
      </c>
      <c r="BW231" s="198">
        <v>0</v>
      </c>
      <c r="BX231" s="198">
        <v>0</v>
      </c>
      <c r="BY231" s="198">
        <v>0</v>
      </c>
      <c r="BZ231" s="198">
        <v>0</v>
      </c>
      <c r="CA231" s="198">
        <v>0</v>
      </c>
      <c r="CB231" s="198">
        <v>0</v>
      </c>
      <c r="CC231" s="198">
        <v>0</v>
      </c>
      <c r="CD231" s="198">
        <v>0</v>
      </c>
      <c r="CE231" s="198">
        <v>0</v>
      </c>
      <c r="CF231" s="198">
        <v>0</v>
      </c>
      <c r="CG231" s="198">
        <v>0</v>
      </c>
      <c r="CH231" s="198">
        <v>0</v>
      </c>
      <c r="CI231" s="198">
        <v>0</v>
      </c>
      <c r="CJ231" s="198">
        <v>0</v>
      </c>
      <c r="CK231" s="88"/>
    </row>
    <row r="232" spans="1:89" x14ac:dyDescent="0.3">
      <c r="A232" s="173"/>
      <c r="B232" s="197" t="s">
        <v>169</v>
      </c>
      <c r="C232" s="198">
        <v>0</v>
      </c>
      <c r="D232" s="198">
        <v>0</v>
      </c>
      <c r="E232" s="198">
        <v>0</v>
      </c>
      <c r="F232" s="198">
        <v>0</v>
      </c>
      <c r="G232" s="198">
        <v>0</v>
      </c>
      <c r="H232" s="198">
        <v>0</v>
      </c>
      <c r="I232" s="198">
        <v>0</v>
      </c>
      <c r="J232" s="198">
        <v>0</v>
      </c>
      <c r="K232" s="198">
        <v>0</v>
      </c>
      <c r="L232" s="198">
        <v>0</v>
      </c>
      <c r="M232" s="198">
        <v>0</v>
      </c>
      <c r="N232" s="198">
        <v>0</v>
      </c>
      <c r="O232" s="198">
        <v>0</v>
      </c>
      <c r="P232" s="198">
        <v>113.4</v>
      </c>
      <c r="Q232" s="198">
        <v>689.6</v>
      </c>
      <c r="R232" s="198">
        <v>391.4</v>
      </c>
      <c r="S232" s="198">
        <v>185.5</v>
      </c>
      <c r="T232" s="198">
        <v>685.1</v>
      </c>
      <c r="U232" s="198">
        <v>120.8</v>
      </c>
      <c r="V232" s="198">
        <v>799.5</v>
      </c>
      <c r="W232" s="198">
        <v>117.4</v>
      </c>
      <c r="X232" s="198">
        <v>110.3</v>
      </c>
      <c r="Y232" s="198">
        <v>87.9</v>
      </c>
      <c r="Z232" s="198">
        <v>4.9000000000000004</v>
      </c>
      <c r="AA232" s="198">
        <v>0</v>
      </c>
      <c r="AB232" s="198">
        <v>0</v>
      </c>
      <c r="AC232" s="198">
        <v>0</v>
      </c>
      <c r="AD232" s="198">
        <v>0</v>
      </c>
      <c r="AE232" s="198">
        <v>0</v>
      </c>
      <c r="AF232" s="198">
        <v>0</v>
      </c>
      <c r="AG232" s="198">
        <v>0</v>
      </c>
      <c r="AH232" s="198">
        <v>0</v>
      </c>
      <c r="AI232" s="198">
        <v>0</v>
      </c>
      <c r="AJ232" s="198">
        <v>0</v>
      </c>
      <c r="AK232" s="198">
        <v>0</v>
      </c>
      <c r="AL232" s="198">
        <v>0</v>
      </c>
      <c r="AM232" s="198">
        <v>0</v>
      </c>
      <c r="AN232" s="198">
        <v>0</v>
      </c>
      <c r="AO232" s="198">
        <v>0</v>
      </c>
      <c r="AP232" s="198">
        <v>0</v>
      </c>
      <c r="AQ232" s="198">
        <v>0</v>
      </c>
      <c r="AR232" s="198">
        <v>0</v>
      </c>
      <c r="AS232" s="198">
        <v>0</v>
      </c>
      <c r="AT232" s="198">
        <v>0</v>
      </c>
      <c r="AU232" s="198">
        <v>0</v>
      </c>
      <c r="AV232" s="198">
        <v>0</v>
      </c>
      <c r="AW232" s="198">
        <v>0</v>
      </c>
      <c r="AX232" s="198">
        <v>0</v>
      </c>
      <c r="AY232" s="198">
        <v>0</v>
      </c>
      <c r="AZ232" s="198">
        <v>0</v>
      </c>
      <c r="BA232" s="198">
        <v>0</v>
      </c>
      <c r="BB232" s="198">
        <v>0</v>
      </c>
      <c r="BC232" s="198">
        <v>0</v>
      </c>
      <c r="BD232" s="198">
        <v>0</v>
      </c>
      <c r="BE232" s="198">
        <v>0</v>
      </c>
      <c r="BF232" s="198">
        <v>0</v>
      </c>
      <c r="BG232" s="198">
        <v>0</v>
      </c>
      <c r="BH232" s="198">
        <v>0</v>
      </c>
      <c r="BI232" s="198">
        <v>0</v>
      </c>
      <c r="BJ232" s="198">
        <v>0</v>
      </c>
      <c r="BK232" s="198">
        <v>0</v>
      </c>
      <c r="BL232" s="198">
        <v>0</v>
      </c>
      <c r="BM232" s="198">
        <v>0</v>
      </c>
      <c r="BN232" s="198">
        <v>0</v>
      </c>
      <c r="BO232" s="198">
        <v>0</v>
      </c>
      <c r="BP232" s="198">
        <v>0</v>
      </c>
      <c r="BQ232" s="198">
        <v>0</v>
      </c>
      <c r="BR232" s="198">
        <v>0</v>
      </c>
      <c r="BS232" s="198">
        <v>0</v>
      </c>
      <c r="BT232" s="198">
        <v>0</v>
      </c>
      <c r="BU232" s="198">
        <v>0</v>
      </c>
      <c r="BV232" s="198">
        <v>0</v>
      </c>
      <c r="BW232" s="198">
        <v>0</v>
      </c>
      <c r="BX232" s="198">
        <v>0</v>
      </c>
      <c r="BY232" s="198">
        <v>0</v>
      </c>
      <c r="BZ232" s="198">
        <v>0</v>
      </c>
      <c r="CA232" s="198">
        <v>0</v>
      </c>
      <c r="CB232" s="198">
        <v>0</v>
      </c>
      <c r="CC232" s="198">
        <v>0</v>
      </c>
      <c r="CD232" s="198">
        <v>0</v>
      </c>
      <c r="CE232" s="198">
        <v>0</v>
      </c>
      <c r="CF232" s="198">
        <v>0</v>
      </c>
      <c r="CG232" s="198">
        <v>0</v>
      </c>
      <c r="CH232" s="198">
        <v>0</v>
      </c>
      <c r="CI232" s="198">
        <v>0</v>
      </c>
      <c r="CJ232" s="198">
        <v>0</v>
      </c>
      <c r="CK232" s="88"/>
    </row>
    <row r="233" spans="1:89" x14ac:dyDescent="0.3">
      <c r="A233" s="173"/>
      <c r="B233" s="197" t="s">
        <v>168</v>
      </c>
      <c r="C233" s="198">
        <v>0</v>
      </c>
      <c r="D233" s="198">
        <v>0</v>
      </c>
      <c r="E233" s="198">
        <v>0</v>
      </c>
      <c r="F233" s="198">
        <v>0</v>
      </c>
      <c r="G233" s="198">
        <v>0</v>
      </c>
      <c r="H233" s="198">
        <v>0</v>
      </c>
      <c r="I233" s="198">
        <v>0</v>
      </c>
      <c r="J233" s="198">
        <v>0</v>
      </c>
      <c r="K233" s="198">
        <v>0</v>
      </c>
      <c r="L233" s="198">
        <v>0</v>
      </c>
      <c r="M233" s="198">
        <v>0</v>
      </c>
      <c r="N233" s="198">
        <v>0</v>
      </c>
      <c r="O233" s="198">
        <v>0</v>
      </c>
      <c r="P233" s="198">
        <v>0</v>
      </c>
      <c r="Q233" s="198">
        <v>275</v>
      </c>
      <c r="R233" s="198">
        <v>353.3</v>
      </c>
      <c r="S233" s="198">
        <v>384.5</v>
      </c>
      <c r="T233" s="198">
        <v>0</v>
      </c>
      <c r="U233" s="198">
        <v>0</v>
      </c>
      <c r="V233" s="198">
        <v>0</v>
      </c>
      <c r="W233" s="198">
        <v>0</v>
      </c>
      <c r="X233" s="198">
        <v>690.7</v>
      </c>
      <c r="Y233" s="198">
        <v>0</v>
      </c>
      <c r="Z233" s="198">
        <v>0</v>
      </c>
      <c r="AA233" s="198">
        <v>0</v>
      </c>
      <c r="AB233" s="198">
        <v>0</v>
      </c>
      <c r="AC233" s="198">
        <v>207.5</v>
      </c>
      <c r="AD233" s="198">
        <v>761.6</v>
      </c>
      <c r="AE233" s="198">
        <v>0</v>
      </c>
      <c r="AF233" s="198">
        <v>0</v>
      </c>
      <c r="AG233" s="198">
        <v>0</v>
      </c>
      <c r="AH233" s="198">
        <v>0</v>
      </c>
      <c r="AI233" s="198">
        <v>211.1</v>
      </c>
      <c r="AJ233" s="198">
        <v>774.5</v>
      </c>
      <c r="AK233" s="198">
        <v>0</v>
      </c>
      <c r="AL233" s="198">
        <v>0</v>
      </c>
      <c r="AM233" s="198">
        <v>0</v>
      </c>
      <c r="AN233" s="198">
        <v>0</v>
      </c>
      <c r="AO233" s="198">
        <v>1000.9</v>
      </c>
      <c r="AP233" s="198">
        <v>0</v>
      </c>
      <c r="AQ233" s="198">
        <v>0</v>
      </c>
      <c r="AR233" s="198">
        <v>0</v>
      </c>
      <c r="AS233" s="198">
        <v>0</v>
      </c>
      <c r="AT233" s="198">
        <v>0</v>
      </c>
      <c r="AU233" s="198">
        <v>1018.1</v>
      </c>
      <c r="AV233" s="198">
        <v>0</v>
      </c>
      <c r="AW233" s="198">
        <v>0</v>
      </c>
      <c r="AX233" s="198">
        <v>0</v>
      </c>
      <c r="AY233" s="198">
        <v>0</v>
      </c>
      <c r="AZ233" s="198">
        <v>0</v>
      </c>
      <c r="BA233" s="198">
        <v>1035.7</v>
      </c>
      <c r="BB233" s="198">
        <v>0</v>
      </c>
      <c r="BC233" s="198">
        <v>0</v>
      </c>
      <c r="BD233" s="198">
        <v>0</v>
      </c>
      <c r="BE233" s="198">
        <v>0</v>
      </c>
      <c r="BF233" s="198">
        <v>1053.5</v>
      </c>
      <c r="BG233" s="198">
        <v>0</v>
      </c>
      <c r="BH233" s="198">
        <v>0</v>
      </c>
      <c r="BI233" s="198">
        <v>0</v>
      </c>
      <c r="BJ233" s="198">
        <v>0</v>
      </c>
      <c r="BK233" s="198">
        <v>0</v>
      </c>
      <c r="BL233" s="198">
        <v>1071.5999999999999</v>
      </c>
      <c r="BM233" s="198">
        <v>0</v>
      </c>
      <c r="BN233" s="198">
        <v>0</v>
      </c>
      <c r="BO233" s="198">
        <v>0</v>
      </c>
      <c r="BP233" s="198">
        <v>0</v>
      </c>
      <c r="BQ233" s="198">
        <v>0</v>
      </c>
      <c r="BR233" s="198">
        <v>1084.8</v>
      </c>
      <c r="BS233" s="198">
        <v>0</v>
      </c>
      <c r="BT233" s="198">
        <v>0</v>
      </c>
      <c r="BU233" s="198">
        <v>0</v>
      </c>
      <c r="BV233" s="198">
        <v>0</v>
      </c>
      <c r="BW233" s="198">
        <v>0</v>
      </c>
      <c r="BX233" s="198">
        <v>1092.8</v>
      </c>
      <c r="BY233" s="198">
        <v>0</v>
      </c>
      <c r="BZ233" s="198">
        <v>0</v>
      </c>
      <c r="CA233" s="198">
        <v>0</v>
      </c>
      <c r="CB233" s="198">
        <v>0</v>
      </c>
      <c r="CC233" s="198">
        <v>0</v>
      </c>
      <c r="CD233" s="198">
        <v>0</v>
      </c>
      <c r="CE233" s="198">
        <v>0</v>
      </c>
      <c r="CF233" s="198">
        <v>0</v>
      </c>
      <c r="CG233" s="198">
        <v>0</v>
      </c>
      <c r="CH233" s="198">
        <v>0</v>
      </c>
      <c r="CI233" s="198">
        <v>0</v>
      </c>
      <c r="CJ233" s="198">
        <v>1109.0999999999999</v>
      </c>
      <c r="CK233" s="88"/>
    </row>
    <row r="234" spans="1:89" x14ac:dyDescent="0.3">
      <c r="A234" s="173"/>
      <c r="B234" s="197" t="s">
        <v>177</v>
      </c>
      <c r="C234" s="198">
        <v>0</v>
      </c>
      <c r="D234" s="198">
        <v>0</v>
      </c>
      <c r="E234" s="198">
        <v>0</v>
      </c>
      <c r="F234" s="198">
        <v>0</v>
      </c>
      <c r="G234" s="198">
        <v>0</v>
      </c>
      <c r="H234" s="198">
        <v>0</v>
      </c>
      <c r="I234" s="198">
        <v>0</v>
      </c>
      <c r="J234" s="198">
        <v>0</v>
      </c>
      <c r="K234" s="198">
        <v>0</v>
      </c>
      <c r="L234" s="198">
        <v>0</v>
      </c>
      <c r="M234" s="198">
        <v>0</v>
      </c>
      <c r="N234" s="198">
        <v>0</v>
      </c>
      <c r="O234" s="198">
        <v>0</v>
      </c>
      <c r="P234" s="198">
        <v>0</v>
      </c>
      <c r="Q234" s="198">
        <v>0</v>
      </c>
      <c r="R234" s="198">
        <v>0</v>
      </c>
      <c r="S234" s="198">
        <v>21.3</v>
      </c>
      <c r="T234" s="198">
        <v>0</v>
      </c>
      <c r="U234" s="198">
        <v>0</v>
      </c>
      <c r="V234" s="198">
        <v>0</v>
      </c>
      <c r="W234" s="198">
        <v>0</v>
      </c>
      <c r="X234" s="198">
        <v>0</v>
      </c>
      <c r="Y234" s="198">
        <v>0</v>
      </c>
      <c r="Z234" s="198">
        <v>0</v>
      </c>
      <c r="AA234" s="198">
        <v>1.1000000000000001</v>
      </c>
      <c r="AB234" s="198">
        <v>0</v>
      </c>
      <c r="AC234" s="198">
        <v>0</v>
      </c>
      <c r="AD234" s="198">
        <v>0</v>
      </c>
      <c r="AE234" s="198">
        <v>0</v>
      </c>
      <c r="AF234" s="198">
        <v>0</v>
      </c>
      <c r="AG234" s="198">
        <v>0</v>
      </c>
      <c r="AH234" s="198">
        <v>0</v>
      </c>
      <c r="AI234" s="198">
        <v>0</v>
      </c>
      <c r="AJ234" s="198">
        <v>0</v>
      </c>
      <c r="AK234" s="198">
        <v>0</v>
      </c>
      <c r="AL234" s="198">
        <v>0</v>
      </c>
      <c r="AM234" s="198">
        <v>0</v>
      </c>
      <c r="AN234" s="198">
        <v>0</v>
      </c>
      <c r="AO234" s="198">
        <v>0</v>
      </c>
      <c r="AP234" s="198">
        <v>0</v>
      </c>
      <c r="AQ234" s="198">
        <v>0</v>
      </c>
      <c r="AR234" s="198">
        <v>0</v>
      </c>
      <c r="AS234" s="198">
        <v>0</v>
      </c>
      <c r="AT234" s="198">
        <v>0</v>
      </c>
      <c r="AU234" s="198">
        <v>0</v>
      </c>
      <c r="AV234" s="198">
        <v>0</v>
      </c>
      <c r="AW234" s="198">
        <v>0</v>
      </c>
      <c r="AX234" s="198">
        <v>0</v>
      </c>
      <c r="AY234" s="198">
        <v>0</v>
      </c>
      <c r="AZ234" s="198">
        <v>0</v>
      </c>
      <c r="BA234" s="198">
        <v>0</v>
      </c>
      <c r="BB234" s="198">
        <v>0</v>
      </c>
      <c r="BC234" s="198">
        <v>0</v>
      </c>
      <c r="BD234" s="198">
        <v>0</v>
      </c>
      <c r="BE234" s="198">
        <v>0</v>
      </c>
      <c r="BF234" s="198">
        <v>0</v>
      </c>
      <c r="BG234" s="198">
        <v>0</v>
      </c>
      <c r="BH234" s="198">
        <v>0</v>
      </c>
      <c r="BI234" s="198">
        <v>0</v>
      </c>
      <c r="BJ234" s="198">
        <v>0</v>
      </c>
      <c r="BK234" s="198">
        <v>0</v>
      </c>
      <c r="BL234" s="198">
        <v>0</v>
      </c>
      <c r="BM234" s="198">
        <v>0</v>
      </c>
      <c r="BN234" s="198">
        <v>0</v>
      </c>
      <c r="BO234" s="198">
        <v>0</v>
      </c>
      <c r="BP234" s="198">
        <v>0</v>
      </c>
      <c r="BQ234" s="198">
        <v>0</v>
      </c>
      <c r="BR234" s="198">
        <v>0</v>
      </c>
      <c r="BS234" s="198">
        <v>0</v>
      </c>
      <c r="BT234" s="198">
        <v>0</v>
      </c>
      <c r="BU234" s="198">
        <v>0</v>
      </c>
      <c r="BV234" s="198">
        <v>0</v>
      </c>
      <c r="BW234" s="198">
        <v>0</v>
      </c>
      <c r="BX234" s="198">
        <v>0</v>
      </c>
      <c r="BY234" s="198">
        <v>0</v>
      </c>
      <c r="BZ234" s="198">
        <v>0</v>
      </c>
      <c r="CA234" s="198">
        <v>0</v>
      </c>
      <c r="CB234" s="198">
        <v>0</v>
      </c>
      <c r="CC234" s="198">
        <v>0</v>
      </c>
      <c r="CD234" s="198">
        <v>0</v>
      </c>
      <c r="CE234" s="198">
        <v>0</v>
      </c>
      <c r="CF234" s="198">
        <v>0</v>
      </c>
      <c r="CG234" s="198">
        <v>0</v>
      </c>
      <c r="CH234" s="198">
        <v>0</v>
      </c>
      <c r="CI234" s="198">
        <v>0</v>
      </c>
      <c r="CJ234" s="198">
        <v>0</v>
      </c>
      <c r="CK234" s="88"/>
    </row>
    <row r="235" spans="1:89" x14ac:dyDescent="0.3">
      <c r="A235" s="173"/>
      <c r="B235" s="197" t="s">
        <v>178</v>
      </c>
      <c r="C235" s="198">
        <v>0</v>
      </c>
      <c r="D235" s="198">
        <v>0</v>
      </c>
      <c r="E235" s="198">
        <v>0</v>
      </c>
      <c r="F235" s="198">
        <v>0</v>
      </c>
      <c r="G235" s="198">
        <v>0</v>
      </c>
      <c r="H235" s="198">
        <v>0</v>
      </c>
      <c r="I235" s="198">
        <v>0</v>
      </c>
      <c r="J235" s="198">
        <v>0</v>
      </c>
      <c r="K235" s="198">
        <v>0</v>
      </c>
      <c r="L235" s="198">
        <v>0</v>
      </c>
      <c r="M235" s="198">
        <v>0</v>
      </c>
      <c r="N235" s="198">
        <v>0</v>
      </c>
      <c r="O235" s="198">
        <v>0</v>
      </c>
      <c r="P235" s="198">
        <v>0</v>
      </c>
      <c r="Q235" s="198">
        <v>0</v>
      </c>
      <c r="R235" s="198">
        <v>0</v>
      </c>
      <c r="S235" s="198">
        <v>5.4</v>
      </c>
      <c r="T235" s="198">
        <v>0</v>
      </c>
      <c r="U235" s="198">
        <v>0</v>
      </c>
      <c r="V235" s="198">
        <v>0</v>
      </c>
      <c r="W235" s="198">
        <v>0</v>
      </c>
      <c r="X235" s="198">
        <v>0</v>
      </c>
      <c r="Y235" s="198">
        <v>0</v>
      </c>
      <c r="Z235" s="198">
        <v>0</v>
      </c>
      <c r="AA235" s="198">
        <v>0.3</v>
      </c>
      <c r="AB235" s="198">
        <v>0</v>
      </c>
      <c r="AC235" s="198">
        <v>0</v>
      </c>
      <c r="AD235" s="198">
        <v>4.5</v>
      </c>
      <c r="AE235" s="198">
        <v>0</v>
      </c>
      <c r="AF235" s="198">
        <v>0</v>
      </c>
      <c r="AG235" s="198">
        <v>0.5</v>
      </c>
      <c r="AH235" s="198">
        <v>0</v>
      </c>
      <c r="AI235" s="198">
        <v>0</v>
      </c>
      <c r="AJ235" s="198">
        <v>4.5</v>
      </c>
      <c r="AK235" s="198">
        <v>0</v>
      </c>
      <c r="AL235" s="198">
        <v>0</v>
      </c>
      <c r="AM235" s="198">
        <v>0.9</v>
      </c>
      <c r="AN235" s="198">
        <v>0</v>
      </c>
      <c r="AO235" s="198">
        <v>0</v>
      </c>
      <c r="AP235" s="198">
        <v>4.4000000000000004</v>
      </c>
      <c r="AQ235" s="198">
        <v>0</v>
      </c>
      <c r="AR235" s="198">
        <v>0</v>
      </c>
      <c r="AS235" s="198">
        <v>1.1000000000000001</v>
      </c>
      <c r="AT235" s="198">
        <v>0</v>
      </c>
      <c r="AU235" s="198">
        <v>3.9</v>
      </c>
      <c r="AV235" s="198">
        <v>0</v>
      </c>
      <c r="AW235" s="198">
        <v>0</v>
      </c>
      <c r="AX235" s="198">
        <v>1.2</v>
      </c>
      <c r="AY235" s="198">
        <v>0</v>
      </c>
      <c r="AZ235" s="198">
        <v>0</v>
      </c>
      <c r="BA235" s="198">
        <v>3.3</v>
      </c>
      <c r="BB235" s="198">
        <v>0</v>
      </c>
      <c r="BC235" s="198">
        <v>0</v>
      </c>
      <c r="BD235" s="198">
        <v>1.4</v>
      </c>
      <c r="BE235" s="198">
        <v>0</v>
      </c>
      <c r="BF235" s="198">
        <v>0</v>
      </c>
      <c r="BG235" s="198">
        <v>2.2999999999999998</v>
      </c>
      <c r="BH235" s="198">
        <v>0</v>
      </c>
      <c r="BI235" s="198">
        <v>0</v>
      </c>
      <c r="BJ235" s="198">
        <v>1.5</v>
      </c>
      <c r="BK235" s="198">
        <v>0</v>
      </c>
      <c r="BL235" s="198">
        <v>0</v>
      </c>
      <c r="BM235" s="198">
        <v>1.4</v>
      </c>
      <c r="BN235" s="198">
        <v>0</v>
      </c>
      <c r="BO235" s="198">
        <v>0</v>
      </c>
      <c r="BP235" s="198">
        <v>1.1000000000000001</v>
      </c>
      <c r="BQ235" s="198">
        <v>0</v>
      </c>
      <c r="BR235" s="198">
        <v>0</v>
      </c>
      <c r="BS235" s="198">
        <v>0</v>
      </c>
      <c r="BT235" s="198">
        <v>0</v>
      </c>
      <c r="BU235" s="198">
        <v>0</v>
      </c>
      <c r="BV235" s="198">
        <v>0</v>
      </c>
      <c r="BW235" s="198">
        <v>0</v>
      </c>
      <c r="BX235" s="198">
        <v>0</v>
      </c>
      <c r="BY235" s="198">
        <v>0</v>
      </c>
      <c r="BZ235" s="198">
        <v>0</v>
      </c>
      <c r="CA235" s="198">
        <v>0</v>
      </c>
      <c r="CB235" s="198">
        <v>0</v>
      </c>
      <c r="CC235" s="198">
        <v>0</v>
      </c>
      <c r="CD235" s="198">
        <v>0</v>
      </c>
      <c r="CE235" s="198">
        <v>0</v>
      </c>
      <c r="CF235" s="198">
        <v>0</v>
      </c>
      <c r="CG235" s="198">
        <v>0</v>
      </c>
      <c r="CH235" s="198">
        <v>0</v>
      </c>
      <c r="CI235" s="198">
        <v>0</v>
      </c>
      <c r="CJ235" s="198">
        <v>0</v>
      </c>
      <c r="CK235" s="88"/>
    </row>
    <row r="236" spans="1:89" x14ac:dyDescent="0.3">
      <c r="A236" s="173"/>
      <c r="B236" s="197" t="s">
        <v>201</v>
      </c>
      <c r="C236" s="198">
        <v>0</v>
      </c>
      <c r="D236" s="198">
        <v>0</v>
      </c>
      <c r="E236" s="198">
        <v>0</v>
      </c>
      <c r="F236" s="198">
        <v>0</v>
      </c>
      <c r="G236" s="198">
        <v>0</v>
      </c>
      <c r="H236" s="198">
        <v>0</v>
      </c>
      <c r="I236" s="198">
        <v>0</v>
      </c>
      <c r="J236" s="198">
        <v>0</v>
      </c>
      <c r="K236" s="198">
        <v>0</v>
      </c>
      <c r="L236" s="198">
        <v>0</v>
      </c>
      <c r="M236" s="198">
        <v>0</v>
      </c>
      <c r="N236" s="198">
        <v>0</v>
      </c>
      <c r="O236" s="198">
        <v>0</v>
      </c>
      <c r="P236" s="198">
        <v>0</v>
      </c>
      <c r="Q236" s="198">
        <v>0</v>
      </c>
      <c r="R236" s="198">
        <v>65.5</v>
      </c>
      <c r="S236" s="198">
        <v>0</v>
      </c>
      <c r="T236" s="198">
        <v>0</v>
      </c>
      <c r="U236" s="198">
        <v>0</v>
      </c>
      <c r="V236" s="198">
        <v>0</v>
      </c>
      <c r="W236" s="198">
        <v>0</v>
      </c>
      <c r="X236" s="198">
        <v>0</v>
      </c>
      <c r="Y236" s="198">
        <v>0</v>
      </c>
      <c r="Z236" s="198">
        <v>0</v>
      </c>
      <c r="AA236" s="198">
        <v>0</v>
      </c>
      <c r="AB236" s="198">
        <v>0</v>
      </c>
      <c r="AC236" s="198">
        <v>0</v>
      </c>
      <c r="AD236" s="198">
        <v>67.7</v>
      </c>
      <c r="AE236" s="198">
        <v>0</v>
      </c>
      <c r="AF236" s="198">
        <v>0</v>
      </c>
      <c r="AG236" s="198">
        <v>0</v>
      </c>
      <c r="AH236" s="198">
        <v>0</v>
      </c>
      <c r="AI236" s="198">
        <v>0</v>
      </c>
      <c r="AJ236" s="198">
        <v>68.900000000000006</v>
      </c>
      <c r="AK236" s="198">
        <v>0</v>
      </c>
      <c r="AL236" s="198">
        <v>0</v>
      </c>
      <c r="AM236" s="198">
        <v>0</v>
      </c>
      <c r="AN236" s="198">
        <v>0</v>
      </c>
      <c r="AO236" s="198">
        <v>69.900000000000006</v>
      </c>
      <c r="AP236" s="198">
        <v>0</v>
      </c>
      <c r="AQ236" s="198">
        <v>0</v>
      </c>
      <c r="AR236" s="198">
        <v>0</v>
      </c>
      <c r="AS236" s="198">
        <v>0</v>
      </c>
      <c r="AT236" s="198">
        <v>0</v>
      </c>
      <c r="AU236" s="198">
        <v>71.099999999999994</v>
      </c>
      <c r="AV236" s="198">
        <v>0</v>
      </c>
      <c r="AW236" s="198">
        <v>0</v>
      </c>
      <c r="AX236" s="198">
        <v>0</v>
      </c>
      <c r="AY236" s="198">
        <v>0</v>
      </c>
      <c r="AZ236" s="198">
        <v>0</v>
      </c>
      <c r="BA236" s="198">
        <v>72.400000000000006</v>
      </c>
      <c r="BB236" s="198">
        <v>0</v>
      </c>
      <c r="BC236" s="198">
        <v>0</v>
      </c>
      <c r="BD236" s="198">
        <v>0</v>
      </c>
      <c r="BE236" s="198">
        <v>0</v>
      </c>
      <c r="BF236" s="198">
        <v>73.599999999999994</v>
      </c>
      <c r="BG236" s="198">
        <v>0</v>
      </c>
      <c r="BH236" s="198">
        <v>0</v>
      </c>
      <c r="BI236" s="198">
        <v>0</v>
      </c>
      <c r="BJ236" s="198">
        <v>0</v>
      </c>
      <c r="BK236" s="198">
        <v>0</v>
      </c>
      <c r="BL236" s="198">
        <v>74.900000000000006</v>
      </c>
      <c r="BM236" s="198">
        <v>0</v>
      </c>
      <c r="BN236" s="198">
        <v>0</v>
      </c>
      <c r="BO236" s="198">
        <v>0</v>
      </c>
      <c r="BP236" s="198">
        <v>0</v>
      </c>
      <c r="BQ236" s="198">
        <v>0</v>
      </c>
      <c r="BR236" s="198">
        <v>75.8</v>
      </c>
      <c r="BS236" s="198">
        <v>0</v>
      </c>
      <c r="BT236" s="198">
        <v>0</v>
      </c>
      <c r="BU236" s="198">
        <v>0</v>
      </c>
      <c r="BV236" s="198">
        <v>0</v>
      </c>
      <c r="BW236" s="198">
        <v>0</v>
      </c>
      <c r="BX236" s="198">
        <v>76.400000000000006</v>
      </c>
      <c r="BY236" s="198">
        <v>0</v>
      </c>
      <c r="BZ236" s="198">
        <v>0</v>
      </c>
      <c r="CA236" s="198">
        <v>0</v>
      </c>
      <c r="CB236" s="198">
        <v>0</v>
      </c>
      <c r="CC236" s="198">
        <v>0</v>
      </c>
      <c r="CD236" s="198">
        <v>0</v>
      </c>
      <c r="CE236" s="198">
        <v>0</v>
      </c>
      <c r="CF236" s="198">
        <v>0</v>
      </c>
      <c r="CG236" s="198">
        <v>0</v>
      </c>
      <c r="CH236" s="198">
        <v>0</v>
      </c>
      <c r="CI236" s="198">
        <v>0</v>
      </c>
      <c r="CJ236" s="198">
        <v>77.5</v>
      </c>
      <c r="CK236" s="88"/>
    </row>
    <row r="237" spans="1:89" x14ac:dyDescent="0.3">
      <c r="A237" s="173"/>
      <c r="B237" s="197" t="s">
        <v>179</v>
      </c>
      <c r="C237" s="198">
        <v>0</v>
      </c>
      <c r="D237" s="198">
        <v>0</v>
      </c>
      <c r="E237" s="198">
        <v>0</v>
      </c>
      <c r="F237" s="198">
        <v>0</v>
      </c>
      <c r="G237" s="198">
        <v>0</v>
      </c>
      <c r="H237" s="198">
        <v>0</v>
      </c>
      <c r="I237" s="198">
        <v>0</v>
      </c>
      <c r="J237" s="198">
        <v>0</v>
      </c>
      <c r="K237" s="198">
        <v>0</v>
      </c>
      <c r="L237" s="198">
        <v>0</v>
      </c>
      <c r="M237" s="198">
        <v>0</v>
      </c>
      <c r="N237" s="198">
        <v>0</v>
      </c>
      <c r="O237" s="198">
        <v>0</v>
      </c>
      <c r="P237" s="198">
        <v>0</v>
      </c>
      <c r="Q237" s="198">
        <v>0</v>
      </c>
      <c r="R237" s="198">
        <v>0</v>
      </c>
      <c r="S237" s="198">
        <v>2.4</v>
      </c>
      <c r="T237" s="198">
        <v>0</v>
      </c>
      <c r="U237" s="198">
        <v>0</v>
      </c>
      <c r="V237" s="198">
        <v>0</v>
      </c>
      <c r="W237" s="198">
        <v>0</v>
      </c>
      <c r="X237" s="198">
        <v>0</v>
      </c>
      <c r="Y237" s="198">
        <v>0</v>
      </c>
      <c r="Z237" s="198">
        <v>0</v>
      </c>
      <c r="AA237" s="198">
        <v>0.1</v>
      </c>
      <c r="AB237" s="198">
        <v>0</v>
      </c>
      <c r="AC237" s="198">
        <v>0</v>
      </c>
      <c r="AD237" s="198">
        <v>2</v>
      </c>
      <c r="AE237" s="198">
        <v>0</v>
      </c>
      <c r="AF237" s="198">
        <v>0</v>
      </c>
      <c r="AG237" s="198">
        <v>0.2</v>
      </c>
      <c r="AH237" s="198">
        <v>0</v>
      </c>
      <c r="AI237" s="198">
        <v>0</v>
      </c>
      <c r="AJ237" s="198">
        <v>2</v>
      </c>
      <c r="AK237" s="198">
        <v>0</v>
      </c>
      <c r="AL237" s="198">
        <v>0</v>
      </c>
      <c r="AM237" s="198">
        <v>0.4</v>
      </c>
      <c r="AN237" s="198">
        <v>0</v>
      </c>
      <c r="AO237" s="198">
        <v>0</v>
      </c>
      <c r="AP237" s="198">
        <v>1.9</v>
      </c>
      <c r="AQ237" s="198">
        <v>0</v>
      </c>
      <c r="AR237" s="198">
        <v>0</v>
      </c>
      <c r="AS237" s="198">
        <v>0.5</v>
      </c>
      <c r="AT237" s="198">
        <v>0</v>
      </c>
      <c r="AU237" s="198">
        <v>1.7</v>
      </c>
      <c r="AV237" s="198">
        <v>0</v>
      </c>
      <c r="AW237" s="198">
        <v>0</v>
      </c>
      <c r="AX237" s="198">
        <v>0.5</v>
      </c>
      <c r="AY237" s="198">
        <v>0</v>
      </c>
      <c r="AZ237" s="198">
        <v>0</v>
      </c>
      <c r="BA237" s="198">
        <v>1.4</v>
      </c>
      <c r="BB237" s="198">
        <v>0</v>
      </c>
      <c r="BC237" s="198">
        <v>0</v>
      </c>
      <c r="BD237" s="198">
        <v>0.6</v>
      </c>
      <c r="BE237" s="198">
        <v>0</v>
      </c>
      <c r="BF237" s="198">
        <v>0</v>
      </c>
      <c r="BG237" s="198">
        <v>1</v>
      </c>
      <c r="BH237" s="198">
        <v>0</v>
      </c>
      <c r="BI237" s="198">
        <v>0</v>
      </c>
      <c r="BJ237" s="198">
        <v>0.7</v>
      </c>
      <c r="BK237" s="198">
        <v>0</v>
      </c>
      <c r="BL237" s="198">
        <v>0</v>
      </c>
      <c r="BM237" s="198">
        <v>0.6</v>
      </c>
      <c r="BN237" s="198">
        <v>0</v>
      </c>
      <c r="BO237" s="198">
        <v>0</v>
      </c>
      <c r="BP237" s="198">
        <v>0.5</v>
      </c>
      <c r="BQ237" s="198">
        <v>0</v>
      </c>
      <c r="BR237" s="198">
        <v>0</v>
      </c>
      <c r="BS237" s="198">
        <v>0</v>
      </c>
      <c r="BT237" s="198">
        <v>0</v>
      </c>
      <c r="BU237" s="198">
        <v>0</v>
      </c>
      <c r="BV237" s="198">
        <v>0</v>
      </c>
      <c r="BW237" s="198">
        <v>0</v>
      </c>
      <c r="BX237" s="198">
        <v>0</v>
      </c>
      <c r="BY237" s="198">
        <v>0</v>
      </c>
      <c r="BZ237" s="198">
        <v>0</v>
      </c>
      <c r="CA237" s="198">
        <v>0</v>
      </c>
      <c r="CB237" s="198">
        <v>0</v>
      </c>
      <c r="CC237" s="198">
        <v>0</v>
      </c>
      <c r="CD237" s="198">
        <v>0</v>
      </c>
      <c r="CE237" s="198">
        <v>0</v>
      </c>
      <c r="CF237" s="198">
        <v>0</v>
      </c>
      <c r="CG237" s="198">
        <v>0</v>
      </c>
      <c r="CH237" s="198">
        <v>0</v>
      </c>
      <c r="CI237" s="198">
        <v>0</v>
      </c>
      <c r="CJ237" s="198">
        <v>0</v>
      </c>
      <c r="CK237" s="88"/>
    </row>
    <row r="238" spans="1:89" x14ac:dyDescent="0.3">
      <c r="A238" s="173"/>
      <c r="B238" s="197" t="s">
        <v>200</v>
      </c>
      <c r="C238" s="198">
        <v>0</v>
      </c>
      <c r="D238" s="198">
        <v>0</v>
      </c>
      <c r="E238" s="198">
        <v>0</v>
      </c>
      <c r="F238" s="198">
        <v>0</v>
      </c>
      <c r="G238" s="198">
        <v>0</v>
      </c>
      <c r="H238" s="198">
        <v>0</v>
      </c>
      <c r="I238" s="198">
        <v>0</v>
      </c>
      <c r="J238" s="198">
        <v>0</v>
      </c>
      <c r="K238" s="198">
        <v>0</v>
      </c>
      <c r="L238" s="198">
        <v>0</v>
      </c>
      <c r="M238" s="198">
        <v>0</v>
      </c>
      <c r="N238" s="198">
        <v>0</v>
      </c>
      <c r="O238" s="198">
        <v>0</v>
      </c>
      <c r="P238" s="198">
        <v>0</v>
      </c>
      <c r="Q238" s="198">
        <v>0</v>
      </c>
      <c r="R238" s="198">
        <v>4.2</v>
      </c>
      <c r="S238" s="198">
        <v>0</v>
      </c>
      <c r="T238" s="198">
        <v>0</v>
      </c>
      <c r="U238" s="198">
        <v>0</v>
      </c>
      <c r="V238" s="198">
        <v>0</v>
      </c>
      <c r="W238" s="198">
        <v>0</v>
      </c>
      <c r="X238" s="198">
        <v>0</v>
      </c>
      <c r="Y238" s="198">
        <v>0</v>
      </c>
      <c r="Z238" s="198">
        <v>0</v>
      </c>
      <c r="AA238" s="198">
        <v>0</v>
      </c>
      <c r="AB238" s="198">
        <v>0</v>
      </c>
      <c r="AC238" s="198">
        <v>0</v>
      </c>
      <c r="AD238" s="198">
        <v>4.3</v>
      </c>
      <c r="AE238" s="198">
        <v>0</v>
      </c>
      <c r="AF238" s="198">
        <v>0</v>
      </c>
      <c r="AG238" s="198">
        <v>0</v>
      </c>
      <c r="AH238" s="198">
        <v>0</v>
      </c>
      <c r="AI238" s="198">
        <v>0</v>
      </c>
      <c r="AJ238" s="198">
        <v>4.4000000000000004</v>
      </c>
      <c r="AK238" s="198">
        <v>0</v>
      </c>
      <c r="AL238" s="198">
        <v>0</v>
      </c>
      <c r="AM238" s="198">
        <v>0</v>
      </c>
      <c r="AN238" s="198">
        <v>0</v>
      </c>
      <c r="AO238" s="198">
        <v>4.5</v>
      </c>
      <c r="AP238" s="198">
        <v>0</v>
      </c>
      <c r="AQ238" s="198">
        <v>0</v>
      </c>
      <c r="AR238" s="198">
        <v>0</v>
      </c>
      <c r="AS238" s="198">
        <v>0</v>
      </c>
      <c r="AT238" s="198">
        <v>0</v>
      </c>
      <c r="AU238" s="198">
        <v>4.5999999999999996</v>
      </c>
      <c r="AV238" s="198">
        <v>0</v>
      </c>
      <c r="AW238" s="198">
        <v>0</v>
      </c>
      <c r="AX238" s="198">
        <v>0</v>
      </c>
      <c r="AY238" s="198">
        <v>0</v>
      </c>
      <c r="AZ238" s="198">
        <v>0</v>
      </c>
      <c r="BA238" s="198">
        <v>4.5999999999999996</v>
      </c>
      <c r="BB238" s="198">
        <v>0</v>
      </c>
      <c r="BC238" s="198">
        <v>0</v>
      </c>
      <c r="BD238" s="198">
        <v>0</v>
      </c>
      <c r="BE238" s="198">
        <v>0</v>
      </c>
      <c r="BF238" s="198">
        <v>4.7</v>
      </c>
      <c r="BG238" s="198">
        <v>0</v>
      </c>
      <c r="BH238" s="198">
        <v>0</v>
      </c>
      <c r="BI238" s="198">
        <v>0</v>
      </c>
      <c r="BJ238" s="198">
        <v>0</v>
      </c>
      <c r="BK238" s="198">
        <v>0</v>
      </c>
      <c r="BL238" s="198">
        <v>4.8</v>
      </c>
      <c r="BM238" s="198">
        <v>0</v>
      </c>
      <c r="BN238" s="198">
        <v>0</v>
      </c>
      <c r="BO238" s="198">
        <v>0</v>
      </c>
      <c r="BP238" s="198">
        <v>0</v>
      </c>
      <c r="BQ238" s="198">
        <v>0</v>
      </c>
      <c r="BR238" s="198">
        <v>4.8</v>
      </c>
      <c r="BS238" s="198">
        <v>0</v>
      </c>
      <c r="BT238" s="198">
        <v>0</v>
      </c>
      <c r="BU238" s="198">
        <v>0</v>
      </c>
      <c r="BV238" s="198">
        <v>0</v>
      </c>
      <c r="BW238" s="198">
        <v>0</v>
      </c>
      <c r="BX238" s="198">
        <v>4.9000000000000004</v>
      </c>
      <c r="BY238" s="198">
        <v>0</v>
      </c>
      <c r="BZ238" s="198">
        <v>0</v>
      </c>
      <c r="CA238" s="198">
        <v>0</v>
      </c>
      <c r="CB238" s="198">
        <v>5</v>
      </c>
      <c r="CC238" s="198">
        <v>0</v>
      </c>
      <c r="CD238" s="198">
        <v>0</v>
      </c>
      <c r="CE238" s="198">
        <v>0</v>
      </c>
      <c r="CF238" s="198">
        <v>0</v>
      </c>
      <c r="CG238" s="198">
        <v>0</v>
      </c>
      <c r="CH238" s="198">
        <v>0</v>
      </c>
      <c r="CI238" s="198">
        <v>0</v>
      </c>
      <c r="CJ238" s="198">
        <v>0</v>
      </c>
      <c r="CK238" s="88"/>
    </row>
    <row r="239" spans="1:89" x14ac:dyDescent="0.3">
      <c r="A239" s="173"/>
      <c r="B239" s="197" t="s">
        <v>225</v>
      </c>
      <c r="C239" s="198">
        <v>0</v>
      </c>
      <c r="D239" s="198">
        <v>0</v>
      </c>
      <c r="E239" s="198">
        <v>0</v>
      </c>
      <c r="F239" s="198">
        <v>0</v>
      </c>
      <c r="G239" s="198">
        <v>0</v>
      </c>
      <c r="H239" s="198">
        <v>0</v>
      </c>
      <c r="I239" s="198">
        <v>0</v>
      </c>
      <c r="J239" s="198">
        <v>0</v>
      </c>
      <c r="K239" s="198">
        <v>0</v>
      </c>
      <c r="L239" s="198">
        <v>0</v>
      </c>
      <c r="M239" s="198">
        <v>0</v>
      </c>
      <c r="N239" s="198">
        <v>0</v>
      </c>
      <c r="O239" s="198">
        <v>0</v>
      </c>
      <c r="P239" s="198">
        <v>0</v>
      </c>
      <c r="Q239" s="198">
        <v>0</v>
      </c>
      <c r="R239" s="198">
        <v>0</v>
      </c>
      <c r="S239" s="198">
        <v>0</v>
      </c>
      <c r="T239" s="198">
        <v>0</v>
      </c>
      <c r="U239" s="198">
        <v>0</v>
      </c>
      <c r="V239" s="198">
        <v>0</v>
      </c>
      <c r="W239" s="198">
        <v>0</v>
      </c>
      <c r="X239" s="198">
        <v>0</v>
      </c>
      <c r="Y239" s="198">
        <v>0</v>
      </c>
      <c r="Z239" s="198">
        <v>0</v>
      </c>
      <c r="AA239" s="198">
        <v>0.5</v>
      </c>
      <c r="AB239" s="198">
        <v>0</v>
      </c>
      <c r="AC239" s="198">
        <v>0</v>
      </c>
      <c r="AD239" s="198">
        <v>7.9</v>
      </c>
      <c r="AE239" s="198">
        <v>0</v>
      </c>
      <c r="AF239" s="198">
        <v>0</v>
      </c>
      <c r="AG239" s="198">
        <v>0.9</v>
      </c>
      <c r="AH239" s="198">
        <v>0</v>
      </c>
      <c r="AI239" s="198">
        <v>0</v>
      </c>
      <c r="AJ239" s="198">
        <v>8</v>
      </c>
      <c r="AK239" s="198">
        <v>0</v>
      </c>
      <c r="AL239" s="198">
        <v>0</v>
      </c>
      <c r="AM239" s="198">
        <v>1.5</v>
      </c>
      <c r="AN239" s="198">
        <v>0</v>
      </c>
      <c r="AO239" s="198">
        <v>0</v>
      </c>
      <c r="AP239" s="198">
        <v>7.8</v>
      </c>
      <c r="AQ239" s="198">
        <v>0</v>
      </c>
      <c r="AR239" s="198">
        <v>0</v>
      </c>
      <c r="AS239" s="198">
        <v>1.9</v>
      </c>
      <c r="AT239" s="198">
        <v>0</v>
      </c>
      <c r="AU239" s="198">
        <v>6.9</v>
      </c>
      <c r="AV239" s="198">
        <v>0</v>
      </c>
      <c r="AW239" s="198">
        <v>0</v>
      </c>
      <c r="AX239" s="198">
        <v>2.2000000000000002</v>
      </c>
      <c r="AY239" s="198">
        <v>0</v>
      </c>
      <c r="AZ239" s="198">
        <v>0</v>
      </c>
      <c r="BA239" s="198">
        <v>5.8</v>
      </c>
      <c r="BB239" s="198">
        <v>0</v>
      </c>
      <c r="BC239" s="198">
        <v>0</v>
      </c>
      <c r="BD239" s="198">
        <v>2.5</v>
      </c>
      <c r="BE239" s="198">
        <v>0</v>
      </c>
      <c r="BF239" s="198">
        <v>0</v>
      </c>
      <c r="BG239" s="198">
        <v>4.0999999999999996</v>
      </c>
      <c r="BH239" s="198">
        <v>0</v>
      </c>
      <c r="BI239" s="198">
        <v>0</v>
      </c>
      <c r="BJ239" s="198">
        <v>2.6</v>
      </c>
      <c r="BK239" s="198">
        <v>0</v>
      </c>
      <c r="BL239" s="198">
        <v>0</v>
      </c>
      <c r="BM239" s="198">
        <v>2.5</v>
      </c>
      <c r="BN239" s="198">
        <v>0</v>
      </c>
      <c r="BO239" s="198">
        <v>0</v>
      </c>
      <c r="BP239" s="198">
        <v>2</v>
      </c>
      <c r="BQ239" s="198">
        <v>0</v>
      </c>
      <c r="BR239" s="198">
        <v>0</v>
      </c>
      <c r="BS239" s="198">
        <v>0</v>
      </c>
      <c r="BT239" s="198">
        <v>0</v>
      </c>
      <c r="BU239" s="198">
        <v>0</v>
      </c>
      <c r="BV239" s="198">
        <v>0</v>
      </c>
      <c r="BW239" s="198">
        <v>0</v>
      </c>
      <c r="BX239" s="198">
        <v>0</v>
      </c>
      <c r="BY239" s="198">
        <v>0</v>
      </c>
      <c r="BZ239" s="198">
        <v>0</v>
      </c>
      <c r="CA239" s="198">
        <v>0</v>
      </c>
      <c r="CB239" s="198">
        <v>0</v>
      </c>
      <c r="CC239" s="198">
        <v>0</v>
      </c>
      <c r="CD239" s="198">
        <v>0</v>
      </c>
      <c r="CE239" s="198">
        <v>0</v>
      </c>
      <c r="CF239" s="198">
        <v>0</v>
      </c>
      <c r="CG239" s="198">
        <v>0</v>
      </c>
      <c r="CH239" s="198">
        <v>0</v>
      </c>
      <c r="CI239" s="198">
        <v>0</v>
      </c>
      <c r="CJ239" s="198">
        <v>0</v>
      </c>
      <c r="CK239" s="88"/>
    </row>
    <row r="240" spans="1:89" x14ac:dyDescent="0.3">
      <c r="A240" s="173"/>
      <c r="B240" s="197" t="s">
        <v>283</v>
      </c>
      <c r="C240" s="198">
        <v>0</v>
      </c>
      <c r="D240" s="198">
        <v>0</v>
      </c>
      <c r="E240" s="198">
        <v>0</v>
      </c>
      <c r="F240" s="198">
        <v>0</v>
      </c>
      <c r="G240" s="198">
        <v>0</v>
      </c>
      <c r="H240" s="198">
        <v>0</v>
      </c>
      <c r="I240" s="198">
        <v>0</v>
      </c>
      <c r="J240" s="198">
        <v>0</v>
      </c>
      <c r="K240" s="198">
        <v>0</v>
      </c>
      <c r="L240" s="198">
        <v>0</v>
      </c>
      <c r="M240" s="198">
        <v>0</v>
      </c>
      <c r="N240" s="198">
        <v>0</v>
      </c>
      <c r="O240" s="198">
        <v>0</v>
      </c>
      <c r="P240" s="198">
        <v>0</v>
      </c>
      <c r="Q240" s="198">
        <v>0</v>
      </c>
      <c r="R240" s="198">
        <v>0</v>
      </c>
      <c r="S240" s="198">
        <v>0</v>
      </c>
      <c r="T240" s="198">
        <v>0</v>
      </c>
      <c r="U240" s="198">
        <v>0</v>
      </c>
      <c r="V240" s="198">
        <v>0</v>
      </c>
      <c r="W240" s="198">
        <v>0</v>
      </c>
      <c r="X240" s="198">
        <v>0</v>
      </c>
      <c r="Y240" s="198">
        <v>0</v>
      </c>
      <c r="Z240" s="198">
        <v>0</v>
      </c>
      <c r="AA240" s="198">
        <v>0</v>
      </c>
      <c r="AB240" s="198">
        <v>0</v>
      </c>
      <c r="AC240" s="198">
        <v>0</v>
      </c>
      <c r="AD240" s="198">
        <v>17.7</v>
      </c>
      <c r="AE240" s="198">
        <v>0</v>
      </c>
      <c r="AF240" s="198">
        <v>0</v>
      </c>
      <c r="AG240" s="198">
        <v>2</v>
      </c>
      <c r="AH240" s="198">
        <v>0</v>
      </c>
      <c r="AI240" s="198">
        <v>0</v>
      </c>
      <c r="AJ240" s="198">
        <v>17.899999999999999</v>
      </c>
      <c r="AK240" s="198">
        <v>0</v>
      </c>
      <c r="AL240" s="198">
        <v>0</v>
      </c>
      <c r="AM240" s="198">
        <v>3.4</v>
      </c>
      <c r="AN240" s="198">
        <v>0</v>
      </c>
      <c r="AO240" s="198">
        <v>0</v>
      </c>
      <c r="AP240" s="198">
        <v>17.5</v>
      </c>
      <c r="AQ240" s="198">
        <v>0</v>
      </c>
      <c r="AR240" s="198">
        <v>0</v>
      </c>
      <c r="AS240" s="198">
        <v>4.3</v>
      </c>
      <c r="AT240" s="198">
        <v>0</v>
      </c>
      <c r="AU240" s="198">
        <v>15.5</v>
      </c>
      <c r="AV240" s="198">
        <v>0</v>
      </c>
      <c r="AW240" s="198">
        <v>0</v>
      </c>
      <c r="AX240" s="198">
        <v>4.9000000000000004</v>
      </c>
      <c r="AY240" s="198">
        <v>0</v>
      </c>
      <c r="AZ240" s="198">
        <v>0</v>
      </c>
      <c r="BA240" s="198">
        <v>12.9</v>
      </c>
      <c r="BB240" s="198">
        <v>0</v>
      </c>
      <c r="BC240" s="198">
        <v>0</v>
      </c>
      <c r="BD240" s="198">
        <v>5.6</v>
      </c>
      <c r="BE240" s="198">
        <v>0</v>
      </c>
      <c r="BF240" s="198">
        <v>0</v>
      </c>
      <c r="BG240" s="198">
        <v>9.1999999999999993</v>
      </c>
      <c r="BH240" s="198">
        <v>0</v>
      </c>
      <c r="BI240" s="198">
        <v>0</v>
      </c>
      <c r="BJ240" s="198">
        <v>5.9</v>
      </c>
      <c r="BK240" s="198">
        <v>0</v>
      </c>
      <c r="BL240" s="198">
        <v>0</v>
      </c>
      <c r="BM240" s="198">
        <v>5.5</v>
      </c>
      <c r="BN240" s="198">
        <v>0</v>
      </c>
      <c r="BO240" s="198">
        <v>0</v>
      </c>
      <c r="BP240" s="198">
        <v>4.4000000000000004</v>
      </c>
      <c r="BQ240" s="198">
        <v>0</v>
      </c>
      <c r="BR240" s="198">
        <v>0</v>
      </c>
      <c r="BS240" s="198">
        <v>0</v>
      </c>
      <c r="BT240" s="198">
        <v>0</v>
      </c>
      <c r="BU240" s="198">
        <v>0</v>
      </c>
      <c r="BV240" s="198">
        <v>0</v>
      </c>
      <c r="BW240" s="198">
        <v>0</v>
      </c>
      <c r="BX240" s="198">
        <v>0</v>
      </c>
      <c r="BY240" s="198">
        <v>0</v>
      </c>
      <c r="BZ240" s="198">
        <v>0</v>
      </c>
      <c r="CA240" s="198">
        <v>0</v>
      </c>
      <c r="CB240" s="198">
        <v>0</v>
      </c>
      <c r="CC240" s="198">
        <v>0</v>
      </c>
      <c r="CD240" s="198">
        <v>0</v>
      </c>
      <c r="CE240" s="198">
        <v>0</v>
      </c>
      <c r="CF240" s="198">
        <v>0</v>
      </c>
      <c r="CG240" s="198">
        <v>0</v>
      </c>
      <c r="CH240" s="198">
        <v>0</v>
      </c>
      <c r="CI240" s="198">
        <v>0</v>
      </c>
      <c r="CJ240" s="198">
        <v>0</v>
      </c>
      <c r="CK240" s="88"/>
    </row>
    <row r="241" spans="1:89" x14ac:dyDescent="0.3">
      <c r="A241" s="173"/>
      <c r="B241" s="197" t="s">
        <v>182</v>
      </c>
      <c r="C241" s="198">
        <v>0</v>
      </c>
      <c r="D241" s="198">
        <v>0</v>
      </c>
      <c r="E241" s="198">
        <v>0</v>
      </c>
      <c r="F241" s="198">
        <v>0</v>
      </c>
      <c r="G241" s="198">
        <v>0</v>
      </c>
      <c r="H241" s="198">
        <v>0</v>
      </c>
      <c r="I241" s="198">
        <v>0</v>
      </c>
      <c r="J241" s="198">
        <v>0</v>
      </c>
      <c r="K241" s="198">
        <v>0</v>
      </c>
      <c r="L241" s="198">
        <v>0</v>
      </c>
      <c r="M241" s="198">
        <v>0</v>
      </c>
      <c r="N241" s="198">
        <v>0</v>
      </c>
      <c r="O241" s="198">
        <v>0</v>
      </c>
      <c r="P241" s="198">
        <v>0</v>
      </c>
      <c r="Q241" s="198">
        <v>0</v>
      </c>
      <c r="R241" s="198">
        <v>4.0999999999999996</v>
      </c>
      <c r="S241" s="198">
        <v>0</v>
      </c>
      <c r="T241" s="198">
        <v>0</v>
      </c>
      <c r="U241" s="198">
        <v>0</v>
      </c>
      <c r="V241" s="198">
        <v>0</v>
      </c>
      <c r="W241" s="198">
        <v>0</v>
      </c>
      <c r="X241" s="198">
        <v>0</v>
      </c>
      <c r="Y241" s="198">
        <v>0</v>
      </c>
      <c r="Z241" s="198">
        <v>0</v>
      </c>
      <c r="AA241" s="198">
        <v>0</v>
      </c>
      <c r="AB241" s="198">
        <v>0</v>
      </c>
      <c r="AC241" s="198">
        <v>0</v>
      </c>
      <c r="AD241" s="198">
        <v>0</v>
      </c>
      <c r="AE241" s="198">
        <v>0</v>
      </c>
      <c r="AF241" s="198">
        <v>0</v>
      </c>
      <c r="AG241" s="198">
        <v>0</v>
      </c>
      <c r="AH241" s="198">
        <v>0</v>
      </c>
      <c r="AI241" s="198">
        <v>0</v>
      </c>
      <c r="AJ241" s="198">
        <v>0</v>
      </c>
      <c r="AK241" s="198">
        <v>0</v>
      </c>
      <c r="AL241" s="198">
        <v>0</v>
      </c>
      <c r="AM241" s="198">
        <v>0</v>
      </c>
      <c r="AN241" s="198">
        <v>0</v>
      </c>
      <c r="AO241" s="198">
        <v>0</v>
      </c>
      <c r="AP241" s="198">
        <v>0</v>
      </c>
      <c r="AQ241" s="198">
        <v>0</v>
      </c>
      <c r="AR241" s="198">
        <v>0</v>
      </c>
      <c r="AS241" s="198">
        <v>0</v>
      </c>
      <c r="AT241" s="198">
        <v>0</v>
      </c>
      <c r="AU241" s="198">
        <v>0</v>
      </c>
      <c r="AV241" s="198">
        <v>0</v>
      </c>
      <c r="AW241" s="198">
        <v>0</v>
      </c>
      <c r="AX241" s="198">
        <v>0</v>
      </c>
      <c r="AY241" s="198">
        <v>0</v>
      </c>
      <c r="AZ241" s="198">
        <v>0</v>
      </c>
      <c r="BA241" s="198">
        <v>0</v>
      </c>
      <c r="BB241" s="198">
        <v>0</v>
      </c>
      <c r="BC241" s="198">
        <v>0</v>
      </c>
      <c r="BD241" s="198">
        <v>0</v>
      </c>
      <c r="BE241" s="198">
        <v>0</v>
      </c>
      <c r="BF241" s="198">
        <v>0</v>
      </c>
      <c r="BG241" s="198">
        <v>0</v>
      </c>
      <c r="BH241" s="198">
        <v>0</v>
      </c>
      <c r="BI241" s="198">
        <v>0</v>
      </c>
      <c r="BJ241" s="198">
        <v>0</v>
      </c>
      <c r="BK241" s="198">
        <v>0</v>
      </c>
      <c r="BL241" s="198">
        <v>0</v>
      </c>
      <c r="BM241" s="198">
        <v>0</v>
      </c>
      <c r="BN241" s="198">
        <v>0</v>
      </c>
      <c r="BO241" s="198">
        <v>0</v>
      </c>
      <c r="BP241" s="198">
        <v>0</v>
      </c>
      <c r="BQ241" s="198">
        <v>0</v>
      </c>
      <c r="BR241" s="198">
        <v>0</v>
      </c>
      <c r="BS241" s="198">
        <v>0</v>
      </c>
      <c r="BT241" s="198">
        <v>0</v>
      </c>
      <c r="BU241" s="198">
        <v>0</v>
      </c>
      <c r="BV241" s="198">
        <v>0</v>
      </c>
      <c r="BW241" s="198">
        <v>0</v>
      </c>
      <c r="BX241" s="198">
        <v>0</v>
      </c>
      <c r="BY241" s="198">
        <v>0</v>
      </c>
      <c r="BZ241" s="198">
        <v>0</v>
      </c>
      <c r="CA241" s="198">
        <v>0</v>
      </c>
      <c r="CB241" s="198">
        <v>0</v>
      </c>
      <c r="CC241" s="198">
        <v>0</v>
      </c>
      <c r="CD241" s="198">
        <v>0</v>
      </c>
      <c r="CE241" s="198">
        <v>0</v>
      </c>
      <c r="CF241" s="198">
        <v>0</v>
      </c>
      <c r="CG241" s="198">
        <v>0</v>
      </c>
      <c r="CH241" s="198">
        <v>0</v>
      </c>
      <c r="CI241" s="198">
        <v>0</v>
      </c>
      <c r="CJ241" s="198">
        <v>0</v>
      </c>
      <c r="CK241" s="88"/>
    </row>
    <row r="242" spans="1:89" x14ac:dyDescent="0.3">
      <c r="A242" s="173"/>
      <c r="B242" s="197" t="s">
        <v>226</v>
      </c>
      <c r="C242" s="198">
        <v>0</v>
      </c>
      <c r="D242" s="198">
        <v>0</v>
      </c>
      <c r="E242" s="198">
        <v>0</v>
      </c>
      <c r="F242" s="198">
        <v>0</v>
      </c>
      <c r="G242" s="198">
        <v>0</v>
      </c>
      <c r="H242" s="198">
        <v>0</v>
      </c>
      <c r="I242" s="198">
        <v>0</v>
      </c>
      <c r="J242" s="198">
        <v>0</v>
      </c>
      <c r="K242" s="198">
        <v>0</v>
      </c>
      <c r="L242" s="198">
        <v>0</v>
      </c>
      <c r="M242" s="198">
        <v>0</v>
      </c>
      <c r="N242" s="198">
        <v>0</v>
      </c>
      <c r="O242" s="198">
        <v>0</v>
      </c>
      <c r="P242" s="198">
        <v>0</v>
      </c>
      <c r="Q242" s="198">
        <v>0</v>
      </c>
      <c r="R242" s="198">
        <v>0</v>
      </c>
      <c r="S242" s="198">
        <v>0</v>
      </c>
      <c r="T242" s="198">
        <v>0</v>
      </c>
      <c r="U242" s="198">
        <v>0</v>
      </c>
      <c r="V242" s="198">
        <v>0</v>
      </c>
      <c r="W242" s="198">
        <v>0</v>
      </c>
      <c r="X242" s="198">
        <v>0</v>
      </c>
      <c r="Y242" s="198">
        <v>0</v>
      </c>
      <c r="Z242" s="198">
        <v>0</v>
      </c>
      <c r="AA242" s="198">
        <v>1.9</v>
      </c>
      <c r="AB242" s="198">
        <v>0</v>
      </c>
      <c r="AC242" s="198">
        <v>0</v>
      </c>
      <c r="AD242" s="198">
        <v>0.6</v>
      </c>
      <c r="AE242" s="198">
        <v>0</v>
      </c>
      <c r="AF242" s="198">
        <v>0</v>
      </c>
      <c r="AG242" s="198">
        <v>1.9</v>
      </c>
      <c r="AH242" s="198">
        <v>0</v>
      </c>
      <c r="AI242" s="198">
        <v>0</v>
      </c>
      <c r="AJ242" s="198">
        <v>0.8</v>
      </c>
      <c r="AK242" s="198">
        <v>0</v>
      </c>
      <c r="AL242" s="198">
        <v>0</v>
      </c>
      <c r="AM242" s="198">
        <v>1.9</v>
      </c>
      <c r="AN242" s="198">
        <v>0</v>
      </c>
      <c r="AO242" s="198">
        <v>0</v>
      </c>
      <c r="AP242" s="198">
        <v>0.9</v>
      </c>
      <c r="AQ242" s="198">
        <v>0</v>
      </c>
      <c r="AR242" s="198">
        <v>0</v>
      </c>
      <c r="AS242" s="198">
        <v>1.8</v>
      </c>
      <c r="AT242" s="198">
        <v>0</v>
      </c>
      <c r="AU242" s="198">
        <v>1.1000000000000001</v>
      </c>
      <c r="AV242" s="198">
        <v>0</v>
      </c>
      <c r="AW242" s="198">
        <v>0</v>
      </c>
      <c r="AX242" s="198">
        <v>1.6</v>
      </c>
      <c r="AY242" s="198">
        <v>0</v>
      </c>
      <c r="AZ242" s="198">
        <v>0</v>
      </c>
      <c r="BA242" s="198">
        <v>1</v>
      </c>
      <c r="BB242" s="198">
        <v>0</v>
      </c>
      <c r="BC242" s="198">
        <v>0</v>
      </c>
      <c r="BD242" s="198">
        <v>1.4</v>
      </c>
      <c r="BE242" s="198">
        <v>0</v>
      </c>
      <c r="BF242" s="198">
        <v>0</v>
      </c>
      <c r="BG242" s="198">
        <v>0.9</v>
      </c>
      <c r="BH242" s="198">
        <v>0</v>
      </c>
      <c r="BI242" s="198">
        <v>0</v>
      </c>
      <c r="BJ242" s="198">
        <v>1.2</v>
      </c>
      <c r="BK242" s="198">
        <v>0</v>
      </c>
      <c r="BL242" s="198">
        <v>0</v>
      </c>
      <c r="BM242" s="198">
        <v>0.7</v>
      </c>
      <c r="BN242" s="198">
        <v>0</v>
      </c>
      <c r="BO242" s="198">
        <v>0</v>
      </c>
      <c r="BP242" s="198">
        <v>0.9</v>
      </c>
      <c r="BQ242" s="198">
        <v>0</v>
      </c>
      <c r="BR242" s="198">
        <v>0</v>
      </c>
      <c r="BS242" s="198">
        <v>0</v>
      </c>
      <c r="BT242" s="198">
        <v>0</v>
      </c>
      <c r="BU242" s="198">
        <v>0</v>
      </c>
      <c r="BV242" s="198">
        <v>0</v>
      </c>
      <c r="BW242" s="198">
        <v>0</v>
      </c>
      <c r="BX242" s="198">
        <v>0</v>
      </c>
      <c r="BY242" s="198">
        <v>0</v>
      </c>
      <c r="BZ242" s="198">
        <v>0</v>
      </c>
      <c r="CA242" s="198">
        <v>0</v>
      </c>
      <c r="CB242" s="198">
        <v>0</v>
      </c>
      <c r="CC242" s="198">
        <v>0</v>
      </c>
      <c r="CD242" s="198">
        <v>0</v>
      </c>
      <c r="CE242" s="198">
        <v>0</v>
      </c>
      <c r="CF242" s="198">
        <v>0</v>
      </c>
      <c r="CG242" s="198">
        <v>0</v>
      </c>
      <c r="CH242" s="198">
        <v>0</v>
      </c>
      <c r="CI242" s="198">
        <v>0</v>
      </c>
      <c r="CJ242" s="198">
        <v>0</v>
      </c>
      <c r="CK242" s="88"/>
    </row>
    <row r="243" spans="1:89" x14ac:dyDescent="0.3">
      <c r="A243" s="173"/>
      <c r="B243" s="197" t="s">
        <v>284</v>
      </c>
      <c r="C243" s="198">
        <v>0</v>
      </c>
      <c r="D243" s="198">
        <v>0</v>
      </c>
      <c r="E243" s="198">
        <v>0</v>
      </c>
      <c r="F243" s="198">
        <v>0</v>
      </c>
      <c r="G243" s="198">
        <v>0</v>
      </c>
      <c r="H243" s="198">
        <v>0</v>
      </c>
      <c r="I243" s="198">
        <v>0</v>
      </c>
      <c r="J243" s="198">
        <v>0</v>
      </c>
      <c r="K243" s="198">
        <v>0</v>
      </c>
      <c r="L243" s="198">
        <v>0</v>
      </c>
      <c r="M243" s="198">
        <v>0</v>
      </c>
      <c r="N243" s="198">
        <v>0</v>
      </c>
      <c r="O243" s="198">
        <v>0</v>
      </c>
      <c r="P243" s="198">
        <v>0</v>
      </c>
      <c r="Q243" s="198">
        <v>0</v>
      </c>
      <c r="R243" s="198">
        <v>0</v>
      </c>
      <c r="S243" s="198">
        <v>0</v>
      </c>
      <c r="T243" s="198">
        <v>0</v>
      </c>
      <c r="U243" s="198">
        <v>0</v>
      </c>
      <c r="V243" s="198">
        <v>0</v>
      </c>
      <c r="W243" s="198">
        <v>0</v>
      </c>
      <c r="X243" s="198">
        <v>0</v>
      </c>
      <c r="Y243" s="198">
        <v>0</v>
      </c>
      <c r="Z243" s="198">
        <v>0</v>
      </c>
      <c r="AA243" s="198">
        <v>0</v>
      </c>
      <c r="AB243" s="198">
        <v>0</v>
      </c>
      <c r="AC243" s="198">
        <v>0</v>
      </c>
      <c r="AD243" s="198">
        <v>0</v>
      </c>
      <c r="AE243" s="198">
        <v>0</v>
      </c>
      <c r="AF243" s="198">
        <v>0</v>
      </c>
      <c r="AG243" s="198">
        <v>0</v>
      </c>
      <c r="AH243" s="198">
        <v>0</v>
      </c>
      <c r="AI243" s="198">
        <v>0</v>
      </c>
      <c r="AJ243" s="198">
        <v>0</v>
      </c>
      <c r="AK243" s="198">
        <v>0</v>
      </c>
      <c r="AL243" s="198">
        <v>0</v>
      </c>
      <c r="AM243" s="198">
        <v>0</v>
      </c>
      <c r="AN243" s="198">
        <v>0</v>
      </c>
      <c r="AO243" s="198">
        <v>0</v>
      </c>
      <c r="AP243" s="198">
        <v>0</v>
      </c>
      <c r="AQ243" s="198">
        <v>0</v>
      </c>
      <c r="AR243" s="198">
        <v>0</v>
      </c>
      <c r="AS243" s="198">
        <v>0.1</v>
      </c>
      <c r="AT243" s="198">
        <v>0</v>
      </c>
      <c r="AU243" s="198">
        <v>0</v>
      </c>
      <c r="AV243" s="198">
        <v>0</v>
      </c>
      <c r="AW243" s="198">
        <v>0</v>
      </c>
      <c r="AX243" s="198">
        <v>0.1</v>
      </c>
      <c r="AY243" s="198">
        <v>0</v>
      </c>
      <c r="AZ243" s="198">
        <v>0</v>
      </c>
      <c r="BA243" s="198">
        <v>0</v>
      </c>
      <c r="BB243" s="198">
        <v>0</v>
      </c>
      <c r="BC243" s="198">
        <v>0</v>
      </c>
      <c r="BD243" s="198">
        <v>0.1</v>
      </c>
      <c r="BE243" s="198">
        <v>0</v>
      </c>
      <c r="BF243" s="198">
        <v>0</v>
      </c>
      <c r="BG243" s="198">
        <v>0</v>
      </c>
      <c r="BH243" s="198">
        <v>0</v>
      </c>
      <c r="BI243" s="198">
        <v>0</v>
      </c>
      <c r="BJ243" s="198">
        <v>0.1</v>
      </c>
      <c r="BK243" s="198">
        <v>0</v>
      </c>
      <c r="BL243" s="198">
        <v>0</v>
      </c>
      <c r="BM243" s="198">
        <v>0</v>
      </c>
      <c r="BN243" s="198">
        <v>0</v>
      </c>
      <c r="BO243" s="198">
        <v>0</v>
      </c>
      <c r="BP243" s="198">
        <v>0.1</v>
      </c>
      <c r="BQ243" s="198">
        <v>0</v>
      </c>
      <c r="BR243" s="198">
        <v>0</v>
      </c>
      <c r="BS243" s="198">
        <v>0</v>
      </c>
      <c r="BT243" s="198">
        <v>0</v>
      </c>
      <c r="BU243" s="198">
        <v>0</v>
      </c>
      <c r="BV243" s="198">
        <v>0</v>
      </c>
      <c r="BW243" s="198">
        <v>0</v>
      </c>
      <c r="BX243" s="198">
        <v>0</v>
      </c>
      <c r="BY243" s="198">
        <v>0</v>
      </c>
      <c r="BZ243" s="198">
        <v>0</v>
      </c>
      <c r="CA243" s="198">
        <v>0</v>
      </c>
      <c r="CB243" s="198">
        <v>0</v>
      </c>
      <c r="CC243" s="198">
        <v>0</v>
      </c>
      <c r="CD243" s="198">
        <v>0</v>
      </c>
      <c r="CE243" s="198">
        <v>0</v>
      </c>
      <c r="CF243" s="198">
        <v>0</v>
      </c>
      <c r="CG243" s="198">
        <v>0</v>
      </c>
      <c r="CH243" s="198">
        <v>0</v>
      </c>
      <c r="CI243" s="198">
        <v>0</v>
      </c>
      <c r="CJ243" s="198">
        <v>0</v>
      </c>
      <c r="CK243" s="88"/>
    </row>
    <row r="244" spans="1:89" x14ac:dyDescent="0.3">
      <c r="A244" s="173"/>
      <c r="B244" s="197" t="s">
        <v>184</v>
      </c>
      <c r="C244" s="198">
        <v>0</v>
      </c>
      <c r="D244" s="198">
        <v>0</v>
      </c>
      <c r="E244" s="198">
        <v>0</v>
      </c>
      <c r="F244" s="198">
        <v>0</v>
      </c>
      <c r="G244" s="198">
        <v>0</v>
      </c>
      <c r="H244" s="198">
        <v>0</v>
      </c>
      <c r="I244" s="198">
        <v>0</v>
      </c>
      <c r="J244" s="198">
        <v>0</v>
      </c>
      <c r="K244" s="198">
        <v>0</v>
      </c>
      <c r="L244" s="198">
        <v>0</v>
      </c>
      <c r="M244" s="198">
        <v>0</v>
      </c>
      <c r="N244" s="198">
        <v>0</v>
      </c>
      <c r="O244" s="198">
        <v>0</v>
      </c>
      <c r="P244" s="198">
        <v>0</v>
      </c>
      <c r="Q244" s="198">
        <v>0</v>
      </c>
      <c r="R244" s="198">
        <v>0</v>
      </c>
      <c r="S244" s="198">
        <v>4.9000000000000004</v>
      </c>
      <c r="T244" s="198">
        <v>0</v>
      </c>
      <c r="U244" s="198">
        <v>0</v>
      </c>
      <c r="V244" s="198">
        <v>0</v>
      </c>
      <c r="W244" s="198">
        <v>0</v>
      </c>
      <c r="X244" s="198">
        <v>0</v>
      </c>
      <c r="Y244" s="198">
        <v>0</v>
      </c>
      <c r="Z244" s="198">
        <v>0</v>
      </c>
      <c r="AA244" s="198">
        <v>0.2</v>
      </c>
      <c r="AB244" s="198">
        <v>0</v>
      </c>
      <c r="AC244" s="198">
        <v>0</v>
      </c>
      <c r="AD244" s="198">
        <v>3.8</v>
      </c>
      <c r="AE244" s="198">
        <v>0</v>
      </c>
      <c r="AF244" s="198">
        <v>0</v>
      </c>
      <c r="AG244" s="198">
        <v>0</v>
      </c>
      <c r="AH244" s="198">
        <v>0</v>
      </c>
      <c r="AI244" s="198">
        <v>0</v>
      </c>
      <c r="AJ244" s="198">
        <v>3.5</v>
      </c>
      <c r="AK244" s="198">
        <v>0</v>
      </c>
      <c r="AL244" s="198">
        <v>0</v>
      </c>
      <c r="AM244" s="198">
        <v>0</v>
      </c>
      <c r="AN244" s="198">
        <v>0</v>
      </c>
      <c r="AO244" s="198">
        <v>0</v>
      </c>
      <c r="AP244" s="198">
        <v>3.1</v>
      </c>
      <c r="AQ244" s="198">
        <v>0</v>
      </c>
      <c r="AR244" s="198">
        <v>0</v>
      </c>
      <c r="AS244" s="198">
        <v>0</v>
      </c>
      <c r="AT244" s="198">
        <v>0</v>
      </c>
      <c r="AU244" s="198">
        <v>2.5</v>
      </c>
      <c r="AV244" s="198">
        <v>0</v>
      </c>
      <c r="AW244" s="198">
        <v>0</v>
      </c>
      <c r="AX244" s="198">
        <v>0</v>
      </c>
      <c r="AY244" s="198">
        <v>0</v>
      </c>
      <c r="AZ244" s="198">
        <v>0</v>
      </c>
      <c r="BA244" s="198">
        <v>1.8</v>
      </c>
      <c r="BB244" s="198">
        <v>0</v>
      </c>
      <c r="BC244" s="198">
        <v>0</v>
      </c>
      <c r="BD244" s="198">
        <v>0</v>
      </c>
      <c r="BE244" s="198">
        <v>0</v>
      </c>
      <c r="BF244" s="198">
        <v>0</v>
      </c>
      <c r="BG244" s="198">
        <v>1</v>
      </c>
      <c r="BH244" s="198">
        <v>0</v>
      </c>
      <c r="BI244" s="198">
        <v>0</v>
      </c>
      <c r="BJ244" s="198">
        <v>0</v>
      </c>
      <c r="BK244" s="198">
        <v>0</v>
      </c>
      <c r="BL244" s="198">
        <v>0</v>
      </c>
      <c r="BM244" s="198">
        <v>0.4</v>
      </c>
      <c r="BN244" s="198">
        <v>0</v>
      </c>
      <c r="BO244" s="198">
        <v>0</v>
      </c>
      <c r="BP244" s="198">
        <v>0</v>
      </c>
      <c r="BQ244" s="198">
        <v>0</v>
      </c>
      <c r="BR244" s="198">
        <v>0</v>
      </c>
      <c r="BS244" s="198">
        <v>0</v>
      </c>
      <c r="BT244" s="198">
        <v>0</v>
      </c>
      <c r="BU244" s="198">
        <v>0</v>
      </c>
      <c r="BV244" s="198">
        <v>0</v>
      </c>
      <c r="BW244" s="198">
        <v>0</v>
      </c>
      <c r="BX244" s="198">
        <v>0</v>
      </c>
      <c r="BY244" s="198">
        <v>0</v>
      </c>
      <c r="BZ244" s="198">
        <v>0</v>
      </c>
      <c r="CA244" s="198">
        <v>0</v>
      </c>
      <c r="CB244" s="198">
        <v>0</v>
      </c>
      <c r="CC244" s="198">
        <v>0</v>
      </c>
      <c r="CD244" s="198">
        <v>0</v>
      </c>
      <c r="CE244" s="198">
        <v>0</v>
      </c>
      <c r="CF244" s="198">
        <v>0</v>
      </c>
      <c r="CG244" s="198">
        <v>0</v>
      </c>
      <c r="CH244" s="198">
        <v>0</v>
      </c>
      <c r="CI244" s="198">
        <v>0</v>
      </c>
      <c r="CJ244" s="198">
        <v>0</v>
      </c>
      <c r="CK244" s="88"/>
    </row>
    <row r="245" spans="1:89" x14ac:dyDescent="0.3">
      <c r="A245" s="173"/>
      <c r="B245" s="197" t="s">
        <v>186</v>
      </c>
      <c r="C245" s="198">
        <v>0</v>
      </c>
      <c r="D245" s="198">
        <v>0</v>
      </c>
      <c r="E245" s="198">
        <v>0</v>
      </c>
      <c r="F245" s="198">
        <v>0</v>
      </c>
      <c r="G245" s="198">
        <v>0</v>
      </c>
      <c r="H245" s="198">
        <v>0</v>
      </c>
      <c r="I245" s="198">
        <v>0</v>
      </c>
      <c r="J245" s="198">
        <v>0</v>
      </c>
      <c r="K245" s="198">
        <v>0</v>
      </c>
      <c r="L245" s="198">
        <v>0</v>
      </c>
      <c r="M245" s="198">
        <v>0</v>
      </c>
      <c r="N245" s="198">
        <v>0</v>
      </c>
      <c r="O245" s="198">
        <v>0</v>
      </c>
      <c r="P245" s="198">
        <v>0</v>
      </c>
      <c r="Q245" s="198">
        <v>0</v>
      </c>
      <c r="R245" s="198">
        <v>19.600000000000001</v>
      </c>
      <c r="S245" s="198">
        <v>0</v>
      </c>
      <c r="T245" s="198">
        <v>0</v>
      </c>
      <c r="U245" s="198">
        <v>0</v>
      </c>
      <c r="V245" s="198">
        <v>0</v>
      </c>
      <c r="W245" s="198">
        <v>0</v>
      </c>
      <c r="X245" s="198">
        <v>0</v>
      </c>
      <c r="Y245" s="198">
        <v>0</v>
      </c>
      <c r="Z245" s="198">
        <v>0</v>
      </c>
      <c r="AA245" s="198">
        <v>0</v>
      </c>
      <c r="AB245" s="198">
        <v>0</v>
      </c>
      <c r="AC245" s="198">
        <v>0</v>
      </c>
      <c r="AD245" s="198">
        <v>20.2</v>
      </c>
      <c r="AE245" s="198">
        <v>0</v>
      </c>
      <c r="AF245" s="198">
        <v>0</v>
      </c>
      <c r="AG245" s="198">
        <v>0</v>
      </c>
      <c r="AH245" s="198">
        <v>0</v>
      </c>
      <c r="AI245" s="198">
        <v>0</v>
      </c>
      <c r="AJ245" s="198">
        <v>20.6</v>
      </c>
      <c r="AK245" s="198">
        <v>0</v>
      </c>
      <c r="AL245" s="198">
        <v>0</v>
      </c>
      <c r="AM245" s="198">
        <v>0</v>
      </c>
      <c r="AN245" s="198">
        <v>0</v>
      </c>
      <c r="AO245" s="198">
        <v>20.9</v>
      </c>
      <c r="AP245" s="198">
        <v>0</v>
      </c>
      <c r="AQ245" s="198">
        <v>0</v>
      </c>
      <c r="AR245" s="198">
        <v>0</v>
      </c>
      <c r="AS245" s="198">
        <v>0</v>
      </c>
      <c r="AT245" s="198">
        <v>0</v>
      </c>
      <c r="AU245" s="198">
        <v>21.3</v>
      </c>
      <c r="AV245" s="198">
        <v>0</v>
      </c>
      <c r="AW245" s="198">
        <v>0</v>
      </c>
      <c r="AX245" s="198">
        <v>0</v>
      </c>
      <c r="AY245" s="198">
        <v>0</v>
      </c>
      <c r="AZ245" s="198">
        <v>0</v>
      </c>
      <c r="BA245" s="198">
        <v>21.6</v>
      </c>
      <c r="BB245" s="198">
        <v>0</v>
      </c>
      <c r="BC245" s="198">
        <v>0</v>
      </c>
      <c r="BD245" s="198">
        <v>0</v>
      </c>
      <c r="BE245" s="198">
        <v>0</v>
      </c>
      <c r="BF245" s="198">
        <v>22</v>
      </c>
      <c r="BG245" s="198">
        <v>0</v>
      </c>
      <c r="BH245" s="198">
        <v>0</v>
      </c>
      <c r="BI245" s="198">
        <v>0</v>
      </c>
      <c r="BJ245" s="198">
        <v>0</v>
      </c>
      <c r="BK245" s="198">
        <v>0</v>
      </c>
      <c r="BL245" s="198">
        <v>22.4</v>
      </c>
      <c r="BM245" s="198">
        <v>0</v>
      </c>
      <c r="BN245" s="198">
        <v>0</v>
      </c>
      <c r="BO245" s="198">
        <v>0</v>
      </c>
      <c r="BP245" s="198">
        <v>0</v>
      </c>
      <c r="BQ245" s="198">
        <v>0</v>
      </c>
      <c r="BR245" s="198">
        <v>22.7</v>
      </c>
      <c r="BS245" s="198">
        <v>0</v>
      </c>
      <c r="BT245" s="198">
        <v>0</v>
      </c>
      <c r="BU245" s="198">
        <v>0</v>
      </c>
      <c r="BV245" s="198">
        <v>0</v>
      </c>
      <c r="BW245" s="198">
        <v>0</v>
      </c>
      <c r="BX245" s="198">
        <v>22.8</v>
      </c>
      <c r="BY245" s="198">
        <v>0</v>
      </c>
      <c r="BZ245" s="198">
        <v>0</v>
      </c>
      <c r="CA245" s="198">
        <v>0</v>
      </c>
      <c r="CB245" s="198">
        <v>0</v>
      </c>
      <c r="CC245" s="198">
        <v>0</v>
      </c>
      <c r="CD245" s="198">
        <v>0</v>
      </c>
      <c r="CE245" s="198">
        <v>0</v>
      </c>
      <c r="CF245" s="198">
        <v>0</v>
      </c>
      <c r="CG245" s="198">
        <v>0</v>
      </c>
      <c r="CH245" s="198">
        <v>0</v>
      </c>
      <c r="CI245" s="198">
        <v>0</v>
      </c>
      <c r="CJ245" s="198">
        <v>23.2</v>
      </c>
      <c r="CK245" s="88"/>
    </row>
    <row r="246" spans="1:89" x14ac:dyDescent="0.3">
      <c r="A246" s="173"/>
      <c r="B246" s="197" t="s">
        <v>214</v>
      </c>
      <c r="C246" s="198">
        <v>0</v>
      </c>
      <c r="D246" s="198">
        <v>0</v>
      </c>
      <c r="E246" s="198">
        <v>0</v>
      </c>
      <c r="F246" s="198">
        <v>0</v>
      </c>
      <c r="G246" s="198">
        <v>0</v>
      </c>
      <c r="H246" s="198">
        <v>0</v>
      </c>
      <c r="I246" s="198">
        <v>0</v>
      </c>
      <c r="J246" s="198">
        <v>0</v>
      </c>
      <c r="K246" s="198">
        <v>0</v>
      </c>
      <c r="L246" s="198">
        <v>0</v>
      </c>
      <c r="M246" s="198">
        <v>0</v>
      </c>
      <c r="N246" s="198">
        <v>0</v>
      </c>
      <c r="O246" s="198">
        <v>0</v>
      </c>
      <c r="P246" s="198">
        <v>0</v>
      </c>
      <c r="Q246" s="198">
        <v>0</v>
      </c>
      <c r="R246" s="198">
        <v>16.299999999999997</v>
      </c>
      <c r="S246" s="198">
        <v>0</v>
      </c>
      <c r="T246" s="198">
        <v>0</v>
      </c>
      <c r="U246" s="198">
        <v>0</v>
      </c>
      <c r="V246" s="198">
        <v>0</v>
      </c>
      <c r="W246" s="198">
        <v>0</v>
      </c>
      <c r="X246" s="198">
        <v>0</v>
      </c>
      <c r="Y246" s="198">
        <v>0</v>
      </c>
      <c r="Z246" s="198">
        <v>0</v>
      </c>
      <c r="AA246" s="198">
        <v>0</v>
      </c>
      <c r="AB246" s="198">
        <v>0</v>
      </c>
      <c r="AC246" s="198">
        <v>0</v>
      </c>
      <c r="AD246" s="198">
        <v>0</v>
      </c>
      <c r="AE246" s="198">
        <v>0</v>
      </c>
      <c r="AF246" s="198">
        <v>0</v>
      </c>
      <c r="AG246" s="198">
        <v>0</v>
      </c>
      <c r="AH246" s="198">
        <v>0</v>
      </c>
      <c r="AI246" s="198">
        <v>0</v>
      </c>
      <c r="AJ246" s="198">
        <v>0</v>
      </c>
      <c r="AK246" s="198">
        <v>0</v>
      </c>
      <c r="AL246" s="198">
        <v>0</v>
      </c>
      <c r="AM246" s="198">
        <v>0</v>
      </c>
      <c r="AN246" s="198">
        <v>0</v>
      </c>
      <c r="AO246" s="198">
        <v>0</v>
      </c>
      <c r="AP246" s="198">
        <v>0</v>
      </c>
      <c r="AQ246" s="198">
        <v>0</v>
      </c>
      <c r="AR246" s="198">
        <v>0</v>
      </c>
      <c r="AS246" s="198">
        <v>0</v>
      </c>
      <c r="AT246" s="198">
        <v>0</v>
      </c>
      <c r="AU246" s="198">
        <v>0</v>
      </c>
      <c r="AV246" s="198">
        <v>0</v>
      </c>
      <c r="AW246" s="198">
        <v>0</v>
      </c>
      <c r="AX246" s="198">
        <v>0</v>
      </c>
      <c r="AY246" s="198">
        <v>0</v>
      </c>
      <c r="AZ246" s="198">
        <v>0</v>
      </c>
      <c r="BA246" s="198">
        <v>0</v>
      </c>
      <c r="BB246" s="198">
        <v>0</v>
      </c>
      <c r="BC246" s="198">
        <v>0</v>
      </c>
      <c r="BD246" s="198">
        <v>0</v>
      </c>
      <c r="BE246" s="198">
        <v>0</v>
      </c>
      <c r="BF246" s="198">
        <v>0</v>
      </c>
      <c r="BG246" s="198">
        <v>0</v>
      </c>
      <c r="BH246" s="198">
        <v>0</v>
      </c>
      <c r="BI246" s="198">
        <v>0</v>
      </c>
      <c r="BJ246" s="198">
        <v>0</v>
      </c>
      <c r="BK246" s="198">
        <v>0</v>
      </c>
      <c r="BL246" s="198">
        <v>0</v>
      </c>
      <c r="BM246" s="198">
        <v>0</v>
      </c>
      <c r="BN246" s="198">
        <v>0</v>
      </c>
      <c r="BO246" s="198">
        <v>0</v>
      </c>
      <c r="BP246" s="198">
        <v>0</v>
      </c>
      <c r="BQ246" s="198">
        <v>0</v>
      </c>
      <c r="BR246" s="198">
        <v>0</v>
      </c>
      <c r="BS246" s="198">
        <v>0</v>
      </c>
      <c r="BT246" s="198">
        <v>0</v>
      </c>
      <c r="BU246" s="198">
        <v>0</v>
      </c>
      <c r="BV246" s="198">
        <v>0</v>
      </c>
      <c r="BW246" s="198">
        <v>0</v>
      </c>
      <c r="BX246" s="198">
        <v>0</v>
      </c>
      <c r="BY246" s="198">
        <v>0</v>
      </c>
      <c r="BZ246" s="198">
        <v>0</v>
      </c>
      <c r="CA246" s="198">
        <v>0</v>
      </c>
      <c r="CB246" s="198">
        <v>0</v>
      </c>
      <c r="CC246" s="198">
        <v>0</v>
      </c>
      <c r="CD246" s="198">
        <v>0</v>
      </c>
      <c r="CE246" s="198">
        <v>0</v>
      </c>
      <c r="CF246" s="198">
        <v>0</v>
      </c>
      <c r="CG246" s="198">
        <v>0</v>
      </c>
      <c r="CH246" s="198">
        <v>0</v>
      </c>
      <c r="CI246" s="198">
        <v>0</v>
      </c>
      <c r="CJ246" s="198">
        <v>0</v>
      </c>
      <c r="CK246" s="88"/>
    </row>
    <row r="247" spans="1:89" x14ac:dyDescent="0.3">
      <c r="A247" s="173"/>
      <c r="B247" s="197" t="s">
        <v>180</v>
      </c>
      <c r="C247" s="198">
        <v>0</v>
      </c>
      <c r="D247" s="198">
        <v>0</v>
      </c>
      <c r="E247" s="198">
        <v>0</v>
      </c>
      <c r="F247" s="198">
        <v>0</v>
      </c>
      <c r="G247" s="198">
        <v>0</v>
      </c>
      <c r="H247" s="198">
        <v>0</v>
      </c>
      <c r="I247" s="198">
        <v>0</v>
      </c>
      <c r="J247" s="198">
        <v>0</v>
      </c>
      <c r="K247" s="198">
        <v>0</v>
      </c>
      <c r="L247" s="198">
        <v>0</v>
      </c>
      <c r="M247" s="198">
        <v>0</v>
      </c>
      <c r="N247" s="198">
        <v>0</v>
      </c>
      <c r="O247" s="198">
        <v>0</v>
      </c>
      <c r="P247" s="198">
        <v>0</v>
      </c>
      <c r="Q247" s="198">
        <v>0</v>
      </c>
      <c r="R247" s="198">
        <v>0</v>
      </c>
      <c r="S247" s="198">
        <v>18.100000000000001</v>
      </c>
      <c r="T247" s="198">
        <v>0</v>
      </c>
      <c r="U247" s="198">
        <v>0</v>
      </c>
      <c r="V247" s="198">
        <v>0</v>
      </c>
      <c r="W247" s="198">
        <v>0</v>
      </c>
      <c r="X247" s="198">
        <v>0</v>
      </c>
      <c r="Y247" s="198">
        <v>0</v>
      </c>
      <c r="Z247" s="198">
        <v>0</v>
      </c>
      <c r="AA247" s="198">
        <v>0</v>
      </c>
      <c r="AB247" s="198">
        <v>0</v>
      </c>
      <c r="AC247" s="198">
        <v>0</v>
      </c>
      <c r="AD247" s="198">
        <v>0</v>
      </c>
      <c r="AE247" s="198">
        <v>0</v>
      </c>
      <c r="AF247" s="198">
        <v>0</v>
      </c>
      <c r="AG247" s="198">
        <v>0</v>
      </c>
      <c r="AH247" s="198">
        <v>0</v>
      </c>
      <c r="AI247" s="198">
        <v>0</v>
      </c>
      <c r="AJ247" s="198">
        <v>0</v>
      </c>
      <c r="AK247" s="198">
        <v>0</v>
      </c>
      <c r="AL247" s="198">
        <v>0</v>
      </c>
      <c r="AM247" s="198">
        <v>0</v>
      </c>
      <c r="AN247" s="198">
        <v>0</v>
      </c>
      <c r="AO247" s="198">
        <v>0</v>
      </c>
      <c r="AP247" s="198">
        <v>0</v>
      </c>
      <c r="AQ247" s="198">
        <v>0</v>
      </c>
      <c r="AR247" s="198">
        <v>0</v>
      </c>
      <c r="AS247" s="198">
        <v>0</v>
      </c>
      <c r="AT247" s="198">
        <v>0</v>
      </c>
      <c r="AU247" s="198">
        <v>0</v>
      </c>
      <c r="AV247" s="198">
        <v>0</v>
      </c>
      <c r="AW247" s="198">
        <v>0</v>
      </c>
      <c r="AX247" s="198">
        <v>0</v>
      </c>
      <c r="AY247" s="198">
        <v>0</v>
      </c>
      <c r="AZ247" s="198">
        <v>0</v>
      </c>
      <c r="BA247" s="198">
        <v>0</v>
      </c>
      <c r="BB247" s="198">
        <v>0</v>
      </c>
      <c r="BC247" s="198">
        <v>0</v>
      </c>
      <c r="BD247" s="198">
        <v>0</v>
      </c>
      <c r="BE247" s="198">
        <v>0</v>
      </c>
      <c r="BF247" s="198">
        <v>0</v>
      </c>
      <c r="BG247" s="198">
        <v>0</v>
      </c>
      <c r="BH247" s="198">
        <v>0</v>
      </c>
      <c r="BI247" s="198">
        <v>0</v>
      </c>
      <c r="BJ247" s="198">
        <v>0</v>
      </c>
      <c r="BK247" s="198">
        <v>0</v>
      </c>
      <c r="BL247" s="198">
        <v>0</v>
      </c>
      <c r="BM247" s="198">
        <v>0</v>
      </c>
      <c r="BN247" s="198">
        <v>0</v>
      </c>
      <c r="BO247" s="198">
        <v>0</v>
      </c>
      <c r="BP247" s="198">
        <v>0</v>
      </c>
      <c r="BQ247" s="198">
        <v>0</v>
      </c>
      <c r="BR247" s="198">
        <v>0</v>
      </c>
      <c r="BS247" s="198">
        <v>0</v>
      </c>
      <c r="BT247" s="198">
        <v>0</v>
      </c>
      <c r="BU247" s="198">
        <v>0</v>
      </c>
      <c r="BV247" s="198">
        <v>0</v>
      </c>
      <c r="BW247" s="198">
        <v>0</v>
      </c>
      <c r="BX247" s="198">
        <v>0</v>
      </c>
      <c r="BY247" s="198">
        <v>0</v>
      </c>
      <c r="BZ247" s="198">
        <v>0</v>
      </c>
      <c r="CA247" s="198">
        <v>0</v>
      </c>
      <c r="CB247" s="198">
        <v>0</v>
      </c>
      <c r="CC247" s="198">
        <v>0</v>
      </c>
      <c r="CD247" s="198">
        <v>0</v>
      </c>
      <c r="CE247" s="198">
        <v>0</v>
      </c>
      <c r="CF247" s="198">
        <v>0</v>
      </c>
      <c r="CG247" s="198">
        <v>0</v>
      </c>
      <c r="CH247" s="198">
        <v>0</v>
      </c>
      <c r="CI247" s="198">
        <v>0</v>
      </c>
      <c r="CJ247" s="198">
        <v>0</v>
      </c>
      <c r="CK247" s="88"/>
    </row>
    <row r="248" spans="1:89" x14ac:dyDescent="0.3">
      <c r="A248" s="173"/>
      <c r="B248" s="197" t="s">
        <v>220</v>
      </c>
      <c r="C248" s="198">
        <v>0</v>
      </c>
      <c r="D248" s="198">
        <v>0</v>
      </c>
      <c r="E248" s="198">
        <v>0</v>
      </c>
      <c r="F248" s="198">
        <v>0</v>
      </c>
      <c r="G248" s="198">
        <v>0</v>
      </c>
      <c r="H248" s="198">
        <v>0</v>
      </c>
      <c r="I248" s="198">
        <v>0</v>
      </c>
      <c r="J248" s="198">
        <v>0</v>
      </c>
      <c r="K248" s="198">
        <v>0</v>
      </c>
      <c r="L248" s="198">
        <v>0</v>
      </c>
      <c r="M248" s="198">
        <v>0</v>
      </c>
      <c r="N248" s="198">
        <v>0</v>
      </c>
      <c r="O248" s="198">
        <v>0</v>
      </c>
      <c r="P248" s="198">
        <v>0</v>
      </c>
      <c r="Q248" s="198">
        <v>0</v>
      </c>
      <c r="R248" s="198">
        <v>0</v>
      </c>
      <c r="S248" s="198">
        <v>0</v>
      </c>
      <c r="T248" s="198">
        <v>0</v>
      </c>
      <c r="U248" s="198">
        <v>0</v>
      </c>
      <c r="V248" s="198">
        <v>0</v>
      </c>
      <c r="W248" s="198">
        <v>0</v>
      </c>
      <c r="X248" s="198">
        <v>0</v>
      </c>
      <c r="Y248" s="198">
        <v>0</v>
      </c>
      <c r="Z248" s="198">
        <v>0</v>
      </c>
      <c r="AA248" s="198">
        <v>0.7</v>
      </c>
      <c r="AB248" s="198">
        <v>0</v>
      </c>
      <c r="AC248" s="198">
        <v>0</v>
      </c>
      <c r="AD248" s="198">
        <v>12.9</v>
      </c>
      <c r="AE248" s="198">
        <v>0</v>
      </c>
      <c r="AF248" s="198">
        <v>0</v>
      </c>
      <c r="AG248" s="198">
        <v>1.6</v>
      </c>
      <c r="AH248" s="198">
        <v>0</v>
      </c>
      <c r="AI248" s="198">
        <v>0</v>
      </c>
      <c r="AJ248" s="198">
        <v>13.1</v>
      </c>
      <c r="AK248" s="198">
        <v>0</v>
      </c>
      <c r="AL248" s="198">
        <v>0</v>
      </c>
      <c r="AM248" s="198">
        <v>2.7</v>
      </c>
      <c r="AN248" s="198">
        <v>0</v>
      </c>
      <c r="AO248" s="198">
        <v>0</v>
      </c>
      <c r="AP248" s="198">
        <v>12.8</v>
      </c>
      <c r="AQ248" s="198">
        <v>0</v>
      </c>
      <c r="AR248" s="198">
        <v>0</v>
      </c>
      <c r="AS248" s="198">
        <v>3.3</v>
      </c>
      <c r="AT248" s="198">
        <v>0</v>
      </c>
      <c r="AU248" s="198">
        <v>11.4</v>
      </c>
      <c r="AV248" s="198">
        <v>0</v>
      </c>
      <c r="AW248" s="198">
        <v>0</v>
      </c>
      <c r="AX248" s="198">
        <v>3.7</v>
      </c>
      <c r="AY248" s="198">
        <v>0</v>
      </c>
      <c r="AZ248" s="198">
        <v>0</v>
      </c>
      <c r="BA248" s="198">
        <v>9.5</v>
      </c>
      <c r="BB248" s="198">
        <v>0</v>
      </c>
      <c r="BC248" s="198">
        <v>0</v>
      </c>
      <c r="BD248" s="198">
        <v>5.2</v>
      </c>
      <c r="BE248" s="198">
        <v>0</v>
      </c>
      <c r="BF248" s="198">
        <v>0</v>
      </c>
      <c r="BG248" s="198">
        <v>6.9</v>
      </c>
      <c r="BH248" s="198">
        <v>0</v>
      </c>
      <c r="BI248" s="198">
        <v>0</v>
      </c>
      <c r="BJ248" s="198">
        <v>5.2</v>
      </c>
      <c r="BK248" s="198">
        <v>0</v>
      </c>
      <c r="BL248" s="198">
        <v>0</v>
      </c>
      <c r="BM248" s="198">
        <v>4.2</v>
      </c>
      <c r="BN248" s="198">
        <v>0</v>
      </c>
      <c r="BO248" s="198">
        <v>0</v>
      </c>
      <c r="BP248" s="198">
        <v>3.7</v>
      </c>
      <c r="BQ248" s="198">
        <v>0</v>
      </c>
      <c r="BR248" s="198">
        <v>0</v>
      </c>
      <c r="BS248" s="198">
        <v>0</v>
      </c>
      <c r="BT248" s="198">
        <v>0</v>
      </c>
      <c r="BU248" s="198">
        <v>0</v>
      </c>
      <c r="BV248" s="198">
        <v>0</v>
      </c>
      <c r="BW248" s="198">
        <v>0</v>
      </c>
      <c r="BX248" s="198">
        <v>0</v>
      </c>
      <c r="BY248" s="198">
        <v>0</v>
      </c>
      <c r="BZ248" s="198">
        <v>0</v>
      </c>
      <c r="CA248" s="198">
        <v>0</v>
      </c>
      <c r="CB248" s="198">
        <v>0</v>
      </c>
      <c r="CC248" s="198">
        <v>0</v>
      </c>
      <c r="CD248" s="198">
        <v>0</v>
      </c>
      <c r="CE248" s="198">
        <v>0</v>
      </c>
      <c r="CF248" s="198">
        <v>0</v>
      </c>
      <c r="CG248" s="198">
        <v>0</v>
      </c>
      <c r="CH248" s="198">
        <v>0</v>
      </c>
      <c r="CI248" s="198">
        <v>0</v>
      </c>
      <c r="CJ248" s="198">
        <v>0</v>
      </c>
      <c r="CK248" s="88"/>
    </row>
    <row r="249" spans="1:89" x14ac:dyDescent="0.3">
      <c r="A249" s="173"/>
      <c r="B249" s="197" t="s">
        <v>221</v>
      </c>
      <c r="C249" s="198">
        <v>0</v>
      </c>
      <c r="D249" s="198">
        <v>0</v>
      </c>
      <c r="E249" s="198">
        <v>0</v>
      </c>
      <c r="F249" s="198">
        <v>0</v>
      </c>
      <c r="G249" s="198">
        <v>0</v>
      </c>
      <c r="H249" s="198">
        <v>0</v>
      </c>
      <c r="I249" s="198">
        <v>0</v>
      </c>
      <c r="J249" s="198">
        <v>0</v>
      </c>
      <c r="K249" s="198">
        <v>0</v>
      </c>
      <c r="L249" s="198">
        <v>0</v>
      </c>
      <c r="M249" s="198">
        <v>0</v>
      </c>
      <c r="N249" s="198">
        <v>0</v>
      </c>
      <c r="O249" s="198">
        <v>0</v>
      </c>
      <c r="P249" s="198">
        <v>0</v>
      </c>
      <c r="Q249" s="198">
        <v>0</v>
      </c>
      <c r="R249" s="198">
        <v>0</v>
      </c>
      <c r="S249" s="198">
        <v>0</v>
      </c>
      <c r="T249" s="198">
        <v>0</v>
      </c>
      <c r="U249" s="198">
        <v>0</v>
      </c>
      <c r="V249" s="198">
        <v>0</v>
      </c>
      <c r="W249" s="198">
        <v>0</v>
      </c>
      <c r="X249" s="198">
        <v>0</v>
      </c>
      <c r="Y249" s="198">
        <v>0</v>
      </c>
      <c r="Z249" s="198">
        <v>0</v>
      </c>
      <c r="AA249" s="198">
        <v>0.2</v>
      </c>
      <c r="AB249" s="198">
        <v>0</v>
      </c>
      <c r="AC249" s="198">
        <v>0</v>
      </c>
      <c r="AD249" s="198">
        <v>2.8</v>
      </c>
      <c r="AE249" s="198">
        <v>0</v>
      </c>
      <c r="AF249" s="198">
        <v>0</v>
      </c>
      <c r="AG249" s="198">
        <v>0.4</v>
      </c>
      <c r="AH249" s="198">
        <v>0</v>
      </c>
      <c r="AI249" s="198">
        <v>0</v>
      </c>
      <c r="AJ249" s="198">
        <v>2.8</v>
      </c>
      <c r="AK249" s="198">
        <v>0</v>
      </c>
      <c r="AL249" s="198">
        <v>0</v>
      </c>
      <c r="AM249" s="198">
        <v>0.6</v>
      </c>
      <c r="AN249" s="198">
        <v>0</v>
      </c>
      <c r="AO249" s="198">
        <v>0</v>
      </c>
      <c r="AP249" s="198">
        <v>2.8</v>
      </c>
      <c r="AQ249" s="198">
        <v>0</v>
      </c>
      <c r="AR249" s="198">
        <v>0</v>
      </c>
      <c r="AS249" s="198">
        <v>0.7</v>
      </c>
      <c r="AT249" s="198">
        <v>0</v>
      </c>
      <c r="AU249" s="198">
        <v>2.5</v>
      </c>
      <c r="AV249" s="198">
        <v>0</v>
      </c>
      <c r="AW249" s="198">
        <v>0</v>
      </c>
      <c r="AX249" s="198">
        <v>0.8</v>
      </c>
      <c r="AY249" s="198">
        <v>0</v>
      </c>
      <c r="AZ249" s="198">
        <v>0</v>
      </c>
      <c r="BA249" s="198">
        <v>2</v>
      </c>
      <c r="BB249" s="198">
        <v>0</v>
      </c>
      <c r="BC249" s="198">
        <v>0</v>
      </c>
      <c r="BD249" s="198">
        <v>1.2</v>
      </c>
      <c r="BE249" s="198">
        <v>0</v>
      </c>
      <c r="BF249" s="198">
        <v>0</v>
      </c>
      <c r="BG249" s="198">
        <v>1.5</v>
      </c>
      <c r="BH249" s="198">
        <v>0</v>
      </c>
      <c r="BI249" s="198">
        <v>0</v>
      </c>
      <c r="BJ249" s="198">
        <v>1.2</v>
      </c>
      <c r="BK249" s="198">
        <v>0</v>
      </c>
      <c r="BL249" s="198">
        <v>0</v>
      </c>
      <c r="BM249" s="198">
        <v>0.9</v>
      </c>
      <c r="BN249" s="198">
        <v>0</v>
      </c>
      <c r="BO249" s="198">
        <v>0</v>
      </c>
      <c r="BP249" s="198">
        <v>0.8</v>
      </c>
      <c r="BQ249" s="198">
        <v>0</v>
      </c>
      <c r="BR249" s="198">
        <v>0</v>
      </c>
      <c r="BS249" s="198">
        <v>0</v>
      </c>
      <c r="BT249" s="198">
        <v>0</v>
      </c>
      <c r="BU249" s="198">
        <v>0</v>
      </c>
      <c r="BV249" s="198">
        <v>0</v>
      </c>
      <c r="BW249" s="198">
        <v>0</v>
      </c>
      <c r="BX249" s="198">
        <v>0</v>
      </c>
      <c r="BY249" s="198">
        <v>0</v>
      </c>
      <c r="BZ249" s="198">
        <v>0</v>
      </c>
      <c r="CA249" s="198">
        <v>0</v>
      </c>
      <c r="CB249" s="198">
        <v>0</v>
      </c>
      <c r="CC249" s="198">
        <v>0</v>
      </c>
      <c r="CD249" s="198">
        <v>0</v>
      </c>
      <c r="CE249" s="198">
        <v>0</v>
      </c>
      <c r="CF249" s="198">
        <v>0</v>
      </c>
      <c r="CG249" s="198">
        <v>0</v>
      </c>
      <c r="CH249" s="198">
        <v>0</v>
      </c>
      <c r="CI249" s="198">
        <v>0</v>
      </c>
      <c r="CJ249" s="198">
        <v>0</v>
      </c>
      <c r="CK249" s="88"/>
    </row>
    <row r="250" spans="1:89" x14ac:dyDescent="0.3">
      <c r="A250" s="173"/>
      <c r="B250" s="197" t="s">
        <v>285</v>
      </c>
      <c r="C250" s="198">
        <v>0</v>
      </c>
      <c r="D250" s="198">
        <v>0</v>
      </c>
      <c r="E250" s="198">
        <v>0</v>
      </c>
      <c r="F250" s="198">
        <v>0</v>
      </c>
      <c r="G250" s="198">
        <v>0</v>
      </c>
      <c r="H250" s="198">
        <v>0</v>
      </c>
      <c r="I250" s="198">
        <v>0</v>
      </c>
      <c r="J250" s="198">
        <v>0</v>
      </c>
      <c r="K250" s="198">
        <v>0</v>
      </c>
      <c r="L250" s="198">
        <v>0</v>
      </c>
      <c r="M250" s="198">
        <v>0</v>
      </c>
      <c r="N250" s="198">
        <v>0</v>
      </c>
      <c r="O250" s="198">
        <v>0</v>
      </c>
      <c r="P250" s="198">
        <v>0</v>
      </c>
      <c r="Q250" s="198">
        <v>0</v>
      </c>
      <c r="R250" s="198">
        <v>0</v>
      </c>
      <c r="S250" s="198">
        <v>0</v>
      </c>
      <c r="T250" s="198">
        <v>0</v>
      </c>
      <c r="U250" s="198">
        <v>0</v>
      </c>
      <c r="V250" s="198">
        <v>0</v>
      </c>
      <c r="W250" s="198">
        <v>0</v>
      </c>
      <c r="X250" s="198">
        <v>0</v>
      </c>
      <c r="Y250" s="198">
        <v>0</v>
      </c>
      <c r="Z250" s="198">
        <v>0</v>
      </c>
      <c r="AA250" s="198">
        <v>0</v>
      </c>
      <c r="AB250" s="198">
        <v>0</v>
      </c>
      <c r="AC250" s="198">
        <v>0</v>
      </c>
      <c r="AD250" s="198">
        <v>1.5</v>
      </c>
      <c r="AE250" s="198">
        <v>0</v>
      </c>
      <c r="AF250" s="198">
        <v>0</v>
      </c>
      <c r="AG250" s="198">
        <v>0.1</v>
      </c>
      <c r="AH250" s="198">
        <v>0</v>
      </c>
      <c r="AI250" s="198">
        <v>0</v>
      </c>
      <c r="AJ250" s="198">
        <v>31.9</v>
      </c>
      <c r="AK250" s="198">
        <v>0</v>
      </c>
      <c r="AL250" s="198">
        <v>0</v>
      </c>
      <c r="AM250" s="198">
        <v>0.2</v>
      </c>
      <c r="AN250" s="198">
        <v>0</v>
      </c>
      <c r="AO250" s="198">
        <v>0</v>
      </c>
      <c r="AP250" s="198">
        <v>29.7</v>
      </c>
      <c r="AQ250" s="198">
        <v>0</v>
      </c>
      <c r="AR250" s="198">
        <v>0</v>
      </c>
      <c r="AS250" s="198">
        <v>2.2999999999999998</v>
      </c>
      <c r="AT250" s="198">
        <v>0</v>
      </c>
      <c r="AU250" s="198">
        <v>36.799999999999997</v>
      </c>
      <c r="AV250" s="198">
        <v>0</v>
      </c>
      <c r="AW250" s="198">
        <v>0</v>
      </c>
      <c r="AX250" s="198">
        <v>26.1</v>
      </c>
      <c r="AY250" s="198">
        <v>0</v>
      </c>
      <c r="AZ250" s="198">
        <v>0</v>
      </c>
      <c r="BA250" s="198">
        <v>8.1</v>
      </c>
      <c r="BB250" s="198">
        <v>5.9</v>
      </c>
      <c r="BC250" s="198">
        <v>0</v>
      </c>
      <c r="BD250" s="198">
        <v>0</v>
      </c>
      <c r="BE250" s="198">
        <v>0</v>
      </c>
      <c r="BF250" s="198">
        <v>0</v>
      </c>
      <c r="BG250" s="198">
        <v>0</v>
      </c>
      <c r="BH250" s="198">
        <v>0</v>
      </c>
      <c r="BI250" s="198">
        <v>0</v>
      </c>
      <c r="BJ250" s="198">
        <v>0</v>
      </c>
      <c r="BK250" s="198">
        <v>0</v>
      </c>
      <c r="BL250" s="198">
        <v>0</v>
      </c>
      <c r="BM250" s="198">
        <v>0</v>
      </c>
      <c r="BN250" s="198">
        <v>0</v>
      </c>
      <c r="BO250" s="198">
        <v>0</v>
      </c>
      <c r="BP250" s="198">
        <v>0</v>
      </c>
      <c r="BQ250" s="198">
        <v>0</v>
      </c>
      <c r="BR250" s="198">
        <v>0</v>
      </c>
      <c r="BS250" s="198">
        <v>0</v>
      </c>
      <c r="BT250" s="198">
        <v>0</v>
      </c>
      <c r="BU250" s="198">
        <v>0</v>
      </c>
      <c r="BV250" s="198">
        <v>0</v>
      </c>
      <c r="BW250" s="198">
        <v>0</v>
      </c>
      <c r="BX250" s="198">
        <v>0</v>
      </c>
      <c r="BY250" s="198">
        <v>0</v>
      </c>
      <c r="BZ250" s="198">
        <v>0</v>
      </c>
      <c r="CA250" s="198">
        <v>0</v>
      </c>
      <c r="CB250" s="198">
        <v>0</v>
      </c>
      <c r="CC250" s="198">
        <v>0</v>
      </c>
      <c r="CD250" s="198">
        <v>0</v>
      </c>
      <c r="CE250" s="198">
        <v>0</v>
      </c>
      <c r="CF250" s="198">
        <v>0</v>
      </c>
      <c r="CG250" s="198">
        <v>0</v>
      </c>
      <c r="CH250" s="198">
        <v>0</v>
      </c>
      <c r="CI250" s="198">
        <v>0</v>
      </c>
      <c r="CJ250" s="198">
        <v>0</v>
      </c>
      <c r="CK250" s="88"/>
    </row>
    <row r="251" spans="1:89" x14ac:dyDescent="0.3">
      <c r="A251" s="173"/>
      <c r="B251" s="197" t="s">
        <v>326</v>
      </c>
      <c r="C251" s="198">
        <v>0</v>
      </c>
      <c r="D251" s="198">
        <v>0</v>
      </c>
      <c r="E251" s="198">
        <v>0</v>
      </c>
      <c r="F251" s="198">
        <v>0</v>
      </c>
      <c r="G251" s="198">
        <v>0</v>
      </c>
      <c r="H251" s="198">
        <v>0</v>
      </c>
      <c r="I251" s="198">
        <v>0</v>
      </c>
      <c r="J251" s="198">
        <v>0</v>
      </c>
      <c r="K251" s="198">
        <v>0</v>
      </c>
      <c r="L251" s="198">
        <v>0</v>
      </c>
      <c r="M251" s="198">
        <v>0</v>
      </c>
      <c r="N251" s="198">
        <v>0</v>
      </c>
      <c r="O251" s="198">
        <v>0</v>
      </c>
      <c r="P251" s="198">
        <v>0</v>
      </c>
      <c r="Q251" s="198">
        <v>0</v>
      </c>
      <c r="R251" s="198">
        <v>0</v>
      </c>
      <c r="S251" s="198">
        <v>0</v>
      </c>
      <c r="T251" s="198">
        <v>0</v>
      </c>
      <c r="U251" s="198">
        <v>0</v>
      </c>
      <c r="V251" s="198">
        <v>0</v>
      </c>
      <c r="W251" s="198">
        <v>0</v>
      </c>
      <c r="X251" s="198">
        <v>0</v>
      </c>
      <c r="Y251" s="198">
        <v>0</v>
      </c>
      <c r="Z251" s="198">
        <v>0</v>
      </c>
      <c r="AA251" s="198">
        <v>0</v>
      </c>
      <c r="AB251" s="198">
        <v>0</v>
      </c>
      <c r="AC251" s="198">
        <v>0</v>
      </c>
      <c r="AD251" s="198">
        <v>0</v>
      </c>
      <c r="AE251" s="198">
        <v>0</v>
      </c>
      <c r="AF251" s="198">
        <v>0</v>
      </c>
      <c r="AG251" s="198">
        <v>0</v>
      </c>
      <c r="AH251" s="198">
        <v>0</v>
      </c>
      <c r="AI251" s="198">
        <v>0</v>
      </c>
      <c r="AJ251" s="198">
        <v>0</v>
      </c>
      <c r="AK251" s="198">
        <v>0</v>
      </c>
      <c r="AL251" s="198">
        <v>0</v>
      </c>
      <c r="AM251" s="198">
        <v>0</v>
      </c>
      <c r="AN251" s="198">
        <v>0</v>
      </c>
      <c r="AO251" s="198">
        <v>0</v>
      </c>
      <c r="AP251" s="198">
        <v>0</v>
      </c>
      <c r="AQ251" s="198">
        <v>0</v>
      </c>
      <c r="AR251" s="198">
        <v>0</v>
      </c>
      <c r="AS251" s="198">
        <v>0</v>
      </c>
      <c r="AT251" s="198">
        <v>0</v>
      </c>
      <c r="AU251" s="198">
        <v>0</v>
      </c>
      <c r="AV251" s="198">
        <v>0</v>
      </c>
      <c r="AW251" s="198">
        <v>0</v>
      </c>
      <c r="AX251" s="198">
        <v>9</v>
      </c>
      <c r="AY251" s="198">
        <v>0</v>
      </c>
      <c r="AZ251" s="198">
        <v>0</v>
      </c>
      <c r="BA251" s="198">
        <v>10.8</v>
      </c>
      <c r="BB251" s="198">
        <v>0</v>
      </c>
      <c r="BC251" s="198">
        <v>0</v>
      </c>
      <c r="BD251" s="198">
        <v>17</v>
      </c>
      <c r="BE251" s="198">
        <v>0</v>
      </c>
      <c r="BF251" s="198">
        <v>0</v>
      </c>
      <c r="BG251" s="198">
        <v>9.3000000000000007</v>
      </c>
      <c r="BH251" s="198">
        <v>0</v>
      </c>
      <c r="BI251" s="198">
        <v>0</v>
      </c>
      <c r="BJ251" s="198">
        <v>14.8</v>
      </c>
      <c r="BK251" s="198">
        <v>0</v>
      </c>
      <c r="BL251" s="198">
        <v>0</v>
      </c>
      <c r="BM251" s="198">
        <v>9.3000000000000007</v>
      </c>
      <c r="BN251" s="198">
        <v>0</v>
      </c>
      <c r="BO251" s="198">
        <v>0</v>
      </c>
      <c r="BP251" s="198">
        <v>9.9</v>
      </c>
      <c r="BQ251" s="198">
        <v>0</v>
      </c>
      <c r="BR251" s="198">
        <v>0</v>
      </c>
      <c r="BS251" s="198">
        <v>0</v>
      </c>
      <c r="BT251" s="198">
        <v>0</v>
      </c>
      <c r="BU251" s="198">
        <v>0</v>
      </c>
      <c r="BV251" s="198">
        <v>0</v>
      </c>
      <c r="BW251" s="198">
        <v>0</v>
      </c>
      <c r="BX251" s="198">
        <v>0</v>
      </c>
      <c r="BY251" s="198">
        <v>0</v>
      </c>
      <c r="BZ251" s="198">
        <v>0</v>
      </c>
      <c r="CA251" s="198">
        <v>0</v>
      </c>
      <c r="CB251" s="198">
        <v>0</v>
      </c>
      <c r="CC251" s="198">
        <v>0</v>
      </c>
      <c r="CD251" s="198">
        <v>0</v>
      </c>
      <c r="CE251" s="198">
        <v>0</v>
      </c>
      <c r="CF251" s="198">
        <v>0</v>
      </c>
      <c r="CG251" s="198">
        <v>0</v>
      </c>
      <c r="CH251" s="198">
        <v>0</v>
      </c>
      <c r="CI251" s="198">
        <v>0</v>
      </c>
      <c r="CJ251" s="198">
        <v>0</v>
      </c>
      <c r="CK251" s="88"/>
    </row>
    <row r="252" spans="1:89" x14ac:dyDescent="0.3">
      <c r="A252" s="173"/>
      <c r="B252" s="197" t="s">
        <v>219</v>
      </c>
      <c r="C252" s="198">
        <v>0</v>
      </c>
      <c r="D252" s="198">
        <v>0</v>
      </c>
      <c r="E252" s="198">
        <v>0</v>
      </c>
      <c r="F252" s="198">
        <v>0</v>
      </c>
      <c r="G252" s="198">
        <v>0</v>
      </c>
      <c r="H252" s="198">
        <v>0</v>
      </c>
      <c r="I252" s="198">
        <v>0</v>
      </c>
      <c r="J252" s="198">
        <v>0</v>
      </c>
      <c r="K252" s="198">
        <v>0</v>
      </c>
      <c r="L252" s="198">
        <v>0</v>
      </c>
      <c r="M252" s="198">
        <v>0</v>
      </c>
      <c r="N252" s="198">
        <v>0</v>
      </c>
      <c r="O252" s="198">
        <v>0</v>
      </c>
      <c r="P252" s="198">
        <v>0</v>
      </c>
      <c r="Q252" s="198">
        <v>0</v>
      </c>
      <c r="R252" s="198">
        <v>0</v>
      </c>
      <c r="S252" s="198">
        <v>0</v>
      </c>
      <c r="T252" s="198">
        <v>0</v>
      </c>
      <c r="U252" s="198">
        <v>0</v>
      </c>
      <c r="V252" s="198">
        <v>0</v>
      </c>
      <c r="W252" s="198">
        <v>0</v>
      </c>
      <c r="X252" s="198">
        <v>0</v>
      </c>
      <c r="Y252" s="198">
        <v>0</v>
      </c>
      <c r="Z252" s="198">
        <v>0</v>
      </c>
      <c r="AA252" s="198">
        <v>84.8</v>
      </c>
      <c r="AB252" s="198">
        <v>0</v>
      </c>
      <c r="AC252" s="198">
        <v>0</v>
      </c>
      <c r="AD252" s="198">
        <v>15.5</v>
      </c>
      <c r="AE252" s="198">
        <v>0</v>
      </c>
      <c r="AF252" s="198">
        <v>0</v>
      </c>
      <c r="AG252" s="198">
        <v>80.900000000000006</v>
      </c>
      <c r="AH252" s="198">
        <v>0</v>
      </c>
      <c r="AI252" s="198">
        <v>0</v>
      </c>
      <c r="AJ252" s="198">
        <v>21.8</v>
      </c>
      <c r="AK252" s="198">
        <v>0</v>
      </c>
      <c r="AL252" s="198">
        <v>0</v>
      </c>
      <c r="AM252" s="198">
        <v>83.1</v>
      </c>
      <c r="AN252" s="198">
        <v>0</v>
      </c>
      <c r="AO252" s="198">
        <v>0</v>
      </c>
      <c r="AP252" s="198">
        <v>27</v>
      </c>
      <c r="AQ252" s="198">
        <v>0</v>
      </c>
      <c r="AR252" s="198">
        <v>0</v>
      </c>
      <c r="AS252" s="198">
        <v>75.7</v>
      </c>
      <c r="AT252" s="198">
        <v>0</v>
      </c>
      <c r="AU252" s="198">
        <v>29.3</v>
      </c>
      <c r="AV252" s="198">
        <v>0</v>
      </c>
      <c r="AW252" s="198">
        <v>0</v>
      </c>
      <c r="AX252" s="198">
        <v>65.2</v>
      </c>
      <c r="AY252" s="198">
        <v>0</v>
      </c>
      <c r="AZ252" s="198">
        <v>0</v>
      </c>
      <c r="BA252" s="198">
        <v>30.6</v>
      </c>
      <c r="BB252" s="198">
        <v>0</v>
      </c>
      <c r="BC252" s="198">
        <v>0</v>
      </c>
      <c r="BD252" s="198">
        <v>56.5</v>
      </c>
      <c r="BE252" s="198">
        <v>0</v>
      </c>
      <c r="BF252" s="198">
        <v>0</v>
      </c>
      <c r="BG252" s="198">
        <v>0</v>
      </c>
      <c r="BH252" s="198">
        <v>0</v>
      </c>
      <c r="BI252" s="198">
        <v>0</v>
      </c>
      <c r="BJ252" s="198">
        <v>0</v>
      </c>
      <c r="BK252" s="198">
        <v>0</v>
      </c>
      <c r="BL252" s="198">
        <v>0</v>
      </c>
      <c r="BM252" s="198">
        <v>0</v>
      </c>
      <c r="BN252" s="198">
        <v>0</v>
      </c>
      <c r="BO252" s="198">
        <v>0</v>
      </c>
      <c r="BP252" s="198">
        <v>0</v>
      </c>
      <c r="BQ252" s="198">
        <v>0</v>
      </c>
      <c r="BR252" s="198">
        <v>0</v>
      </c>
      <c r="BS252" s="198">
        <v>0</v>
      </c>
      <c r="BT252" s="198">
        <v>0</v>
      </c>
      <c r="BU252" s="198">
        <v>0</v>
      </c>
      <c r="BV252" s="198">
        <v>0</v>
      </c>
      <c r="BW252" s="198">
        <v>0</v>
      </c>
      <c r="BX252" s="198">
        <v>0</v>
      </c>
      <c r="BY252" s="198">
        <v>0</v>
      </c>
      <c r="BZ252" s="198">
        <v>0</v>
      </c>
      <c r="CA252" s="198">
        <v>0</v>
      </c>
      <c r="CB252" s="198">
        <v>0</v>
      </c>
      <c r="CC252" s="198">
        <v>0</v>
      </c>
      <c r="CD252" s="198">
        <v>0</v>
      </c>
      <c r="CE252" s="198">
        <v>0</v>
      </c>
      <c r="CF252" s="198">
        <v>0</v>
      </c>
      <c r="CG252" s="198">
        <v>0</v>
      </c>
      <c r="CH252" s="198">
        <v>0</v>
      </c>
      <c r="CI252" s="198">
        <v>0</v>
      </c>
      <c r="CJ252" s="198">
        <v>0</v>
      </c>
      <c r="CK252" s="88"/>
    </row>
    <row r="253" spans="1:89" x14ac:dyDescent="0.3">
      <c r="A253" s="173"/>
      <c r="B253" s="197" t="s">
        <v>218</v>
      </c>
      <c r="C253" s="198">
        <v>0</v>
      </c>
      <c r="D253" s="198">
        <v>0</v>
      </c>
      <c r="E253" s="198">
        <v>0</v>
      </c>
      <c r="F253" s="198">
        <v>0</v>
      </c>
      <c r="G253" s="198">
        <v>0</v>
      </c>
      <c r="H253" s="198">
        <v>0</v>
      </c>
      <c r="I253" s="198">
        <v>0</v>
      </c>
      <c r="J253" s="198">
        <v>1.9</v>
      </c>
      <c r="K253" s="198">
        <v>0</v>
      </c>
      <c r="L253" s="198">
        <v>0</v>
      </c>
      <c r="M253" s="198">
        <v>0</v>
      </c>
      <c r="N253" s="198">
        <v>0</v>
      </c>
      <c r="O253" s="198">
        <v>0</v>
      </c>
      <c r="P253" s="198">
        <v>0</v>
      </c>
      <c r="Q253" s="198">
        <v>0</v>
      </c>
      <c r="R253" s="198">
        <v>0</v>
      </c>
      <c r="S253" s="198">
        <v>3.3</v>
      </c>
      <c r="T253" s="198">
        <v>0</v>
      </c>
      <c r="U253" s="198">
        <v>0</v>
      </c>
      <c r="V253" s="198">
        <v>1.2</v>
      </c>
      <c r="W253" s="198">
        <v>0</v>
      </c>
      <c r="X253" s="198">
        <v>0</v>
      </c>
      <c r="Y253" s="198">
        <v>0</v>
      </c>
      <c r="Z253" s="198">
        <v>0</v>
      </c>
      <c r="AA253" s="198">
        <v>1.2</v>
      </c>
      <c r="AB253" s="198">
        <v>0</v>
      </c>
      <c r="AC253" s="198">
        <v>0</v>
      </c>
      <c r="AD253" s="198">
        <v>2.8</v>
      </c>
      <c r="AE253" s="198">
        <v>0</v>
      </c>
      <c r="AF253" s="198">
        <v>0</v>
      </c>
      <c r="AG253" s="198">
        <v>1.2</v>
      </c>
      <c r="AH253" s="198">
        <v>0</v>
      </c>
      <c r="AI253" s="198">
        <v>0</v>
      </c>
      <c r="AJ253" s="198">
        <v>2.9</v>
      </c>
      <c r="AK253" s="198">
        <v>0</v>
      </c>
      <c r="AL253" s="198">
        <v>0</v>
      </c>
      <c r="AM253" s="198">
        <v>1.5</v>
      </c>
      <c r="AN253" s="198">
        <v>0</v>
      </c>
      <c r="AO253" s="198">
        <v>0</v>
      </c>
      <c r="AP253" s="198">
        <v>2.9</v>
      </c>
      <c r="AQ253" s="198">
        <v>0</v>
      </c>
      <c r="AR253" s="198">
        <v>0</v>
      </c>
      <c r="AS253" s="198">
        <v>1.5</v>
      </c>
      <c r="AT253" s="198">
        <v>0</v>
      </c>
      <c r="AU253" s="198">
        <v>2.6</v>
      </c>
      <c r="AV253" s="198">
        <v>0</v>
      </c>
      <c r="AW253" s="198">
        <v>0</v>
      </c>
      <c r="AX253" s="198">
        <v>1.5</v>
      </c>
      <c r="AY253" s="198">
        <v>0</v>
      </c>
      <c r="AZ253" s="198">
        <v>0</v>
      </c>
      <c r="BA253" s="198">
        <v>2.2999999999999998</v>
      </c>
      <c r="BB253" s="198">
        <v>0</v>
      </c>
      <c r="BC253" s="198">
        <v>0</v>
      </c>
      <c r="BD253" s="198">
        <v>1.5</v>
      </c>
      <c r="BE253" s="198">
        <v>0</v>
      </c>
      <c r="BF253" s="198">
        <v>0</v>
      </c>
      <c r="BG253" s="198">
        <v>1.7</v>
      </c>
      <c r="BH253" s="198">
        <v>0</v>
      </c>
      <c r="BI253" s="198">
        <v>0</v>
      </c>
      <c r="BJ253" s="198">
        <v>1.4</v>
      </c>
      <c r="BK253" s="198">
        <v>0</v>
      </c>
      <c r="BL253" s="198">
        <v>0</v>
      </c>
      <c r="BM253" s="198">
        <v>1</v>
      </c>
      <c r="BN253" s="198">
        <v>0</v>
      </c>
      <c r="BO253" s="198">
        <v>0</v>
      </c>
      <c r="BP253" s="198">
        <v>0.7</v>
      </c>
      <c r="BQ253" s="198">
        <v>0</v>
      </c>
      <c r="BR253" s="198">
        <v>0</v>
      </c>
      <c r="BS253" s="198">
        <v>0</v>
      </c>
      <c r="BT253" s="198">
        <v>0</v>
      </c>
      <c r="BU253" s="198">
        <v>0</v>
      </c>
      <c r="BV253" s="198">
        <v>0</v>
      </c>
      <c r="BW253" s="198">
        <v>0</v>
      </c>
      <c r="BX253" s="198">
        <v>0</v>
      </c>
      <c r="BY253" s="198">
        <v>0</v>
      </c>
      <c r="BZ253" s="198">
        <v>0</v>
      </c>
      <c r="CA253" s="198">
        <v>0</v>
      </c>
      <c r="CB253" s="198">
        <v>0</v>
      </c>
      <c r="CC253" s="198">
        <v>0</v>
      </c>
      <c r="CD253" s="198">
        <v>0</v>
      </c>
      <c r="CE253" s="198">
        <v>0</v>
      </c>
      <c r="CF253" s="198">
        <v>0</v>
      </c>
      <c r="CG253" s="198">
        <v>0</v>
      </c>
      <c r="CH253" s="198">
        <v>0</v>
      </c>
      <c r="CI253" s="198">
        <v>0</v>
      </c>
      <c r="CJ253" s="198">
        <v>0</v>
      </c>
      <c r="CK253" s="88"/>
    </row>
    <row r="254" spans="1:89" x14ac:dyDescent="0.3">
      <c r="A254" s="173"/>
      <c r="B254" s="197" t="s">
        <v>328</v>
      </c>
      <c r="C254" s="198">
        <v>0</v>
      </c>
      <c r="D254" s="198">
        <v>0</v>
      </c>
      <c r="E254" s="198">
        <v>0</v>
      </c>
      <c r="F254" s="198">
        <v>0</v>
      </c>
      <c r="G254" s="198">
        <v>0</v>
      </c>
      <c r="H254" s="198">
        <v>0</v>
      </c>
      <c r="I254" s="198">
        <v>0</v>
      </c>
      <c r="J254" s="198">
        <v>0</v>
      </c>
      <c r="K254" s="198">
        <v>0</v>
      </c>
      <c r="L254" s="198">
        <v>0</v>
      </c>
      <c r="M254" s="198">
        <v>0</v>
      </c>
      <c r="N254" s="198">
        <v>0</v>
      </c>
      <c r="O254" s="198">
        <v>0</v>
      </c>
      <c r="P254" s="198">
        <v>0</v>
      </c>
      <c r="Q254" s="198">
        <v>0</v>
      </c>
      <c r="R254" s="198">
        <v>0</v>
      </c>
      <c r="S254" s="198">
        <v>0</v>
      </c>
      <c r="T254" s="198">
        <v>0</v>
      </c>
      <c r="U254" s="198">
        <v>0</v>
      </c>
      <c r="V254" s="198">
        <v>0</v>
      </c>
      <c r="W254" s="198">
        <v>0</v>
      </c>
      <c r="X254" s="198">
        <v>0</v>
      </c>
      <c r="Y254" s="198">
        <v>0</v>
      </c>
      <c r="Z254" s="198">
        <v>0</v>
      </c>
      <c r="AA254" s="198">
        <v>0</v>
      </c>
      <c r="AB254" s="198">
        <v>0</v>
      </c>
      <c r="AC254" s="198">
        <v>0</v>
      </c>
      <c r="AD254" s="198">
        <v>0</v>
      </c>
      <c r="AE254" s="198">
        <v>0</v>
      </c>
      <c r="AF254" s="198">
        <v>0</v>
      </c>
      <c r="AG254" s="198">
        <v>0</v>
      </c>
      <c r="AH254" s="198">
        <v>0</v>
      </c>
      <c r="AI254" s="198">
        <v>0</v>
      </c>
      <c r="AJ254" s="198">
        <v>0</v>
      </c>
      <c r="AK254" s="198">
        <v>0</v>
      </c>
      <c r="AL254" s="198">
        <v>0</v>
      </c>
      <c r="AM254" s="198">
        <v>0</v>
      </c>
      <c r="AN254" s="198">
        <v>0</v>
      </c>
      <c r="AO254" s="198">
        <v>0</v>
      </c>
      <c r="AP254" s="198">
        <v>0</v>
      </c>
      <c r="AQ254" s="198">
        <v>0</v>
      </c>
      <c r="AR254" s="198">
        <v>0</v>
      </c>
      <c r="AS254" s="198">
        <v>0</v>
      </c>
      <c r="AT254" s="198">
        <v>0</v>
      </c>
      <c r="AU254" s="198">
        <v>0</v>
      </c>
      <c r="AV254" s="198">
        <v>0</v>
      </c>
      <c r="AW254" s="198">
        <v>0</v>
      </c>
      <c r="AX254" s="198">
        <v>0.6</v>
      </c>
      <c r="AY254" s="198">
        <v>0</v>
      </c>
      <c r="AZ254" s="198">
        <v>0</v>
      </c>
      <c r="BA254" s="198">
        <v>0</v>
      </c>
      <c r="BB254" s="198">
        <v>0</v>
      </c>
      <c r="BC254" s="198">
        <v>0</v>
      </c>
      <c r="BD254" s="198">
        <v>0.5</v>
      </c>
      <c r="BE254" s="198">
        <v>0</v>
      </c>
      <c r="BF254" s="198">
        <v>0</v>
      </c>
      <c r="BG254" s="198">
        <v>0.1</v>
      </c>
      <c r="BH254" s="198">
        <v>0</v>
      </c>
      <c r="BI254" s="198">
        <v>0</v>
      </c>
      <c r="BJ254" s="198">
        <v>0.4</v>
      </c>
      <c r="BK254" s="198">
        <v>0</v>
      </c>
      <c r="BL254" s="198">
        <v>0</v>
      </c>
      <c r="BM254" s="198">
        <v>0.1</v>
      </c>
      <c r="BN254" s="198">
        <v>0</v>
      </c>
      <c r="BO254" s="198">
        <v>0</v>
      </c>
      <c r="BP254" s="198">
        <v>0</v>
      </c>
      <c r="BQ254" s="198">
        <v>0</v>
      </c>
      <c r="BR254" s="198">
        <v>0</v>
      </c>
      <c r="BS254" s="198">
        <v>0</v>
      </c>
      <c r="BT254" s="198">
        <v>0</v>
      </c>
      <c r="BU254" s="198">
        <v>0</v>
      </c>
      <c r="BV254" s="198">
        <v>0</v>
      </c>
      <c r="BW254" s="198">
        <v>0</v>
      </c>
      <c r="BX254" s="198">
        <v>0</v>
      </c>
      <c r="BY254" s="198">
        <v>0</v>
      </c>
      <c r="BZ254" s="198">
        <v>0</v>
      </c>
      <c r="CA254" s="198">
        <v>0</v>
      </c>
      <c r="CB254" s="198">
        <v>0</v>
      </c>
      <c r="CC254" s="198">
        <v>0</v>
      </c>
      <c r="CD254" s="198">
        <v>0</v>
      </c>
      <c r="CE254" s="198">
        <v>0</v>
      </c>
      <c r="CF254" s="198">
        <v>0</v>
      </c>
      <c r="CG254" s="198">
        <v>0</v>
      </c>
      <c r="CH254" s="198">
        <v>0</v>
      </c>
      <c r="CI254" s="198">
        <v>0</v>
      </c>
      <c r="CJ254" s="198">
        <v>0</v>
      </c>
      <c r="CK254" s="88"/>
    </row>
    <row r="255" spans="1:89" x14ac:dyDescent="0.3">
      <c r="A255" s="173"/>
      <c r="B255" s="197" t="s">
        <v>55</v>
      </c>
      <c r="C255" s="198">
        <v>0</v>
      </c>
      <c r="D255" s="198">
        <v>0</v>
      </c>
      <c r="E255" s="198">
        <v>0</v>
      </c>
      <c r="F255" s="198">
        <v>0</v>
      </c>
      <c r="G255" s="198">
        <v>0</v>
      </c>
      <c r="H255" s="198">
        <v>0</v>
      </c>
      <c r="I255" s="198">
        <v>0</v>
      </c>
      <c r="J255" s="198">
        <v>0</v>
      </c>
      <c r="K255" s="198">
        <v>0</v>
      </c>
      <c r="L255" s="198">
        <v>0</v>
      </c>
      <c r="M255" s="198">
        <v>0</v>
      </c>
      <c r="N255" s="198">
        <v>49</v>
      </c>
      <c r="O255" s="198">
        <v>0</v>
      </c>
      <c r="P255" s="198">
        <v>0</v>
      </c>
      <c r="Q255" s="198">
        <v>0</v>
      </c>
      <c r="R255" s="198">
        <v>0</v>
      </c>
      <c r="S255" s="198">
        <v>0</v>
      </c>
      <c r="T255" s="198">
        <v>0</v>
      </c>
      <c r="U255" s="198">
        <v>0</v>
      </c>
      <c r="V255" s="198">
        <v>0</v>
      </c>
      <c r="W255" s="198">
        <v>0</v>
      </c>
      <c r="X255" s="198">
        <v>0</v>
      </c>
      <c r="Y255" s="198">
        <v>0</v>
      </c>
      <c r="Z255" s="198">
        <v>288</v>
      </c>
      <c r="AA255" s="198">
        <v>0</v>
      </c>
      <c r="AB255" s="198">
        <v>0</v>
      </c>
      <c r="AC255" s="198">
        <v>0</v>
      </c>
      <c r="AD255" s="198">
        <v>0</v>
      </c>
      <c r="AE255" s="198">
        <v>0</v>
      </c>
      <c r="AF255" s="198">
        <v>0</v>
      </c>
      <c r="AG255" s="198">
        <v>0</v>
      </c>
      <c r="AH255" s="198">
        <v>0</v>
      </c>
      <c r="AI255" s="198">
        <v>0</v>
      </c>
      <c r="AJ255" s="198">
        <v>0</v>
      </c>
      <c r="AK255" s="198">
        <v>0</v>
      </c>
      <c r="AL255" s="198">
        <v>670.1</v>
      </c>
      <c r="AM255" s="198">
        <v>0</v>
      </c>
      <c r="AN255" s="198">
        <v>0</v>
      </c>
      <c r="AO255" s="198">
        <v>0</v>
      </c>
      <c r="AP255" s="198">
        <v>0</v>
      </c>
      <c r="AQ255" s="198">
        <v>0</v>
      </c>
      <c r="AR255" s="198">
        <v>0</v>
      </c>
      <c r="AS255" s="198">
        <v>0</v>
      </c>
      <c r="AT255" s="198">
        <v>0</v>
      </c>
      <c r="AU255" s="198">
        <v>0</v>
      </c>
      <c r="AV255" s="198">
        <v>0</v>
      </c>
      <c r="AW255" s="198">
        <v>0</v>
      </c>
      <c r="AX255" s="198">
        <v>1313.6</v>
      </c>
      <c r="AY255" s="198">
        <v>0</v>
      </c>
      <c r="AZ255" s="198">
        <v>0</v>
      </c>
      <c r="BA255" s="198">
        <v>0</v>
      </c>
      <c r="BB255" s="198">
        <v>0</v>
      </c>
      <c r="BC255" s="198">
        <v>0</v>
      </c>
      <c r="BD255" s="198">
        <v>0</v>
      </c>
      <c r="BE255" s="198">
        <v>0</v>
      </c>
      <c r="BF255" s="198">
        <v>0</v>
      </c>
      <c r="BG255" s="198">
        <v>0</v>
      </c>
      <c r="BH255" s="198">
        <v>0</v>
      </c>
      <c r="BI255" s="198">
        <v>0</v>
      </c>
      <c r="BJ255" s="198">
        <v>438</v>
      </c>
      <c r="BK255" s="198">
        <v>0</v>
      </c>
      <c r="BL255" s="198">
        <v>0</v>
      </c>
      <c r="BM255" s="198">
        <v>0</v>
      </c>
      <c r="BN255" s="198">
        <v>0</v>
      </c>
      <c r="BO255" s="198">
        <v>0</v>
      </c>
      <c r="BP255" s="198">
        <v>0</v>
      </c>
      <c r="BQ255" s="198">
        <v>0</v>
      </c>
      <c r="BR255" s="198">
        <v>0</v>
      </c>
      <c r="BS255" s="198">
        <v>0</v>
      </c>
      <c r="BT255" s="198">
        <v>0</v>
      </c>
      <c r="BU255" s="198">
        <v>0</v>
      </c>
      <c r="BV255" s="198">
        <v>300.7</v>
      </c>
      <c r="BW255" s="198">
        <v>0</v>
      </c>
      <c r="BX255" s="198">
        <v>0</v>
      </c>
      <c r="BY255" s="198">
        <v>0</v>
      </c>
      <c r="BZ255" s="198">
        <v>0</v>
      </c>
      <c r="CA255" s="198">
        <v>0</v>
      </c>
      <c r="CB255" s="198">
        <v>0</v>
      </c>
      <c r="CC255" s="198">
        <v>0</v>
      </c>
      <c r="CD255" s="198">
        <v>0</v>
      </c>
      <c r="CE255" s="198">
        <v>0</v>
      </c>
      <c r="CF255" s="198">
        <v>0</v>
      </c>
      <c r="CG255" s="198">
        <v>0</v>
      </c>
      <c r="CH255" s="198">
        <v>288.10000000000002</v>
      </c>
      <c r="CI255" s="198">
        <v>0</v>
      </c>
      <c r="CJ255" s="198">
        <v>0</v>
      </c>
      <c r="CK255" s="88"/>
    </row>
    <row r="256" spans="1:89" x14ac:dyDescent="0.3">
      <c r="A256" s="173"/>
      <c r="B256" s="192" t="s">
        <v>316</v>
      </c>
      <c r="C256" s="193">
        <v>973</v>
      </c>
      <c r="D256" s="193">
        <v>4967.5</v>
      </c>
      <c r="E256" s="193">
        <v>3742.1</v>
      </c>
      <c r="F256" s="193">
        <v>4177.7</v>
      </c>
      <c r="G256" s="193">
        <v>3570.1</v>
      </c>
      <c r="H256" s="193">
        <v>1420.3</v>
      </c>
      <c r="I256" s="193">
        <v>172.5</v>
      </c>
      <c r="J256" s="193">
        <v>12951.2</v>
      </c>
      <c r="K256" s="193">
        <v>61.9</v>
      </c>
      <c r="L256" s="193">
        <v>57</v>
      </c>
      <c r="M256" s="193">
        <v>53</v>
      </c>
      <c r="N256" s="193">
        <v>64</v>
      </c>
      <c r="O256" s="193">
        <f t="shared" ref="O256:V256" si="60">+SUM(O260:O393)</f>
        <v>57.5</v>
      </c>
      <c r="P256" s="193">
        <f t="shared" si="60"/>
        <v>504.7</v>
      </c>
      <c r="Q256" s="193">
        <f t="shared" si="60"/>
        <v>2840.8999999999996</v>
      </c>
      <c r="R256" s="193">
        <f t="shared" si="60"/>
        <v>5388.0999999999995</v>
      </c>
      <c r="S256" s="193">
        <f t="shared" si="60"/>
        <v>201.8</v>
      </c>
      <c r="T256" s="193">
        <f t="shared" si="60"/>
        <v>1790.6000000000001</v>
      </c>
      <c r="U256" s="193">
        <f t="shared" si="60"/>
        <v>75.3</v>
      </c>
      <c r="V256" s="193">
        <f t="shared" si="60"/>
        <v>56.800000000000004</v>
      </c>
      <c r="W256" s="193">
        <f t="shared" ref="W256:BB256" si="61">+SUM(W257:W397)</f>
        <v>105667.70000000001</v>
      </c>
      <c r="X256" s="193">
        <f t="shared" si="61"/>
        <v>52.8</v>
      </c>
      <c r="Y256" s="193">
        <f t="shared" si="61"/>
        <v>1978.9</v>
      </c>
      <c r="Z256" s="193">
        <f t="shared" si="61"/>
        <v>568.69999999999993</v>
      </c>
      <c r="AA256" s="193">
        <f t="shared" si="61"/>
        <v>7566.5</v>
      </c>
      <c r="AB256" s="193">
        <f t="shared" si="61"/>
        <v>465.19999999999993</v>
      </c>
      <c r="AC256" s="193">
        <f t="shared" si="61"/>
        <v>2237.4</v>
      </c>
      <c r="AD256" s="193">
        <f t="shared" si="61"/>
        <v>2974.7000000000003</v>
      </c>
      <c r="AE256" s="193">
        <f t="shared" si="61"/>
        <v>58.8</v>
      </c>
      <c r="AF256" s="193">
        <f t="shared" si="61"/>
        <v>1980.6</v>
      </c>
      <c r="AG256" s="193">
        <f t="shared" si="61"/>
        <v>3333.8</v>
      </c>
      <c r="AH256" s="193">
        <f t="shared" si="61"/>
        <v>2259.4</v>
      </c>
      <c r="AI256" s="193">
        <f t="shared" si="61"/>
        <v>1608.3999999999999</v>
      </c>
      <c r="AJ256" s="193">
        <f t="shared" si="61"/>
        <v>1432</v>
      </c>
      <c r="AK256" s="193">
        <f t="shared" si="61"/>
        <v>989.19999999999993</v>
      </c>
      <c r="AL256" s="193">
        <f t="shared" si="61"/>
        <v>9.1999999999999993</v>
      </c>
      <c r="AM256" s="193">
        <f t="shared" si="61"/>
        <v>6.3</v>
      </c>
      <c r="AN256" s="193">
        <f t="shared" si="61"/>
        <v>5.1000000000000005</v>
      </c>
      <c r="AO256" s="193">
        <f t="shared" si="61"/>
        <v>4990.7</v>
      </c>
      <c r="AP256" s="193">
        <f t="shared" si="61"/>
        <v>8267.9</v>
      </c>
      <c r="AQ256" s="193">
        <f t="shared" si="61"/>
        <v>3516.3</v>
      </c>
      <c r="AR256" s="193">
        <f t="shared" si="61"/>
        <v>2086.4</v>
      </c>
      <c r="AS256" s="193">
        <f t="shared" si="61"/>
        <v>0</v>
      </c>
      <c r="AT256" s="193">
        <f t="shared" si="61"/>
        <v>6208.7999999999993</v>
      </c>
      <c r="AU256" s="193">
        <f t="shared" si="61"/>
        <v>845.4</v>
      </c>
      <c r="AV256" s="193">
        <f t="shared" si="61"/>
        <v>142.10000000000002</v>
      </c>
      <c r="AW256" s="193">
        <f t="shared" si="61"/>
        <v>2818.8</v>
      </c>
      <c r="AX256" s="193">
        <f t="shared" si="61"/>
        <v>1.6</v>
      </c>
      <c r="AY256" s="193">
        <f t="shared" si="61"/>
        <v>13439.3</v>
      </c>
      <c r="AZ256" s="193">
        <f t="shared" si="61"/>
        <v>76.5</v>
      </c>
      <c r="BA256" s="193">
        <f t="shared" si="61"/>
        <v>6644.2999999999993</v>
      </c>
      <c r="BB256" s="193">
        <f t="shared" si="61"/>
        <v>1745.8</v>
      </c>
      <c r="BC256" s="193">
        <f t="shared" ref="BC256:BZ256" si="62">+SUM(BC257:BC397)</f>
        <v>3.8</v>
      </c>
      <c r="BD256" s="193">
        <f t="shared" si="62"/>
        <v>29749.799999999996</v>
      </c>
      <c r="BE256" s="193">
        <f t="shared" si="62"/>
        <v>1801.1</v>
      </c>
      <c r="BF256" s="193">
        <f t="shared" si="62"/>
        <v>4709.7000000000007</v>
      </c>
      <c r="BG256" s="193">
        <f t="shared" si="62"/>
        <v>572.4</v>
      </c>
      <c r="BH256" s="193">
        <f t="shared" si="62"/>
        <v>184.9</v>
      </c>
      <c r="BI256" s="193">
        <f t="shared" si="62"/>
        <v>1.6</v>
      </c>
      <c r="BJ256" s="193">
        <f t="shared" si="62"/>
        <v>4966.3</v>
      </c>
      <c r="BK256" s="193">
        <f t="shared" si="62"/>
        <v>8500.1</v>
      </c>
      <c r="BL256" s="193">
        <f t="shared" si="62"/>
        <v>13724.199999999999</v>
      </c>
      <c r="BM256" s="193">
        <f t="shared" si="62"/>
        <v>49371.799999999996</v>
      </c>
      <c r="BN256" s="193">
        <f t="shared" si="62"/>
        <v>3649.1000000000004</v>
      </c>
      <c r="BO256" s="193">
        <f t="shared" si="62"/>
        <v>3880.5000000000005</v>
      </c>
      <c r="BP256" s="193">
        <f t="shared" si="62"/>
        <v>296.90000000000003</v>
      </c>
      <c r="BQ256" s="193">
        <f t="shared" si="62"/>
        <v>29666.1</v>
      </c>
      <c r="BR256" s="193">
        <f t="shared" si="62"/>
        <v>8437.3999999999978</v>
      </c>
      <c r="BS256" s="193">
        <f t="shared" si="62"/>
        <v>315.8</v>
      </c>
      <c r="BT256" s="193">
        <f t="shared" si="62"/>
        <v>2224</v>
      </c>
      <c r="BU256" s="193">
        <f t="shared" si="62"/>
        <v>5465.9999999999991</v>
      </c>
      <c r="BV256" s="193">
        <f t="shared" si="62"/>
        <v>894.1</v>
      </c>
      <c r="BW256" s="193">
        <f t="shared" si="62"/>
        <v>17321.599999999999</v>
      </c>
      <c r="BX256" s="193">
        <f t="shared" si="62"/>
        <v>6313.4000000000005</v>
      </c>
      <c r="BY256" s="193">
        <f t="shared" si="62"/>
        <v>992.09999999999991</v>
      </c>
      <c r="BZ256" s="193">
        <f t="shared" si="62"/>
        <v>1639.5</v>
      </c>
      <c r="CA256" s="193">
        <f t="shared" ref="CA256:CB256" si="63">+SUM(CA257:CA397)</f>
        <v>22622.399999999998</v>
      </c>
      <c r="CB256" s="193">
        <f t="shared" si="63"/>
        <v>5038.9999999999991</v>
      </c>
      <c r="CC256" s="193">
        <f t="shared" ref="CC256:CD256" si="64">+SUM(CC257:CC397)</f>
        <v>2712.9999999999995</v>
      </c>
      <c r="CD256" s="193">
        <f t="shared" si="64"/>
        <v>3998</v>
      </c>
      <c r="CE256" s="193">
        <f t="shared" ref="CE256:CF256" si="65">+SUM(CE257:CE397)</f>
        <v>22.800000000000004</v>
      </c>
      <c r="CF256" s="193">
        <f t="shared" si="65"/>
        <v>11874.300000000001</v>
      </c>
      <c r="CG256" s="193">
        <f t="shared" ref="CG256:CH256" si="66">+SUM(CG257:CG397)</f>
        <v>1148.7000000000003</v>
      </c>
      <c r="CH256" s="193">
        <f t="shared" si="66"/>
        <v>33248.299999999996</v>
      </c>
      <c r="CI256" s="193">
        <f t="shared" ref="CI256:CJ256" si="67">+SUM(CI257:CI397)</f>
        <v>7620.8000000000011</v>
      </c>
      <c r="CJ256" s="193">
        <f t="shared" si="67"/>
        <v>6618.9</v>
      </c>
      <c r="CK256" s="88"/>
    </row>
    <row r="257" spans="1:89" x14ac:dyDescent="0.3">
      <c r="A257" s="173"/>
      <c r="B257" s="197" t="s">
        <v>233</v>
      </c>
      <c r="C257" s="198">
        <v>0</v>
      </c>
      <c r="D257" s="198">
        <v>0</v>
      </c>
      <c r="E257" s="198">
        <v>0</v>
      </c>
      <c r="F257" s="198">
        <v>0</v>
      </c>
      <c r="G257" s="198">
        <v>0</v>
      </c>
      <c r="H257" s="198">
        <v>0</v>
      </c>
      <c r="I257" s="198">
        <v>0</v>
      </c>
      <c r="J257" s="198">
        <v>0</v>
      </c>
      <c r="K257" s="198">
        <v>0</v>
      </c>
      <c r="L257" s="198">
        <v>0</v>
      </c>
      <c r="M257" s="198">
        <v>0</v>
      </c>
      <c r="N257" s="198">
        <v>0</v>
      </c>
      <c r="O257" s="198">
        <v>0</v>
      </c>
      <c r="P257" s="198">
        <v>0</v>
      </c>
      <c r="Q257" s="198">
        <v>0</v>
      </c>
      <c r="R257" s="198">
        <v>0</v>
      </c>
      <c r="S257" s="198">
        <v>0</v>
      </c>
      <c r="T257" s="198">
        <v>0</v>
      </c>
      <c r="U257" s="198">
        <v>0</v>
      </c>
      <c r="V257" s="198">
        <v>0</v>
      </c>
      <c r="W257" s="198">
        <v>1750</v>
      </c>
      <c r="X257" s="198">
        <v>0</v>
      </c>
      <c r="Y257" s="198">
        <v>0</v>
      </c>
      <c r="Z257" s="198">
        <v>0</v>
      </c>
      <c r="AA257" s="198">
        <v>0</v>
      </c>
      <c r="AB257" s="198">
        <v>0</v>
      </c>
      <c r="AC257" s="198">
        <v>0</v>
      </c>
      <c r="AD257" s="198">
        <v>0</v>
      </c>
      <c r="AE257" s="198">
        <v>0</v>
      </c>
      <c r="AF257" s="198">
        <v>0</v>
      </c>
      <c r="AG257" s="198">
        <v>0</v>
      </c>
      <c r="AH257" s="198">
        <v>0</v>
      </c>
      <c r="AI257" s="198">
        <v>0</v>
      </c>
      <c r="AJ257" s="198">
        <v>0</v>
      </c>
      <c r="AK257" s="198">
        <v>0</v>
      </c>
      <c r="AL257" s="198">
        <v>0</v>
      </c>
      <c r="AM257" s="198">
        <v>0</v>
      </c>
      <c r="AN257" s="198">
        <v>0</v>
      </c>
      <c r="AO257" s="198">
        <v>0</v>
      </c>
      <c r="AP257" s="198">
        <v>0</v>
      </c>
      <c r="AQ257" s="198">
        <v>0</v>
      </c>
      <c r="AR257" s="198">
        <v>0</v>
      </c>
      <c r="AS257" s="198">
        <v>0</v>
      </c>
      <c r="AT257" s="198">
        <v>0</v>
      </c>
      <c r="AU257" s="198">
        <v>0</v>
      </c>
      <c r="AV257" s="198">
        <v>0</v>
      </c>
      <c r="AW257" s="198">
        <v>0</v>
      </c>
      <c r="AX257" s="198">
        <v>0</v>
      </c>
      <c r="AY257" s="198">
        <v>0</v>
      </c>
      <c r="AZ257" s="198">
        <v>0</v>
      </c>
      <c r="BA257" s="198">
        <v>0</v>
      </c>
      <c r="BB257" s="198">
        <v>0</v>
      </c>
      <c r="BC257" s="198">
        <v>0</v>
      </c>
      <c r="BD257" s="198">
        <v>0</v>
      </c>
      <c r="BE257" s="198">
        <v>0</v>
      </c>
      <c r="BF257" s="198">
        <v>0</v>
      </c>
      <c r="BG257" s="198">
        <v>0</v>
      </c>
      <c r="BH257" s="198">
        <v>0</v>
      </c>
      <c r="BI257" s="198">
        <v>0</v>
      </c>
      <c r="BJ257" s="198">
        <v>0</v>
      </c>
      <c r="BK257" s="198">
        <v>0</v>
      </c>
      <c r="BL257" s="198">
        <v>0</v>
      </c>
      <c r="BM257" s="198">
        <v>0</v>
      </c>
      <c r="BN257" s="198">
        <v>0</v>
      </c>
      <c r="BO257" s="198">
        <v>0</v>
      </c>
      <c r="BP257" s="198">
        <v>0</v>
      </c>
      <c r="BQ257" s="198">
        <v>0</v>
      </c>
      <c r="BR257" s="198">
        <v>0</v>
      </c>
      <c r="BS257" s="198">
        <v>0</v>
      </c>
      <c r="BT257" s="198">
        <v>0</v>
      </c>
      <c r="BU257" s="198">
        <v>0</v>
      </c>
      <c r="BV257" s="198">
        <v>0</v>
      </c>
      <c r="BW257" s="198">
        <v>0</v>
      </c>
      <c r="BX257" s="198">
        <v>0</v>
      </c>
      <c r="BY257" s="198">
        <v>0</v>
      </c>
      <c r="BZ257" s="198">
        <v>0</v>
      </c>
      <c r="CA257" s="198">
        <v>0</v>
      </c>
      <c r="CB257" s="198">
        <v>0</v>
      </c>
      <c r="CC257" s="198">
        <v>0</v>
      </c>
      <c r="CD257" s="198">
        <v>0</v>
      </c>
      <c r="CE257" s="198">
        <v>0</v>
      </c>
      <c r="CF257" s="198">
        <v>0</v>
      </c>
      <c r="CG257" s="198">
        <v>0</v>
      </c>
      <c r="CH257" s="198">
        <v>0</v>
      </c>
      <c r="CI257" s="198">
        <v>0</v>
      </c>
      <c r="CJ257" s="198">
        <v>0</v>
      </c>
      <c r="CK257" s="88"/>
    </row>
    <row r="258" spans="1:89" x14ac:dyDescent="0.3">
      <c r="A258" s="173"/>
      <c r="B258" s="197" t="s">
        <v>234</v>
      </c>
      <c r="C258" s="198">
        <v>0</v>
      </c>
      <c r="D258" s="198">
        <v>0</v>
      </c>
      <c r="E258" s="198">
        <v>0</v>
      </c>
      <c r="F258" s="198">
        <v>0</v>
      </c>
      <c r="G258" s="198">
        <v>0</v>
      </c>
      <c r="H258" s="198">
        <v>0</v>
      </c>
      <c r="I258" s="198">
        <v>0</v>
      </c>
      <c r="J258" s="198">
        <v>0</v>
      </c>
      <c r="K258" s="198">
        <v>0</v>
      </c>
      <c r="L258" s="198">
        <v>0</v>
      </c>
      <c r="M258" s="198">
        <v>0</v>
      </c>
      <c r="N258" s="198">
        <v>0</v>
      </c>
      <c r="O258" s="198">
        <v>0</v>
      </c>
      <c r="P258" s="198">
        <v>0</v>
      </c>
      <c r="Q258" s="198">
        <v>0</v>
      </c>
      <c r="R258" s="198">
        <v>0</v>
      </c>
      <c r="S258" s="198">
        <v>0</v>
      </c>
      <c r="T258" s="198">
        <v>0</v>
      </c>
      <c r="U258" s="198">
        <v>0</v>
      </c>
      <c r="V258" s="198">
        <v>0</v>
      </c>
      <c r="W258" s="198">
        <v>3250</v>
      </c>
      <c r="X258" s="198">
        <v>0</v>
      </c>
      <c r="Y258" s="198">
        <v>0</v>
      </c>
      <c r="Z258" s="198">
        <v>0</v>
      </c>
      <c r="AA258" s="198">
        <v>0</v>
      </c>
      <c r="AB258" s="198">
        <v>0</v>
      </c>
      <c r="AC258" s="198">
        <v>0</v>
      </c>
      <c r="AD258" s="198">
        <v>0</v>
      </c>
      <c r="AE258" s="198">
        <v>0</v>
      </c>
      <c r="AF258" s="198">
        <v>0</v>
      </c>
      <c r="AG258" s="198">
        <v>0</v>
      </c>
      <c r="AH258" s="198">
        <v>0</v>
      </c>
      <c r="AI258" s="198">
        <v>0</v>
      </c>
      <c r="AJ258" s="198">
        <v>0</v>
      </c>
      <c r="AK258" s="198">
        <v>0</v>
      </c>
      <c r="AL258" s="198">
        <v>0</v>
      </c>
      <c r="AM258" s="198">
        <v>0</v>
      </c>
      <c r="AN258" s="198">
        <v>0</v>
      </c>
      <c r="AO258" s="198">
        <v>0</v>
      </c>
      <c r="AP258" s="198">
        <v>0</v>
      </c>
      <c r="AQ258" s="198">
        <v>0</v>
      </c>
      <c r="AR258" s="198">
        <v>0</v>
      </c>
      <c r="AS258" s="198">
        <v>0</v>
      </c>
      <c r="AT258" s="198">
        <v>0</v>
      </c>
      <c r="AU258" s="198">
        <v>0</v>
      </c>
      <c r="AV258" s="198">
        <v>0</v>
      </c>
      <c r="AW258" s="198">
        <v>0</v>
      </c>
      <c r="AX258" s="198">
        <v>0</v>
      </c>
      <c r="AY258" s="198">
        <v>0</v>
      </c>
      <c r="AZ258" s="198">
        <v>0</v>
      </c>
      <c r="BA258" s="198">
        <v>0</v>
      </c>
      <c r="BB258" s="198">
        <v>0</v>
      </c>
      <c r="BC258" s="198">
        <v>0</v>
      </c>
      <c r="BD258" s="198">
        <v>0</v>
      </c>
      <c r="BE258" s="198">
        <v>0</v>
      </c>
      <c r="BF258" s="198">
        <v>0</v>
      </c>
      <c r="BG258" s="198">
        <v>0</v>
      </c>
      <c r="BH258" s="198">
        <v>0</v>
      </c>
      <c r="BI258" s="198">
        <v>0</v>
      </c>
      <c r="BJ258" s="198">
        <v>0</v>
      </c>
      <c r="BK258" s="198">
        <v>0</v>
      </c>
      <c r="BL258" s="198">
        <v>0</v>
      </c>
      <c r="BM258" s="198">
        <v>0</v>
      </c>
      <c r="BN258" s="198">
        <v>0</v>
      </c>
      <c r="BO258" s="198">
        <v>0</v>
      </c>
      <c r="BP258" s="198">
        <v>0</v>
      </c>
      <c r="BQ258" s="198">
        <v>0</v>
      </c>
      <c r="BR258" s="198">
        <v>0</v>
      </c>
      <c r="BS258" s="198">
        <v>0</v>
      </c>
      <c r="BT258" s="198">
        <v>0</v>
      </c>
      <c r="BU258" s="198">
        <v>0</v>
      </c>
      <c r="BV258" s="198">
        <v>0</v>
      </c>
      <c r="BW258" s="198">
        <v>0</v>
      </c>
      <c r="BX258" s="198">
        <v>0</v>
      </c>
      <c r="BY258" s="198">
        <v>0</v>
      </c>
      <c r="BZ258" s="198">
        <v>0</v>
      </c>
      <c r="CA258" s="198">
        <v>0</v>
      </c>
      <c r="CB258" s="198">
        <v>0</v>
      </c>
      <c r="CC258" s="198">
        <v>0</v>
      </c>
      <c r="CD258" s="198">
        <v>0</v>
      </c>
      <c r="CE258" s="198">
        <v>0</v>
      </c>
      <c r="CF258" s="198">
        <v>0</v>
      </c>
      <c r="CG258" s="198">
        <v>0</v>
      </c>
      <c r="CH258" s="198">
        <v>0</v>
      </c>
      <c r="CI258" s="198">
        <v>0</v>
      </c>
      <c r="CJ258" s="198">
        <v>0</v>
      </c>
      <c r="CK258" s="88"/>
    </row>
    <row r="259" spans="1:89" x14ac:dyDescent="0.3">
      <c r="A259" s="173"/>
      <c r="B259" s="197" t="s">
        <v>235</v>
      </c>
      <c r="C259" s="198">
        <v>0</v>
      </c>
      <c r="D259" s="198">
        <v>0</v>
      </c>
      <c r="E259" s="198">
        <v>0</v>
      </c>
      <c r="F259" s="198">
        <v>0</v>
      </c>
      <c r="G259" s="198">
        <v>0</v>
      </c>
      <c r="H259" s="198">
        <v>0</v>
      </c>
      <c r="I259" s="198">
        <v>0</v>
      </c>
      <c r="J259" s="198">
        <v>0</v>
      </c>
      <c r="K259" s="198">
        <v>0</v>
      </c>
      <c r="L259" s="198">
        <v>0</v>
      </c>
      <c r="M259" s="198">
        <v>0</v>
      </c>
      <c r="N259" s="198">
        <v>0</v>
      </c>
      <c r="O259" s="198">
        <v>0</v>
      </c>
      <c r="P259" s="198">
        <v>0</v>
      </c>
      <c r="Q259" s="198">
        <v>0</v>
      </c>
      <c r="R259" s="198">
        <v>0</v>
      </c>
      <c r="S259" s="198">
        <v>0</v>
      </c>
      <c r="T259" s="198">
        <v>0</v>
      </c>
      <c r="U259" s="198">
        <v>0</v>
      </c>
      <c r="V259" s="198">
        <v>0</v>
      </c>
      <c r="W259" s="198">
        <v>4250</v>
      </c>
      <c r="X259" s="198">
        <v>0</v>
      </c>
      <c r="Y259" s="198">
        <v>0</v>
      </c>
      <c r="Z259" s="198">
        <v>0</v>
      </c>
      <c r="AA259" s="198">
        <v>0</v>
      </c>
      <c r="AB259" s="198">
        <v>0</v>
      </c>
      <c r="AC259" s="198">
        <v>0</v>
      </c>
      <c r="AD259" s="198">
        <v>0</v>
      </c>
      <c r="AE259" s="198">
        <v>0</v>
      </c>
      <c r="AF259" s="198">
        <v>0</v>
      </c>
      <c r="AG259" s="198">
        <v>0</v>
      </c>
      <c r="AH259" s="198">
        <v>0</v>
      </c>
      <c r="AI259" s="198">
        <v>0</v>
      </c>
      <c r="AJ259" s="198">
        <v>0</v>
      </c>
      <c r="AK259" s="198">
        <v>0</v>
      </c>
      <c r="AL259" s="198">
        <v>0</v>
      </c>
      <c r="AM259" s="198">
        <v>0</v>
      </c>
      <c r="AN259" s="198">
        <v>0</v>
      </c>
      <c r="AO259" s="198">
        <v>0</v>
      </c>
      <c r="AP259" s="198">
        <v>0</v>
      </c>
      <c r="AQ259" s="198">
        <v>0</v>
      </c>
      <c r="AR259" s="198">
        <v>0</v>
      </c>
      <c r="AS259" s="198">
        <v>0</v>
      </c>
      <c r="AT259" s="198">
        <v>0</v>
      </c>
      <c r="AU259" s="198">
        <v>0</v>
      </c>
      <c r="AV259" s="198">
        <v>0</v>
      </c>
      <c r="AW259" s="198">
        <v>0</v>
      </c>
      <c r="AX259" s="198">
        <v>0</v>
      </c>
      <c r="AY259" s="198">
        <v>0</v>
      </c>
      <c r="AZ259" s="198">
        <v>0</v>
      </c>
      <c r="BA259" s="198">
        <v>0</v>
      </c>
      <c r="BB259" s="198">
        <v>0</v>
      </c>
      <c r="BC259" s="198">
        <v>0</v>
      </c>
      <c r="BD259" s="198">
        <v>0</v>
      </c>
      <c r="BE259" s="198">
        <v>0</v>
      </c>
      <c r="BF259" s="198">
        <v>0</v>
      </c>
      <c r="BG259" s="198">
        <v>0</v>
      </c>
      <c r="BH259" s="198">
        <v>0</v>
      </c>
      <c r="BI259" s="198">
        <v>0</v>
      </c>
      <c r="BJ259" s="198">
        <v>0</v>
      </c>
      <c r="BK259" s="198">
        <v>0</v>
      </c>
      <c r="BL259" s="198">
        <v>0</v>
      </c>
      <c r="BM259" s="198">
        <v>0</v>
      </c>
      <c r="BN259" s="198">
        <v>0</v>
      </c>
      <c r="BO259" s="198">
        <v>0</v>
      </c>
      <c r="BP259" s="198">
        <v>0</v>
      </c>
      <c r="BQ259" s="198">
        <v>0</v>
      </c>
      <c r="BR259" s="198">
        <v>0</v>
      </c>
      <c r="BS259" s="198">
        <v>0</v>
      </c>
      <c r="BT259" s="198">
        <v>0</v>
      </c>
      <c r="BU259" s="198">
        <v>0</v>
      </c>
      <c r="BV259" s="198">
        <v>0</v>
      </c>
      <c r="BW259" s="198">
        <v>0</v>
      </c>
      <c r="BX259" s="198">
        <v>0</v>
      </c>
      <c r="BY259" s="198">
        <v>0</v>
      </c>
      <c r="BZ259" s="198">
        <v>0</v>
      </c>
      <c r="CA259" s="198">
        <v>0</v>
      </c>
      <c r="CB259" s="198">
        <v>0</v>
      </c>
      <c r="CC259" s="198">
        <v>0</v>
      </c>
      <c r="CD259" s="198">
        <v>0</v>
      </c>
      <c r="CE259" s="198">
        <v>0</v>
      </c>
      <c r="CF259" s="198">
        <v>0</v>
      </c>
      <c r="CG259" s="198">
        <v>0</v>
      </c>
      <c r="CH259" s="198">
        <v>0</v>
      </c>
      <c r="CI259" s="198">
        <v>0</v>
      </c>
      <c r="CJ259" s="198">
        <v>0</v>
      </c>
      <c r="CK259" s="88"/>
    </row>
    <row r="260" spans="1:89" x14ac:dyDescent="0.3">
      <c r="A260" s="173"/>
      <c r="B260" s="197" t="s">
        <v>91</v>
      </c>
      <c r="C260" s="198">
        <v>0</v>
      </c>
      <c r="D260" s="198">
        <v>0</v>
      </c>
      <c r="E260" s="198">
        <v>0</v>
      </c>
      <c r="F260" s="198">
        <v>2750</v>
      </c>
      <c r="G260" s="198">
        <v>0</v>
      </c>
      <c r="H260" s="198">
        <v>0</v>
      </c>
      <c r="I260" s="198">
        <v>0</v>
      </c>
      <c r="J260" s="198">
        <v>0</v>
      </c>
      <c r="K260" s="198">
        <v>0</v>
      </c>
      <c r="L260" s="198">
        <v>0</v>
      </c>
      <c r="M260" s="198">
        <v>0</v>
      </c>
      <c r="N260" s="198">
        <v>0</v>
      </c>
      <c r="O260" s="198">
        <v>0</v>
      </c>
      <c r="P260" s="198">
        <v>0</v>
      </c>
      <c r="Q260" s="198">
        <v>0</v>
      </c>
      <c r="R260" s="198">
        <v>0</v>
      </c>
      <c r="S260" s="198">
        <v>0</v>
      </c>
      <c r="T260" s="198">
        <v>0</v>
      </c>
      <c r="U260" s="198">
        <v>0</v>
      </c>
      <c r="V260" s="198">
        <v>0</v>
      </c>
      <c r="W260" s="198">
        <v>0</v>
      </c>
      <c r="X260" s="198">
        <v>0</v>
      </c>
      <c r="Y260" s="198">
        <v>0</v>
      </c>
      <c r="Z260" s="198">
        <v>0</v>
      </c>
      <c r="AA260" s="198">
        <v>0</v>
      </c>
      <c r="AB260" s="198">
        <v>0</v>
      </c>
      <c r="AC260" s="198">
        <v>0</v>
      </c>
      <c r="AD260" s="198">
        <v>0</v>
      </c>
      <c r="AE260" s="198">
        <v>0</v>
      </c>
      <c r="AF260" s="198">
        <v>0</v>
      </c>
      <c r="AG260" s="198">
        <v>0</v>
      </c>
      <c r="AH260" s="198">
        <v>0</v>
      </c>
      <c r="AI260" s="198">
        <v>0</v>
      </c>
      <c r="AJ260" s="198">
        <v>0</v>
      </c>
      <c r="AK260" s="198">
        <v>0</v>
      </c>
      <c r="AL260" s="198">
        <v>0</v>
      </c>
      <c r="AM260" s="198">
        <v>0</v>
      </c>
      <c r="AN260" s="198">
        <v>0</v>
      </c>
      <c r="AO260" s="198">
        <v>0</v>
      </c>
      <c r="AP260" s="198">
        <v>0</v>
      </c>
      <c r="AQ260" s="198">
        <v>0</v>
      </c>
      <c r="AR260" s="198">
        <v>0</v>
      </c>
      <c r="AS260" s="198">
        <v>0</v>
      </c>
      <c r="AT260" s="198">
        <v>0</v>
      </c>
      <c r="AU260" s="198">
        <v>0</v>
      </c>
      <c r="AV260" s="198">
        <v>0</v>
      </c>
      <c r="AW260" s="198">
        <v>0</v>
      </c>
      <c r="AX260" s="198">
        <v>0</v>
      </c>
      <c r="AY260" s="198">
        <v>0</v>
      </c>
      <c r="AZ260" s="198">
        <v>0</v>
      </c>
      <c r="BA260" s="198">
        <v>0</v>
      </c>
      <c r="BB260" s="198">
        <v>0</v>
      </c>
      <c r="BC260" s="198">
        <v>0</v>
      </c>
      <c r="BD260" s="198">
        <v>0</v>
      </c>
      <c r="BE260" s="198">
        <v>0</v>
      </c>
      <c r="BF260" s="198">
        <v>0</v>
      </c>
      <c r="BG260" s="198">
        <v>0</v>
      </c>
      <c r="BH260" s="198">
        <v>0</v>
      </c>
      <c r="BI260" s="198">
        <v>0</v>
      </c>
      <c r="BJ260" s="198">
        <v>0</v>
      </c>
      <c r="BK260" s="198">
        <v>0</v>
      </c>
      <c r="BL260" s="198">
        <v>0</v>
      </c>
      <c r="BM260" s="198">
        <v>0</v>
      </c>
      <c r="BN260" s="198">
        <v>0</v>
      </c>
      <c r="BO260" s="198">
        <v>0</v>
      </c>
      <c r="BP260" s="198">
        <v>0</v>
      </c>
      <c r="BQ260" s="198">
        <v>0</v>
      </c>
      <c r="BR260" s="198">
        <v>0</v>
      </c>
      <c r="BS260" s="198">
        <v>0</v>
      </c>
      <c r="BT260" s="198">
        <v>0</v>
      </c>
      <c r="BU260" s="198">
        <v>0</v>
      </c>
      <c r="BV260" s="198">
        <v>0</v>
      </c>
      <c r="BW260" s="198">
        <v>0</v>
      </c>
      <c r="BX260" s="198">
        <v>0</v>
      </c>
      <c r="BY260" s="198">
        <v>0</v>
      </c>
      <c r="BZ260" s="198">
        <v>0</v>
      </c>
      <c r="CA260" s="198">
        <v>0</v>
      </c>
      <c r="CB260" s="198">
        <v>0</v>
      </c>
      <c r="CC260" s="198">
        <v>0</v>
      </c>
      <c r="CD260" s="198">
        <v>0</v>
      </c>
      <c r="CE260" s="198">
        <v>0</v>
      </c>
      <c r="CF260" s="198">
        <v>0</v>
      </c>
      <c r="CG260" s="198">
        <v>0</v>
      </c>
      <c r="CH260" s="198">
        <v>0</v>
      </c>
      <c r="CI260" s="198">
        <v>0</v>
      </c>
      <c r="CJ260" s="198">
        <v>0</v>
      </c>
      <c r="CK260" s="88"/>
    </row>
    <row r="261" spans="1:89" x14ac:dyDescent="0.3">
      <c r="A261" s="173"/>
      <c r="B261" s="197" t="s">
        <v>236</v>
      </c>
      <c r="C261" s="198">
        <v>0</v>
      </c>
      <c r="D261" s="198">
        <v>0</v>
      </c>
      <c r="E261" s="198">
        <v>0</v>
      </c>
      <c r="F261" s="198">
        <v>0</v>
      </c>
      <c r="G261" s="198">
        <v>0</v>
      </c>
      <c r="H261" s="198">
        <v>0</v>
      </c>
      <c r="I261" s="198">
        <v>0</v>
      </c>
      <c r="J261" s="198">
        <v>0</v>
      </c>
      <c r="K261" s="198">
        <v>0</v>
      </c>
      <c r="L261" s="198">
        <v>0</v>
      </c>
      <c r="M261" s="198">
        <v>0</v>
      </c>
      <c r="N261" s="198">
        <v>0</v>
      </c>
      <c r="O261" s="198">
        <v>0</v>
      </c>
      <c r="P261" s="198">
        <v>0</v>
      </c>
      <c r="Q261" s="198">
        <v>0</v>
      </c>
      <c r="R261" s="198">
        <v>0</v>
      </c>
      <c r="S261" s="198">
        <v>0</v>
      </c>
      <c r="T261" s="198">
        <v>0</v>
      </c>
      <c r="U261" s="198">
        <v>0</v>
      </c>
      <c r="V261" s="198">
        <v>0</v>
      </c>
      <c r="W261" s="198">
        <v>1000</v>
      </c>
      <c r="X261" s="198">
        <v>0</v>
      </c>
      <c r="Y261" s="198">
        <v>0</v>
      </c>
      <c r="Z261" s="198">
        <v>0</v>
      </c>
      <c r="AA261" s="198">
        <v>0</v>
      </c>
      <c r="AB261" s="198">
        <v>0</v>
      </c>
      <c r="AC261" s="198">
        <v>0</v>
      </c>
      <c r="AD261" s="198">
        <v>0</v>
      </c>
      <c r="AE261" s="198">
        <v>0</v>
      </c>
      <c r="AF261" s="198">
        <v>0</v>
      </c>
      <c r="AG261" s="198">
        <v>0</v>
      </c>
      <c r="AH261" s="198">
        <v>0</v>
      </c>
      <c r="AI261" s="198">
        <v>0</v>
      </c>
      <c r="AJ261" s="198">
        <v>0</v>
      </c>
      <c r="AK261" s="198">
        <v>0</v>
      </c>
      <c r="AL261" s="198">
        <v>0</v>
      </c>
      <c r="AM261" s="198">
        <v>0</v>
      </c>
      <c r="AN261" s="198">
        <v>0</v>
      </c>
      <c r="AO261" s="198">
        <v>0</v>
      </c>
      <c r="AP261" s="198">
        <v>0</v>
      </c>
      <c r="AQ261" s="198">
        <v>0</v>
      </c>
      <c r="AR261" s="198">
        <v>0</v>
      </c>
      <c r="AS261" s="198">
        <v>0</v>
      </c>
      <c r="AT261" s="198">
        <v>0</v>
      </c>
      <c r="AU261" s="198">
        <v>0</v>
      </c>
      <c r="AV261" s="198">
        <v>0</v>
      </c>
      <c r="AW261" s="198">
        <v>0</v>
      </c>
      <c r="AX261" s="198">
        <v>0</v>
      </c>
      <c r="AY261" s="198">
        <v>0</v>
      </c>
      <c r="AZ261" s="198">
        <v>0</v>
      </c>
      <c r="BA261" s="198">
        <v>0</v>
      </c>
      <c r="BB261" s="198">
        <v>0</v>
      </c>
      <c r="BC261" s="198">
        <v>0</v>
      </c>
      <c r="BD261" s="198">
        <v>0</v>
      </c>
      <c r="BE261" s="198">
        <v>0</v>
      </c>
      <c r="BF261" s="198">
        <v>0</v>
      </c>
      <c r="BG261" s="198">
        <v>0</v>
      </c>
      <c r="BH261" s="198">
        <v>0</v>
      </c>
      <c r="BI261" s="198">
        <v>0</v>
      </c>
      <c r="BJ261" s="198">
        <v>0</v>
      </c>
      <c r="BK261" s="198">
        <v>0</v>
      </c>
      <c r="BL261" s="198">
        <v>0</v>
      </c>
      <c r="BM261" s="198">
        <v>0</v>
      </c>
      <c r="BN261" s="198">
        <v>0</v>
      </c>
      <c r="BO261" s="198">
        <v>0</v>
      </c>
      <c r="BP261" s="198">
        <v>0</v>
      </c>
      <c r="BQ261" s="198">
        <v>0</v>
      </c>
      <c r="BR261" s="198">
        <v>0</v>
      </c>
      <c r="BS261" s="198">
        <v>0</v>
      </c>
      <c r="BT261" s="198">
        <v>0</v>
      </c>
      <c r="BU261" s="198">
        <v>0</v>
      </c>
      <c r="BV261" s="198">
        <v>0</v>
      </c>
      <c r="BW261" s="198">
        <v>0</v>
      </c>
      <c r="BX261" s="198">
        <v>0</v>
      </c>
      <c r="BY261" s="198">
        <v>0</v>
      </c>
      <c r="BZ261" s="198">
        <v>0</v>
      </c>
      <c r="CA261" s="198">
        <v>0</v>
      </c>
      <c r="CB261" s="198">
        <v>0</v>
      </c>
      <c r="CC261" s="198">
        <v>0</v>
      </c>
      <c r="CD261" s="198">
        <v>0</v>
      </c>
      <c r="CE261" s="198">
        <v>0</v>
      </c>
      <c r="CF261" s="198">
        <v>0</v>
      </c>
      <c r="CG261" s="198">
        <v>0</v>
      </c>
      <c r="CH261" s="198">
        <v>0</v>
      </c>
      <c r="CI261" s="198">
        <v>0</v>
      </c>
      <c r="CJ261" s="198">
        <v>0</v>
      </c>
      <c r="CK261" s="88"/>
    </row>
    <row r="262" spans="1:89" x14ac:dyDescent="0.3">
      <c r="A262" s="173"/>
      <c r="B262" s="197" t="s">
        <v>237</v>
      </c>
      <c r="C262" s="198">
        <v>0</v>
      </c>
      <c r="D262" s="198">
        <v>0</v>
      </c>
      <c r="E262" s="198">
        <v>0</v>
      </c>
      <c r="F262" s="198">
        <v>0</v>
      </c>
      <c r="G262" s="198">
        <v>0</v>
      </c>
      <c r="H262" s="198">
        <v>0</v>
      </c>
      <c r="I262" s="198">
        <v>0</v>
      </c>
      <c r="J262" s="198">
        <v>0</v>
      </c>
      <c r="K262" s="198">
        <v>0</v>
      </c>
      <c r="L262" s="198">
        <v>0</v>
      </c>
      <c r="M262" s="198">
        <v>0</v>
      </c>
      <c r="N262" s="198">
        <v>0</v>
      </c>
      <c r="O262" s="198">
        <v>0</v>
      </c>
      <c r="P262" s="198">
        <v>0</v>
      </c>
      <c r="Q262" s="198">
        <v>0</v>
      </c>
      <c r="R262" s="198">
        <v>0</v>
      </c>
      <c r="S262" s="198">
        <v>0</v>
      </c>
      <c r="T262" s="198">
        <v>0</v>
      </c>
      <c r="U262" s="198">
        <v>0</v>
      </c>
      <c r="V262" s="198">
        <v>0</v>
      </c>
      <c r="W262" s="198">
        <v>3000</v>
      </c>
      <c r="X262" s="198">
        <v>0</v>
      </c>
      <c r="Y262" s="198">
        <v>0</v>
      </c>
      <c r="Z262" s="198">
        <v>0</v>
      </c>
      <c r="AA262" s="198">
        <v>0</v>
      </c>
      <c r="AB262" s="198">
        <v>0</v>
      </c>
      <c r="AC262" s="198">
        <v>0</v>
      </c>
      <c r="AD262" s="198">
        <v>0</v>
      </c>
      <c r="AE262" s="198">
        <v>0</v>
      </c>
      <c r="AF262" s="198">
        <v>0</v>
      </c>
      <c r="AG262" s="198">
        <v>0</v>
      </c>
      <c r="AH262" s="198">
        <v>0</v>
      </c>
      <c r="AI262" s="198">
        <v>0</v>
      </c>
      <c r="AJ262" s="198">
        <v>0</v>
      </c>
      <c r="AK262" s="198">
        <v>0</v>
      </c>
      <c r="AL262" s="198">
        <v>0</v>
      </c>
      <c r="AM262" s="198">
        <v>0</v>
      </c>
      <c r="AN262" s="198">
        <v>0</v>
      </c>
      <c r="AO262" s="198">
        <v>0</v>
      </c>
      <c r="AP262" s="198">
        <v>0</v>
      </c>
      <c r="AQ262" s="198">
        <v>0</v>
      </c>
      <c r="AR262" s="198">
        <v>0</v>
      </c>
      <c r="AS262" s="198">
        <v>0</v>
      </c>
      <c r="AT262" s="198">
        <v>0</v>
      </c>
      <c r="AU262" s="198">
        <v>0</v>
      </c>
      <c r="AV262" s="198">
        <v>0</v>
      </c>
      <c r="AW262" s="198">
        <v>0</v>
      </c>
      <c r="AX262" s="198">
        <v>0</v>
      </c>
      <c r="AY262" s="198">
        <v>0</v>
      </c>
      <c r="AZ262" s="198">
        <v>0</v>
      </c>
      <c r="BA262" s="198">
        <v>0</v>
      </c>
      <c r="BB262" s="198">
        <v>0</v>
      </c>
      <c r="BC262" s="198">
        <v>0</v>
      </c>
      <c r="BD262" s="198">
        <v>0</v>
      </c>
      <c r="BE262" s="198">
        <v>0</v>
      </c>
      <c r="BF262" s="198">
        <v>0</v>
      </c>
      <c r="BG262" s="198">
        <v>0</v>
      </c>
      <c r="BH262" s="198">
        <v>0</v>
      </c>
      <c r="BI262" s="198">
        <v>0</v>
      </c>
      <c r="BJ262" s="198">
        <v>0</v>
      </c>
      <c r="BK262" s="198">
        <v>0</v>
      </c>
      <c r="BL262" s="198">
        <v>0</v>
      </c>
      <c r="BM262" s="198">
        <v>0</v>
      </c>
      <c r="BN262" s="198">
        <v>0</v>
      </c>
      <c r="BO262" s="198">
        <v>0</v>
      </c>
      <c r="BP262" s="198">
        <v>0</v>
      </c>
      <c r="BQ262" s="198">
        <v>0</v>
      </c>
      <c r="BR262" s="198">
        <v>0</v>
      </c>
      <c r="BS262" s="198">
        <v>0</v>
      </c>
      <c r="BT262" s="198">
        <v>0</v>
      </c>
      <c r="BU262" s="198">
        <v>0</v>
      </c>
      <c r="BV262" s="198">
        <v>0</v>
      </c>
      <c r="BW262" s="198">
        <v>0</v>
      </c>
      <c r="BX262" s="198">
        <v>0</v>
      </c>
      <c r="BY262" s="198">
        <v>0</v>
      </c>
      <c r="BZ262" s="198">
        <v>0</v>
      </c>
      <c r="CA262" s="198">
        <v>0</v>
      </c>
      <c r="CB262" s="198">
        <v>0</v>
      </c>
      <c r="CC262" s="198">
        <v>0</v>
      </c>
      <c r="CD262" s="198">
        <v>0</v>
      </c>
      <c r="CE262" s="198">
        <v>0</v>
      </c>
      <c r="CF262" s="198">
        <v>0</v>
      </c>
      <c r="CG262" s="198">
        <v>0</v>
      </c>
      <c r="CH262" s="198">
        <v>0</v>
      </c>
      <c r="CI262" s="198">
        <v>0</v>
      </c>
      <c r="CJ262" s="198">
        <v>0</v>
      </c>
      <c r="CK262" s="88"/>
    </row>
    <row r="263" spans="1:89" x14ac:dyDescent="0.3">
      <c r="A263" s="173"/>
      <c r="B263" s="197" t="s">
        <v>238</v>
      </c>
      <c r="C263" s="198">
        <v>0</v>
      </c>
      <c r="D263" s="198">
        <v>0</v>
      </c>
      <c r="E263" s="198">
        <v>0</v>
      </c>
      <c r="F263" s="198">
        <v>0</v>
      </c>
      <c r="G263" s="198">
        <v>0</v>
      </c>
      <c r="H263" s="198">
        <v>0</v>
      </c>
      <c r="I263" s="198">
        <v>0</v>
      </c>
      <c r="J263" s="198">
        <v>0</v>
      </c>
      <c r="K263" s="198">
        <v>0</v>
      </c>
      <c r="L263" s="198">
        <v>0</v>
      </c>
      <c r="M263" s="198">
        <v>0</v>
      </c>
      <c r="N263" s="198">
        <v>0</v>
      </c>
      <c r="O263" s="198">
        <v>0</v>
      </c>
      <c r="P263" s="198">
        <v>0</v>
      </c>
      <c r="Q263" s="198">
        <v>0</v>
      </c>
      <c r="R263" s="198">
        <v>0</v>
      </c>
      <c r="S263" s="198">
        <v>0</v>
      </c>
      <c r="T263" s="198">
        <v>0</v>
      </c>
      <c r="U263" s="198">
        <v>0</v>
      </c>
      <c r="V263" s="198">
        <v>0</v>
      </c>
      <c r="W263" s="198">
        <v>4500</v>
      </c>
      <c r="X263" s="198">
        <v>0</v>
      </c>
      <c r="Y263" s="198">
        <v>0</v>
      </c>
      <c r="Z263" s="198">
        <v>0</v>
      </c>
      <c r="AA263" s="198">
        <v>0</v>
      </c>
      <c r="AB263" s="198">
        <v>0</v>
      </c>
      <c r="AC263" s="198">
        <v>0</v>
      </c>
      <c r="AD263" s="198">
        <v>0</v>
      </c>
      <c r="AE263" s="198">
        <v>0</v>
      </c>
      <c r="AF263" s="198">
        <v>0</v>
      </c>
      <c r="AG263" s="198">
        <v>0</v>
      </c>
      <c r="AH263" s="198">
        <v>0</v>
      </c>
      <c r="AI263" s="198">
        <v>0</v>
      </c>
      <c r="AJ263" s="198">
        <v>0</v>
      </c>
      <c r="AK263" s="198">
        <v>0</v>
      </c>
      <c r="AL263" s="198">
        <v>0</v>
      </c>
      <c r="AM263" s="198">
        <v>0</v>
      </c>
      <c r="AN263" s="198">
        <v>0</v>
      </c>
      <c r="AO263" s="198">
        <v>0</v>
      </c>
      <c r="AP263" s="198">
        <v>0</v>
      </c>
      <c r="AQ263" s="198">
        <v>0</v>
      </c>
      <c r="AR263" s="198">
        <v>0</v>
      </c>
      <c r="AS263" s="198">
        <v>0</v>
      </c>
      <c r="AT263" s="198">
        <v>0</v>
      </c>
      <c r="AU263" s="198">
        <v>0</v>
      </c>
      <c r="AV263" s="198">
        <v>0</v>
      </c>
      <c r="AW263" s="198">
        <v>0</v>
      </c>
      <c r="AX263" s="198">
        <v>0</v>
      </c>
      <c r="AY263" s="198">
        <v>0</v>
      </c>
      <c r="AZ263" s="198">
        <v>0</v>
      </c>
      <c r="BA263" s="198">
        <v>0</v>
      </c>
      <c r="BB263" s="198">
        <v>0</v>
      </c>
      <c r="BC263" s="198">
        <v>0</v>
      </c>
      <c r="BD263" s="198">
        <v>0</v>
      </c>
      <c r="BE263" s="198">
        <v>0</v>
      </c>
      <c r="BF263" s="198">
        <v>0</v>
      </c>
      <c r="BG263" s="198">
        <v>0</v>
      </c>
      <c r="BH263" s="198">
        <v>0</v>
      </c>
      <c r="BI263" s="198">
        <v>0</v>
      </c>
      <c r="BJ263" s="198">
        <v>0</v>
      </c>
      <c r="BK263" s="198">
        <v>0</v>
      </c>
      <c r="BL263" s="198">
        <v>0</v>
      </c>
      <c r="BM263" s="198">
        <v>0</v>
      </c>
      <c r="BN263" s="198">
        <v>0</v>
      </c>
      <c r="BO263" s="198">
        <v>0</v>
      </c>
      <c r="BP263" s="198">
        <v>0</v>
      </c>
      <c r="BQ263" s="198">
        <v>0</v>
      </c>
      <c r="BR263" s="198">
        <v>0</v>
      </c>
      <c r="BS263" s="198">
        <v>0</v>
      </c>
      <c r="BT263" s="198">
        <v>0</v>
      </c>
      <c r="BU263" s="198">
        <v>0</v>
      </c>
      <c r="BV263" s="198">
        <v>0</v>
      </c>
      <c r="BW263" s="198">
        <v>0</v>
      </c>
      <c r="BX263" s="198">
        <v>0</v>
      </c>
      <c r="BY263" s="198">
        <v>0</v>
      </c>
      <c r="BZ263" s="198">
        <v>0</v>
      </c>
      <c r="CA263" s="198">
        <v>0</v>
      </c>
      <c r="CB263" s="198">
        <v>0</v>
      </c>
      <c r="CC263" s="198">
        <v>0</v>
      </c>
      <c r="CD263" s="198">
        <v>0</v>
      </c>
      <c r="CE263" s="198">
        <v>0</v>
      </c>
      <c r="CF263" s="198">
        <v>0</v>
      </c>
      <c r="CG263" s="198">
        <v>0</v>
      </c>
      <c r="CH263" s="198">
        <v>0</v>
      </c>
      <c r="CI263" s="198">
        <v>0</v>
      </c>
      <c r="CJ263" s="198">
        <v>0</v>
      </c>
      <c r="CK263" s="88"/>
    </row>
    <row r="264" spans="1:89" x14ac:dyDescent="0.3">
      <c r="A264" s="173"/>
      <c r="B264" s="197" t="s">
        <v>239</v>
      </c>
      <c r="C264" s="198">
        <v>0</v>
      </c>
      <c r="D264" s="198">
        <v>0</v>
      </c>
      <c r="E264" s="198">
        <v>0</v>
      </c>
      <c r="F264" s="198">
        <v>0</v>
      </c>
      <c r="G264" s="198">
        <v>0</v>
      </c>
      <c r="H264" s="198">
        <v>0</v>
      </c>
      <c r="I264" s="198">
        <v>0</v>
      </c>
      <c r="J264" s="198">
        <v>0</v>
      </c>
      <c r="K264" s="198">
        <v>0</v>
      </c>
      <c r="L264" s="198">
        <v>0</v>
      </c>
      <c r="M264" s="198">
        <v>0</v>
      </c>
      <c r="N264" s="198">
        <v>0</v>
      </c>
      <c r="O264" s="198">
        <v>0</v>
      </c>
      <c r="P264" s="198">
        <v>0</v>
      </c>
      <c r="Q264" s="198">
        <v>0</v>
      </c>
      <c r="R264" s="198">
        <v>0</v>
      </c>
      <c r="S264" s="198">
        <v>0</v>
      </c>
      <c r="T264" s="198">
        <v>0</v>
      </c>
      <c r="U264" s="198">
        <v>0</v>
      </c>
      <c r="V264" s="198">
        <v>0</v>
      </c>
      <c r="W264" s="198">
        <v>3750</v>
      </c>
      <c r="X264" s="198">
        <v>0</v>
      </c>
      <c r="Y264" s="198">
        <v>0</v>
      </c>
      <c r="Z264" s="198">
        <v>0</v>
      </c>
      <c r="AA264" s="198">
        <v>0</v>
      </c>
      <c r="AB264" s="198">
        <v>0</v>
      </c>
      <c r="AC264" s="198">
        <v>0</v>
      </c>
      <c r="AD264" s="198">
        <v>0</v>
      </c>
      <c r="AE264" s="198">
        <v>0</v>
      </c>
      <c r="AF264" s="198">
        <v>0</v>
      </c>
      <c r="AG264" s="198">
        <v>0</v>
      </c>
      <c r="AH264" s="198">
        <v>0</v>
      </c>
      <c r="AI264" s="198">
        <v>0</v>
      </c>
      <c r="AJ264" s="198">
        <v>0</v>
      </c>
      <c r="AK264" s="198">
        <v>0</v>
      </c>
      <c r="AL264" s="198">
        <v>0</v>
      </c>
      <c r="AM264" s="198">
        <v>0</v>
      </c>
      <c r="AN264" s="198">
        <v>0</v>
      </c>
      <c r="AO264" s="198">
        <v>0</v>
      </c>
      <c r="AP264" s="198">
        <v>0</v>
      </c>
      <c r="AQ264" s="198">
        <v>0</v>
      </c>
      <c r="AR264" s="198">
        <v>0</v>
      </c>
      <c r="AS264" s="198">
        <v>0</v>
      </c>
      <c r="AT264" s="198">
        <v>0</v>
      </c>
      <c r="AU264" s="198">
        <v>0</v>
      </c>
      <c r="AV264" s="198">
        <v>0</v>
      </c>
      <c r="AW264" s="198">
        <v>0</v>
      </c>
      <c r="AX264" s="198">
        <v>0</v>
      </c>
      <c r="AY264" s="198">
        <v>0</v>
      </c>
      <c r="AZ264" s="198">
        <v>0</v>
      </c>
      <c r="BA264" s="198">
        <v>0</v>
      </c>
      <c r="BB264" s="198">
        <v>0</v>
      </c>
      <c r="BC264" s="198">
        <v>0</v>
      </c>
      <c r="BD264" s="198">
        <v>0</v>
      </c>
      <c r="BE264" s="198">
        <v>0</v>
      </c>
      <c r="BF264" s="198">
        <v>0</v>
      </c>
      <c r="BG264" s="198">
        <v>0</v>
      </c>
      <c r="BH264" s="198">
        <v>0</v>
      </c>
      <c r="BI264" s="198">
        <v>0</v>
      </c>
      <c r="BJ264" s="198">
        <v>0</v>
      </c>
      <c r="BK264" s="198">
        <v>0</v>
      </c>
      <c r="BL264" s="198">
        <v>0</v>
      </c>
      <c r="BM264" s="198">
        <v>0</v>
      </c>
      <c r="BN264" s="198">
        <v>0</v>
      </c>
      <c r="BO264" s="198">
        <v>0</v>
      </c>
      <c r="BP264" s="198">
        <v>0</v>
      </c>
      <c r="BQ264" s="198">
        <v>0</v>
      </c>
      <c r="BR264" s="198">
        <v>0</v>
      </c>
      <c r="BS264" s="198">
        <v>0</v>
      </c>
      <c r="BT264" s="198">
        <v>0</v>
      </c>
      <c r="BU264" s="198">
        <v>0</v>
      </c>
      <c r="BV264" s="198">
        <v>0</v>
      </c>
      <c r="BW264" s="198">
        <v>0</v>
      </c>
      <c r="BX264" s="198">
        <v>0</v>
      </c>
      <c r="BY264" s="198">
        <v>0</v>
      </c>
      <c r="BZ264" s="198">
        <v>0</v>
      </c>
      <c r="CA264" s="198">
        <v>0</v>
      </c>
      <c r="CB264" s="198">
        <v>0</v>
      </c>
      <c r="CC264" s="198">
        <v>0</v>
      </c>
      <c r="CD264" s="198">
        <v>0</v>
      </c>
      <c r="CE264" s="198">
        <v>0</v>
      </c>
      <c r="CF264" s="198">
        <v>0</v>
      </c>
      <c r="CG264" s="198">
        <v>0</v>
      </c>
      <c r="CH264" s="198">
        <v>0</v>
      </c>
      <c r="CI264" s="198">
        <v>0</v>
      </c>
      <c r="CJ264" s="198">
        <v>0</v>
      </c>
      <c r="CK264" s="88"/>
    </row>
    <row r="265" spans="1:89" x14ac:dyDescent="0.3">
      <c r="A265" s="173"/>
      <c r="B265" s="197" t="s">
        <v>240</v>
      </c>
      <c r="C265" s="198">
        <v>0</v>
      </c>
      <c r="D265" s="198">
        <v>0</v>
      </c>
      <c r="E265" s="198">
        <v>0</v>
      </c>
      <c r="F265" s="198">
        <v>0</v>
      </c>
      <c r="G265" s="198">
        <v>0</v>
      </c>
      <c r="H265" s="198">
        <v>0</v>
      </c>
      <c r="I265" s="198">
        <v>0</v>
      </c>
      <c r="J265" s="198">
        <v>0</v>
      </c>
      <c r="K265" s="198">
        <v>0</v>
      </c>
      <c r="L265" s="198">
        <v>0</v>
      </c>
      <c r="M265" s="198">
        <v>0</v>
      </c>
      <c r="N265" s="198">
        <v>0</v>
      </c>
      <c r="O265" s="198">
        <v>0</v>
      </c>
      <c r="P265" s="198">
        <v>0</v>
      </c>
      <c r="Q265" s="198">
        <v>0</v>
      </c>
      <c r="R265" s="198">
        <v>0</v>
      </c>
      <c r="S265" s="198">
        <v>0</v>
      </c>
      <c r="T265" s="198">
        <v>0</v>
      </c>
      <c r="U265" s="198">
        <v>0</v>
      </c>
      <c r="V265" s="198">
        <v>0</v>
      </c>
      <c r="W265" s="198">
        <v>1750</v>
      </c>
      <c r="X265" s="198">
        <v>0</v>
      </c>
      <c r="Y265" s="198">
        <v>0</v>
      </c>
      <c r="Z265" s="198">
        <v>0</v>
      </c>
      <c r="AA265" s="198">
        <v>0</v>
      </c>
      <c r="AB265" s="198">
        <v>0</v>
      </c>
      <c r="AC265" s="198">
        <v>0</v>
      </c>
      <c r="AD265" s="198">
        <v>0</v>
      </c>
      <c r="AE265" s="198">
        <v>0</v>
      </c>
      <c r="AF265" s="198">
        <v>0</v>
      </c>
      <c r="AG265" s="198">
        <v>0</v>
      </c>
      <c r="AH265" s="198">
        <v>0</v>
      </c>
      <c r="AI265" s="198">
        <v>0</v>
      </c>
      <c r="AJ265" s="198">
        <v>0</v>
      </c>
      <c r="AK265" s="198">
        <v>0</v>
      </c>
      <c r="AL265" s="198">
        <v>0</v>
      </c>
      <c r="AM265" s="198">
        <v>0</v>
      </c>
      <c r="AN265" s="198">
        <v>0</v>
      </c>
      <c r="AO265" s="198">
        <v>0</v>
      </c>
      <c r="AP265" s="198">
        <v>0</v>
      </c>
      <c r="AQ265" s="198">
        <v>0</v>
      </c>
      <c r="AR265" s="198">
        <v>0</v>
      </c>
      <c r="AS265" s="198">
        <v>0</v>
      </c>
      <c r="AT265" s="198">
        <v>0</v>
      </c>
      <c r="AU265" s="198">
        <v>0</v>
      </c>
      <c r="AV265" s="198">
        <v>0</v>
      </c>
      <c r="AW265" s="198">
        <v>0</v>
      </c>
      <c r="AX265" s="198">
        <v>0</v>
      </c>
      <c r="AY265" s="198">
        <v>0</v>
      </c>
      <c r="AZ265" s="198">
        <v>0</v>
      </c>
      <c r="BA265" s="198">
        <v>0</v>
      </c>
      <c r="BB265" s="198">
        <v>0</v>
      </c>
      <c r="BC265" s="198">
        <v>0</v>
      </c>
      <c r="BD265" s="198">
        <v>0</v>
      </c>
      <c r="BE265" s="198">
        <v>0</v>
      </c>
      <c r="BF265" s="198">
        <v>0</v>
      </c>
      <c r="BG265" s="198">
        <v>0</v>
      </c>
      <c r="BH265" s="198">
        <v>0</v>
      </c>
      <c r="BI265" s="198">
        <v>0</v>
      </c>
      <c r="BJ265" s="198">
        <v>0</v>
      </c>
      <c r="BK265" s="198">
        <v>0</v>
      </c>
      <c r="BL265" s="198">
        <v>0</v>
      </c>
      <c r="BM265" s="198">
        <v>0</v>
      </c>
      <c r="BN265" s="198">
        <v>0</v>
      </c>
      <c r="BO265" s="198">
        <v>0</v>
      </c>
      <c r="BP265" s="198">
        <v>0</v>
      </c>
      <c r="BQ265" s="198">
        <v>0</v>
      </c>
      <c r="BR265" s="198">
        <v>0</v>
      </c>
      <c r="BS265" s="198">
        <v>0</v>
      </c>
      <c r="BT265" s="198">
        <v>0</v>
      </c>
      <c r="BU265" s="198">
        <v>0</v>
      </c>
      <c r="BV265" s="198">
        <v>0</v>
      </c>
      <c r="BW265" s="198">
        <v>0</v>
      </c>
      <c r="BX265" s="198">
        <v>0</v>
      </c>
      <c r="BY265" s="198">
        <v>0</v>
      </c>
      <c r="BZ265" s="198">
        <v>0</v>
      </c>
      <c r="CA265" s="198">
        <v>0</v>
      </c>
      <c r="CB265" s="198">
        <v>0</v>
      </c>
      <c r="CC265" s="198">
        <v>0</v>
      </c>
      <c r="CD265" s="198">
        <v>0</v>
      </c>
      <c r="CE265" s="198">
        <v>0</v>
      </c>
      <c r="CF265" s="198">
        <v>0</v>
      </c>
      <c r="CG265" s="198">
        <v>0</v>
      </c>
      <c r="CH265" s="198">
        <v>0</v>
      </c>
      <c r="CI265" s="198">
        <v>0</v>
      </c>
      <c r="CJ265" s="198">
        <v>0</v>
      </c>
      <c r="CK265" s="88"/>
    </row>
    <row r="266" spans="1:89" x14ac:dyDescent="0.3">
      <c r="A266" s="173"/>
      <c r="B266" s="197" t="s">
        <v>241</v>
      </c>
      <c r="C266" s="198">
        <v>0</v>
      </c>
      <c r="D266" s="198">
        <v>0</v>
      </c>
      <c r="E266" s="198">
        <v>0</v>
      </c>
      <c r="F266" s="198">
        <v>0</v>
      </c>
      <c r="G266" s="198">
        <v>0</v>
      </c>
      <c r="H266" s="198">
        <v>0</v>
      </c>
      <c r="I266" s="198">
        <v>0</v>
      </c>
      <c r="J266" s="198">
        <v>0</v>
      </c>
      <c r="K266" s="198">
        <v>0</v>
      </c>
      <c r="L266" s="198">
        <v>0</v>
      </c>
      <c r="M266" s="198">
        <v>0</v>
      </c>
      <c r="N266" s="198">
        <v>0</v>
      </c>
      <c r="O266" s="198">
        <v>0</v>
      </c>
      <c r="P266" s="198">
        <v>0</v>
      </c>
      <c r="Q266" s="198">
        <v>0</v>
      </c>
      <c r="R266" s="198">
        <v>0</v>
      </c>
      <c r="S266" s="198">
        <v>0</v>
      </c>
      <c r="T266" s="198">
        <v>0</v>
      </c>
      <c r="U266" s="198">
        <v>0</v>
      </c>
      <c r="V266" s="198">
        <v>0</v>
      </c>
      <c r="W266" s="198">
        <v>2750</v>
      </c>
      <c r="X266" s="198">
        <v>0</v>
      </c>
      <c r="Y266" s="198">
        <v>0</v>
      </c>
      <c r="Z266" s="198">
        <v>0</v>
      </c>
      <c r="AA266" s="198">
        <v>0</v>
      </c>
      <c r="AB266" s="198">
        <v>0</v>
      </c>
      <c r="AC266" s="198">
        <v>0</v>
      </c>
      <c r="AD266" s="198">
        <v>0</v>
      </c>
      <c r="AE266" s="198">
        <v>0</v>
      </c>
      <c r="AF266" s="198">
        <v>0</v>
      </c>
      <c r="AG266" s="198">
        <v>0</v>
      </c>
      <c r="AH266" s="198">
        <v>0</v>
      </c>
      <c r="AI266" s="198">
        <v>0</v>
      </c>
      <c r="AJ266" s="198">
        <v>0</v>
      </c>
      <c r="AK266" s="198">
        <v>0</v>
      </c>
      <c r="AL266" s="198">
        <v>0</v>
      </c>
      <c r="AM266" s="198">
        <v>0</v>
      </c>
      <c r="AN266" s="198">
        <v>0</v>
      </c>
      <c r="AO266" s="198">
        <v>0</v>
      </c>
      <c r="AP266" s="198">
        <v>0</v>
      </c>
      <c r="AQ266" s="198">
        <v>0</v>
      </c>
      <c r="AR266" s="198">
        <v>0</v>
      </c>
      <c r="AS266" s="198">
        <v>0</v>
      </c>
      <c r="AT266" s="198">
        <v>0</v>
      </c>
      <c r="AU266" s="198">
        <v>0</v>
      </c>
      <c r="AV266" s="198">
        <v>0</v>
      </c>
      <c r="AW266" s="198">
        <v>0</v>
      </c>
      <c r="AX266" s="198">
        <v>0</v>
      </c>
      <c r="AY266" s="198">
        <v>0</v>
      </c>
      <c r="AZ266" s="198">
        <v>0</v>
      </c>
      <c r="BA266" s="198">
        <v>0</v>
      </c>
      <c r="BB266" s="198">
        <v>0</v>
      </c>
      <c r="BC266" s="198">
        <v>0</v>
      </c>
      <c r="BD266" s="198">
        <v>0</v>
      </c>
      <c r="BE266" s="198">
        <v>0</v>
      </c>
      <c r="BF266" s="198">
        <v>0</v>
      </c>
      <c r="BG266" s="198">
        <v>0</v>
      </c>
      <c r="BH266" s="198">
        <v>0</v>
      </c>
      <c r="BI266" s="198">
        <v>0</v>
      </c>
      <c r="BJ266" s="198">
        <v>0</v>
      </c>
      <c r="BK266" s="198">
        <v>0</v>
      </c>
      <c r="BL266" s="198">
        <v>0</v>
      </c>
      <c r="BM266" s="198">
        <v>0</v>
      </c>
      <c r="BN266" s="198">
        <v>0</v>
      </c>
      <c r="BO266" s="198">
        <v>0</v>
      </c>
      <c r="BP266" s="198">
        <v>0</v>
      </c>
      <c r="BQ266" s="198">
        <v>0</v>
      </c>
      <c r="BR266" s="198">
        <v>0</v>
      </c>
      <c r="BS266" s="198">
        <v>0</v>
      </c>
      <c r="BT266" s="198">
        <v>0</v>
      </c>
      <c r="BU266" s="198">
        <v>0</v>
      </c>
      <c r="BV266" s="198">
        <v>0</v>
      </c>
      <c r="BW266" s="198">
        <v>0</v>
      </c>
      <c r="BX266" s="198">
        <v>0</v>
      </c>
      <c r="BY266" s="198">
        <v>0</v>
      </c>
      <c r="BZ266" s="198">
        <v>0</v>
      </c>
      <c r="CA266" s="198">
        <v>0</v>
      </c>
      <c r="CB266" s="198">
        <v>0</v>
      </c>
      <c r="CC266" s="198">
        <v>0</v>
      </c>
      <c r="CD266" s="198">
        <v>0</v>
      </c>
      <c r="CE266" s="198">
        <v>0</v>
      </c>
      <c r="CF266" s="198">
        <v>0</v>
      </c>
      <c r="CG266" s="198">
        <v>0</v>
      </c>
      <c r="CH266" s="198">
        <v>0</v>
      </c>
      <c r="CI266" s="198">
        <v>0</v>
      </c>
      <c r="CJ266" s="198">
        <v>0</v>
      </c>
      <c r="CK266" s="88"/>
    </row>
    <row r="267" spans="1:89" x14ac:dyDescent="0.3">
      <c r="A267" s="173"/>
      <c r="B267" s="197" t="s">
        <v>242</v>
      </c>
      <c r="C267" s="198">
        <v>0</v>
      </c>
      <c r="D267" s="198">
        <v>0</v>
      </c>
      <c r="E267" s="198">
        <v>0</v>
      </c>
      <c r="F267" s="198">
        <v>0</v>
      </c>
      <c r="G267" s="198">
        <v>0</v>
      </c>
      <c r="H267" s="198">
        <v>0</v>
      </c>
      <c r="I267" s="198">
        <v>0</v>
      </c>
      <c r="J267" s="198">
        <v>0</v>
      </c>
      <c r="K267" s="198">
        <v>0</v>
      </c>
      <c r="L267" s="198">
        <v>0</v>
      </c>
      <c r="M267" s="198">
        <v>0</v>
      </c>
      <c r="N267" s="198">
        <v>0</v>
      </c>
      <c r="O267" s="198">
        <v>0</v>
      </c>
      <c r="P267" s="198">
        <v>0</v>
      </c>
      <c r="Q267" s="198">
        <v>0</v>
      </c>
      <c r="R267" s="198">
        <v>0</v>
      </c>
      <c r="S267" s="198">
        <v>0</v>
      </c>
      <c r="T267" s="198">
        <v>0</v>
      </c>
      <c r="U267" s="198">
        <v>0</v>
      </c>
      <c r="V267" s="198">
        <v>0</v>
      </c>
      <c r="W267" s="198">
        <v>6500</v>
      </c>
      <c r="X267" s="198">
        <v>0</v>
      </c>
      <c r="Y267" s="198">
        <v>0</v>
      </c>
      <c r="Z267" s="198">
        <v>0</v>
      </c>
      <c r="AA267" s="198">
        <v>0</v>
      </c>
      <c r="AB267" s="198">
        <v>0</v>
      </c>
      <c r="AC267" s="198">
        <v>0</v>
      </c>
      <c r="AD267" s="198">
        <v>0</v>
      </c>
      <c r="AE267" s="198">
        <v>0</v>
      </c>
      <c r="AF267" s="198">
        <v>0</v>
      </c>
      <c r="AG267" s="198">
        <v>0</v>
      </c>
      <c r="AH267" s="198">
        <v>0</v>
      </c>
      <c r="AI267" s="198">
        <v>0</v>
      </c>
      <c r="AJ267" s="198">
        <v>0</v>
      </c>
      <c r="AK267" s="198">
        <v>0</v>
      </c>
      <c r="AL267" s="198">
        <v>0</v>
      </c>
      <c r="AM267" s="198">
        <v>0</v>
      </c>
      <c r="AN267" s="198">
        <v>0</v>
      </c>
      <c r="AO267" s="198">
        <v>0</v>
      </c>
      <c r="AP267" s="198">
        <v>0</v>
      </c>
      <c r="AQ267" s="198">
        <v>0</v>
      </c>
      <c r="AR267" s="198">
        <v>0</v>
      </c>
      <c r="AS267" s="198">
        <v>0</v>
      </c>
      <c r="AT267" s="198">
        <v>0</v>
      </c>
      <c r="AU267" s="198">
        <v>0</v>
      </c>
      <c r="AV267" s="198">
        <v>0</v>
      </c>
      <c r="AW267" s="198">
        <v>0</v>
      </c>
      <c r="AX267" s="198">
        <v>0</v>
      </c>
      <c r="AY267" s="198">
        <v>0</v>
      </c>
      <c r="AZ267" s="198">
        <v>0</v>
      </c>
      <c r="BA267" s="198">
        <v>0</v>
      </c>
      <c r="BB267" s="198">
        <v>0</v>
      </c>
      <c r="BC267" s="198">
        <v>0</v>
      </c>
      <c r="BD267" s="198">
        <v>0</v>
      </c>
      <c r="BE267" s="198">
        <v>0</v>
      </c>
      <c r="BF267" s="198">
        <v>0</v>
      </c>
      <c r="BG267" s="198">
        <v>0</v>
      </c>
      <c r="BH267" s="198">
        <v>0</v>
      </c>
      <c r="BI267" s="198">
        <v>0</v>
      </c>
      <c r="BJ267" s="198">
        <v>0</v>
      </c>
      <c r="BK267" s="198">
        <v>0</v>
      </c>
      <c r="BL267" s="198">
        <v>0</v>
      </c>
      <c r="BM267" s="198">
        <v>0</v>
      </c>
      <c r="BN267" s="198">
        <v>0</v>
      </c>
      <c r="BO267" s="198">
        <v>0</v>
      </c>
      <c r="BP267" s="198">
        <v>0</v>
      </c>
      <c r="BQ267" s="198">
        <v>0</v>
      </c>
      <c r="BR267" s="198">
        <v>0</v>
      </c>
      <c r="BS267" s="198">
        <v>0</v>
      </c>
      <c r="BT267" s="198">
        <v>0</v>
      </c>
      <c r="BU267" s="198">
        <v>0</v>
      </c>
      <c r="BV267" s="198">
        <v>0</v>
      </c>
      <c r="BW267" s="198">
        <v>0</v>
      </c>
      <c r="BX267" s="198">
        <v>0</v>
      </c>
      <c r="BY267" s="198">
        <v>0</v>
      </c>
      <c r="BZ267" s="198">
        <v>0</v>
      </c>
      <c r="CA267" s="198">
        <v>0</v>
      </c>
      <c r="CB267" s="198">
        <v>0</v>
      </c>
      <c r="CC267" s="198">
        <v>0</v>
      </c>
      <c r="CD267" s="198">
        <v>0</v>
      </c>
      <c r="CE267" s="198">
        <v>0</v>
      </c>
      <c r="CF267" s="198">
        <v>0</v>
      </c>
      <c r="CG267" s="198">
        <v>0</v>
      </c>
      <c r="CH267" s="198">
        <v>0</v>
      </c>
      <c r="CI267" s="198">
        <v>0</v>
      </c>
      <c r="CJ267" s="198">
        <v>0</v>
      </c>
      <c r="CK267" s="88"/>
    </row>
    <row r="268" spans="1:89" x14ac:dyDescent="0.3">
      <c r="A268" s="173"/>
      <c r="B268" s="197" t="s">
        <v>243</v>
      </c>
      <c r="C268" s="198">
        <v>0</v>
      </c>
      <c r="D268" s="198">
        <v>0</v>
      </c>
      <c r="E268" s="198">
        <v>0</v>
      </c>
      <c r="F268" s="198">
        <v>0</v>
      </c>
      <c r="G268" s="198">
        <v>0</v>
      </c>
      <c r="H268" s="198">
        <v>0</v>
      </c>
      <c r="I268" s="198">
        <v>0</v>
      </c>
      <c r="J268" s="198">
        <v>0</v>
      </c>
      <c r="K268" s="198">
        <v>0</v>
      </c>
      <c r="L268" s="198">
        <v>0</v>
      </c>
      <c r="M268" s="198">
        <v>0</v>
      </c>
      <c r="N268" s="198">
        <v>0</v>
      </c>
      <c r="O268" s="198">
        <v>0</v>
      </c>
      <c r="P268" s="198">
        <v>0</v>
      </c>
      <c r="Q268" s="198">
        <v>0</v>
      </c>
      <c r="R268" s="198">
        <v>0</v>
      </c>
      <c r="S268" s="198">
        <v>0</v>
      </c>
      <c r="T268" s="198">
        <v>0</v>
      </c>
      <c r="U268" s="198">
        <v>0</v>
      </c>
      <c r="V268" s="198">
        <v>0</v>
      </c>
      <c r="W268" s="198">
        <v>2750</v>
      </c>
      <c r="X268" s="198">
        <v>0</v>
      </c>
      <c r="Y268" s="198">
        <v>0</v>
      </c>
      <c r="Z268" s="198">
        <v>0</v>
      </c>
      <c r="AA268" s="198">
        <v>0</v>
      </c>
      <c r="AB268" s="198">
        <v>0</v>
      </c>
      <c r="AC268" s="198">
        <v>0</v>
      </c>
      <c r="AD268" s="198">
        <v>0</v>
      </c>
      <c r="AE268" s="198">
        <v>0</v>
      </c>
      <c r="AF268" s="198">
        <v>0</v>
      </c>
      <c r="AG268" s="198">
        <v>0</v>
      </c>
      <c r="AH268" s="198">
        <v>0</v>
      </c>
      <c r="AI268" s="198">
        <v>0</v>
      </c>
      <c r="AJ268" s="198">
        <v>0</v>
      </c>
      <c r="AK268" s="198">
        <v>0</v>
      </c>
      <c r="AL268" s="198">
        <v>0</v>
      </c>
      <c r="AM268" s="198">
        <v>0</v>
      </c>
      <c r="AN268" s="198">
        <v>0</v>
      </c>
      <c r="AO268" s="198">
        <v>0</v>
      </c>
      <c r="AP268" s="198">
        <v>0</v>
      </c>
      <c r="AQ268" s="198">
        <v>0</v>
      </c>
      <c r="AR268" s="198">
        <v>0</v>
      </c>
      <c r="AS268" s="198">
        <v>0</v>
      </c>
      <c r="AT268" s="198">
        <v>0</v>
      </c>
      <c r="AU268" s="198">
        <v>0</v>
      </c>
      <c r="AV268" s="198">
        <v>0</v>
      </c>
      <c r="AW268" s="198">
        <v>0</v>
      </c>
      <c r="AX268" s="198">
        <v>0</v>
      </c>
      <c r="AY268" s="198">
        <v>0</v>
      </c>
      <c r="AZ268" s="198">
        <v>0</v>
      </c>
      <c r="BA268" s="198">
        <v>0</v>
      </c>
      <c r="BB268" s="198">
        <v>0</v>
      </c>
      <c r="BC268" s="198">
        <v>0</v>
      </c>
      <c r="BD268" s="198">
        <v>0</v>
      </c>
      <c r="BE268" s="198">
        <v>0</v>
      </c>
      <c r="BF268" s="198">
        <v>0</v>
      </c>
      <c r="BG268" s="198">
        <v>0</v>
      </c>
      <c r="BH268" s="198">
        <v>0</v>
      </c>
      <c r="BI268" s="198">
        <v>0</v>
      </c>
      <c r="BJ268" s="198">
        <v>0</v>
      </c>
      <c r="BK268" s="198">
        <v>0</v>
      </c>
      <c r="BL268" s="198">
        <v>0</v>
      </c>
      <c r="BM268" s="198">
        <v>0</v>
      </c>
      <c r="BN268" s="198">
        <v>0</v>
      </c>
      <c r="BO268" s="198">
        <v>0</v>
      </c>
      <c r="BP268" s="198">
        <v>0</v>
      </c>
      <c r="BQ268" s="198">
        <v>0</v>
      </c>
      <c r="BR268" s="198">
        <v>0</v>
      </c>
      <c r="BS268" s="198">
        <v>0</v>
      </c>
      <c r="BT268" s="198">
        <v>0</v>
      </c>
      <c r="BU268" s="198">
        <v>0</v>
      </c>
      <c r="BV268" s="198">
        <v>0</v>
      </c>
      <c r="BW268" s="198">
        <v>0</v>
      </c>
      <c r="BX268" s="198">
        <v>0</v>
      </c>
      <c r="BY268" s="198">
        <v>0</v>
      </c>
      <c r="BZ268" s="198">
        <v>0</v>
      </c>
      <c r="CA268" s="198">
        <v>0</v>
      </c>
      <c r="CB268" s="198">
        <v>0</v>
      </c>
      <c r="CC268" s="198">
        <v>0</v>
      </c>
      <c r="CD268" s="198">
        <v>0</v>
      </c>
      <c r="CE268" s="198">
        <v>0</v>
      </c>
      <c r="CF268" s="198">
        <v>0</v>
      </c>
      <c r="CG268" s="198">
        <v>0</v>
      </c>
      <c r="CH268" s="198">
        <v>0</v>
      </c>
      <c r="CI268" s="198">
        <v>0</v>
      </c>
      <c r="CJ268" s="198">
        <v>0</v>
      </c>
      <c r="CK268" s="88"/>
    </row>
    <row r="269" spans="1:89" x14ac:dyDescent="0.3">
      <c r="A269" s="173"/>
      <c r="B269" s="197" t="s">
        <v>244</v>
      </c>
      <c r="C269" s="198">
        <v>0</v>
      </c>
      <c r="D269" s="198">
        <v>0</v>
      </c>
      <c r="E269" s="198">
        <v>0</v>
      </c>
      <c r="F269" s="198">
        <v>0</v>
      </c>
      <c r="G269" s="198">
        <v>0</v>
      </c>
      <c r="H269" s="198">
        <v>0</v>
      </c>
      <c r="I269" s="198">
        <v>0</v>
      </c>
      <c r="J269" s="198">
        <v>0</v>
      </c>
      <c r="K269" s="198">
        <v>0</v>
      </c>
      <c r="L269" s="198">
        <v>0</v>
      </c>
      <c r="M269" s="198">
        <v>0</v>
      </c>
      <c r="N269" s="198">
        <v>0</v>
      </c>
      <c r="O269" s="198">
        <v>0</v>
      </c>
      <c r="P269" s="198">
        <v>0</v>
      </c>
      <c r="Q269" s="198">
        <v>0</v>
      </c>
      <c r="R269" s="198">
        <v>0</v>
      </c>
      <c r="S269" s="198">
        <v>0</v>
      </c>
      <c r="T269" s="198">
        <v>0</v>
      </c>
      <c r="U269" s="198">
        <v>0</v>
      </c>
      <c r="V269" s="198">
        <v>0</v>
      </c>
      <c r="W269" s="198">
        <v>1193.5999999999999</v>
      </c>
      <c r="X269" s="198">
        <v>0</v>
      </c>
      <c r="Y269" s="198">
        <v>0</v>
      </c>
      <c r="Z269" s="198">
        <v>0</v>
      </c>
      <c r="AA269" s="198">
        <v>0</v>
      </c>
      <c r="AB269" s="198">
        <v>0</v>
      </c>
      <c r="AC269" s="198">
        <v>0</v>
      </c>
      <c r="AD269" s="198">
        <v>0</v>
      </c>
      <c r="AE269" s="198">
        <v>0</v>
      </c>
      <c r="AF269" s="198">
        <v>0</v>
      </c>
      <c r="AG269" s="198">
        <v>0</v>
      </c>
      <c r="AH269" s="198">
        <v>0</v>
      </c>
      <c r="AI269" s="198">
        <v>0</v>
      </c>
      <c r="AJ269" s="198">
        <v>0</v>
      </c>
      <c r="AK269" s="198">
        <v>0</v>
      </c>
      <c r="AL269" s="198">
        <v>0</v>
      </c>
      <c r="AM269" s="198">
        <v>0</v>
      </c>
      <c r="AN269" s="198">
        <v>0</v>
      </c>
      <c r="AO269" s="198">
        <v>0</v>
      </c>
      <c r="AP269" s="198">
        <v>0</v>
      </c>
      <c r="AQ269" s="198">
        <v>0</v>
      </c>
      <c r="AR269" s="198">
        <v>0</v>
      </c>
      <c r="AS269" s="198">
        <v>0</v>
      </c>
      <c r="AT269" s="198">
        <v>0</v>
      </c>
      <c r="AU269" s="198">
        <v>0</v>
      </c>
      <c r="AV269" s="198">
        <v>0</v>
      </c>
      <c r="AW269" s="198">
        <v>0</v>
      </c>
      <c r="AX269" s="198">
        <v>0</v>
      </c>
      <c r="AY269" s="198">
        <v>0</v>
      </c>
      <c r="AZ269" s="198">
        <v>0</v>
      </c>
      <c r="BA269" s="198">
        <v>0</v>
      </c>
      <c r="BB269" s="198">
        <v>0</v>
      </c>
      <c r="BC269" s="198">
        <v>0</v>
      </c>
      <c r="BD269" s="198">
        <v>0</v>
      </c>
      <c r="BE269" s="198">
        <v>0</v>
      </c>
      <c r="BF269" s="198">
        <v>0</v>
      </c>
      <c r="BG269" s="198">
        <v>0</v>
      </c>
      <c r="BH269" s="198">
        <v>0</v>
      </c>
      <c r="BI269" s="198">
        <v>0</v>
      </c>
      <c r="BJ269" s="198">
        <v>0</v>
      </c>
      <c r="BK269" s="198">
        <v>0</v>
      </c>
      <c r="BL269" s="198">
        <v>0</v>
      </c>
      <c r="BM269" s="198">
        <v>0</v>
      </c>
      <c r="BN269" s="198">
        <v>0</v>
      </c>
      <c r="BO269" s="198">
        <v>0</v>
      </c>
      <c r="BP269" s="198">
        <v>0</v>
      </c>
      <c r="BQ269" s="198">
        <v>0</v>
      </c>
      <c r="BR269" s="198">
        <v>0</v>
      </c>
      <c r="BS269" s="198">
        <v>0</v>
      </c>
      <c r="BT269" s="198">
        <v>0</v>
      </c>
      <c r="BU269" s="198">
        <v>0</v>
      </c>
      <c r="BV269" s="198">
        <v>0</v>
      </c>
      <c r="BW269" s="198">
        <v>0</v>
      </c>
      <c r="BX269" s="198">
        <v>0</v>
      </c>
      <c r="BY269" s="198">
        <v>0</v>
      </c>
      <c r="BZ269" s="198">
        <v>0</v>
      </c>
      <c r="CA269" s="198">
        <v>0</v>
      </c>
      <c r="CB269" s="198">
        <v>0</v>
      </c>
      <c r="CC269" s="198">
        <v>0</v>
      </c>
      <c r="CD269" s="198">
        <v>0</v>
      </c>
      <c r="CE269" s="198">
        <v>0</v>
      </c>
      <c r="CF269" s="198">
        <v>0</v>
      </c>
      <c r="CG269" s="198">
        <v>0</v>
      </c>
      <c r="CH269" s="198">
        <v>0</v>
      </c>
      <c r="CI269" s="198">
        <v>0</v>
      </c>
      <c r="CJ269" s="198">
        <v>0</v>
      </c>
      <c r="CK269" s="88"/>
    </row>
    <row r="270" spans="1:89" x14ac:dyDescent="0.3">
      <c r="A270" s="173"/>
      <c r="B270" s="197" t="s">
        <v>245</v>
      </c>
      <c r="C270" s="198">
        <v>0</v>
      </c>
      <c r="D270" s="198">
        <v>0</v>
      </c>
      <c r="E270" s="198">
        <v>0</v>
      </c>
      <c r="F270" s="198">
        <v>0</v>
      </c>
      <c r="G270" s="198">
        <v>0</v>
      </c>
      <c r="H270" s="198">
        <v>0</v>
      </c>
      <c r="I270" s="198">
        <v>0</v>
      </c>
      <c r="J270" s="198">
        <v>0</v>
      </c>
      <c r="K270" s="198">
        <v>0</v>
      </c>
      <c r="L270" s="198">
        <v>0</v>
      </c>
      <c r="M270" s="198">
        <v>0</v>
      </c>
      <c r="N270" s="198">
        <v>0</v>
      </c>
      <c r="O270" s="198">
        <v>0</v>
      </c>
      <c r="P270" s="198">
        <v>0</v>
      </c>
      <c r="Q270" s="198">
        <v>0</v>
      </c>
      <c r="R270" s="198">
        <v>0</v>
      </c>
      <c r="S270" s="198">
        <v>0</v>
      </c>
      <c r="T270" s="198">
        <v>0</v>
      </c>
      <c r="U270" s="198">
        <v>0</v>
      </c>
      <c r="V270" s="198">
        <v>0</v>
      </c>
      <c r="W270" s="198">
        <v>1492</v>
      </c>
      <c r="X270" s="198">
        <v>0</v>
      </c>
      <c r="Y270" s="198">
        <v>0</v>
      </c>
      <c r="Z270" s="198">
        <v>0</v>
      </c>
      <c r="AA270" s="198">
        <v>0</v>
      </c>
      <c r="AB270" s="198">
        <v>0</v>
      </c>
      <c r="AC270" s="198">
        <v>0</v>
      </c>
      <c r="AD270" s="198">
        <v>0</v>
      </c>
      <c r="AE270" s="198">
        <v>0</v>
      </c>
      <c r="AF270" s="198">
        <v>0</v>
      </c>
      <c r="AG270" s="198">
        <v>0</v>
      </c>
      <c r="AH270" s="198">
        <v>0</v>
      </c>
      <c r="AI270" s="198">
        <v>0</v>
      </c>
      <c r="AJ270" s="198">
        <v>0</v>
      </c>
      <c r="AK270" s="198">
        <v>0</v>
      </c>
      <c r="AL270" s="198">
        <v>0</v>
      </c>
      <c r="AM270" s="198">
        <v>0</v>
      </c>
      <c r="AN270" s="198">
        <v>0</v>
      </c>
      <c r="AO270" s="198">
        <v>0</v>
      </c>
      <c r="AP270" s="198">
        <v>0</v>
      </c>
      <c r="AQ270" s="198">
        <v>0</v>
      </c>
      <c r="AR270" s="198">
        <v>0</v>
      </c>
      <c r="AS270" s="198">
        <v>0</v>
      </c>
      <c r="AT270" s="198">
        <v>0</v>
      </c>
      <c r="AU270" s="198">
        <v>0</v>
      </c>
      <c r="AV270" s="198">
        <v>0</v>
      </c>
      <c r="AW270" s="198">
        <v>0</v>
      </c>
      <c r="AX270" s="198">
        <v>0</v>
      </c>
      <c r="AY270" s="198">
        <v>0</v>
      </c>
      <c r="AZ270" s="198">
        <v>0</v>
      </c>
      <c r="BA270" s="198">
        <v>0</v>
      </c>
      <c r="BB270" s="198">
        <v>0</v>
      </c>
      <c r="BC270" s="198">
        <v>0</v>
      </c>
      <c r="BD270" s="198">
        <v>0</v>
      </c>
      <c r="BE270" s="198">
        <v>0</v>
      </c>
      <c r="BF270" s="198">
        <v>0</v>
      </c>
      <c r="BG270" s="198">
        <v>0</v>
      </c>
      <c r="BH270" s="198">
        <v>0</v>
      </c>
      <c r="BI270" s="198">
        <v>0</v>
      </c>
      <c r="BJ270" s="198">
        <v>0</v>
      </c>
      <c r="BK270" s="198">
        <v>0</v>
      </c>
      <c r="BL270" s="198">
        <v>0</v>
      </c>
      <c r="BM270" s="198">
        <v>0</v>
      </c>
      <c r="BN270" s="198">
        <v>0</v>
      </c>
      <c r="BO270" s="198">
        <v>0</v>
      </c>
      <c r="BP270" s="198">
        <v>0</v>
      </c>
      <c r="BQ270" s="198">
        <v>0</v>
      </c>
      <c r="BR270" s="198">
        <v>0</v>
      </c>
      <c r="BS270" s="198">
        <v>0</v>
      </c>
      <c r="BT270" s="198">
        <v>0</v>
      </c>
      <c r="BU270" s="198">
        <v>0</v>
      </c>
      <c r="BV270" s="198">
        <v>0</v>
      </c>
      <c r="BW270" s="198">
        <v>0</v>
      </c>
      <c r="BX270" s="198">
        <v>0</v>
      </c>
      <c r="BY270" s="198">
        <v>0</v>
      </c>
      <c r="BZ270" s="198">
        <v>0</v>
      </c>
      <c r="CA270" s="198">
        <v>0</v>
      </c>
      <c r="CB270" s="198">
        <v>0</v>
      </c>
      <c r="CC270" s="198">
        <v>0</v>
      </c>
      <c r="CD270" s="198">
        <v>0</v>
      </c>
      <c r="CE270" s="198">
        <v>0</v>
      </c>
      <c r="CF270" s="198">
        <v>0</v>
      </c>
      <c r="CG270" s="198">
        <v>0</v>
      </c>
      <c r="CH270" s="198">
        <v>0</v>
      </c>
      <c r="CI270" s="198">
        <v>0</v>
      </c>
      <c r="CJ270" s="198">
        <v>0</v>
      </c>
      <c r="CK270" s="88"/>
    </row>
    <row r="271" spans="1:89" x14ac:dyDescent="0.3">
      <c r="A271" s="173"/>
      <c r="B271" s="197" t="s">
        <v>246</v>
      </c>
      <c r="C271" s="198">
        <v>0</v>
      </c>
      <c r="D271" s="198">
        <v>0</v>
      </c>
      <c r="E271" s="198">
        <v>0</v>
      </c>
      <c r="F271" s="198">
        <v>0</v>
      </c>
      <c r="G271" s="198">
        <v>0</v>
      </c>
      <c r="H271" s="198">
        <v>0</v>
      </c>
      <c r="I271" s="198">
        <v>0</v>
      </c>
      <c r="J271" s="198">
        <v>0</v>
      </c>
      <c r="K271" s="198">
        <v>0</v>
      </c>
      <c r="L271" s="198">
        <v>0</v>
      </c>
      <c r="M271" s="198">
        <v>0</v>
      </c>
      <c r="N271" s="198">
        <v>0</v>
      </c>
      <c r="O271" s="198">
        <v>0</v>
      </c>
      <c r="P271" s="198">
        <v>0</v>
      </c>
      <c r="Q271" s="198">
        <v>0</v>
      </c>
      <c r="R271" s="198">
        <v>0</v>
      </c>
      <c r="S271" s="198">
        <v>0</v>
      </c>
      <c r="T271" s="198">
        <v>0</v>
      </c>
      <c r="U271" s="198">
        <v>0</v>
      </c>
      <c r="V271" s="198">
        <v>0</v>
      </c>
      <c r="W271" s="198">
        <v>1492</v>
      </c>
      <c r="X271" s="198">
        <v>0</v>
      </c>
      <c r="Y271" s="198">
        <v>0</v>
      </c>
      <c r="Z271" s="198">
        <v>0</v>
      </c>
      <c r="AA271" s="198">
        <v>0</v>
      </c>
      <c r="AB271" s="198">
        <v>0</v>
      </c>
      <c r="AC271" s="198">
        <v>0</v>
      </c>
      <c r="AD271" s="198">
        <v>0</v>
      </c>
      <c r="AE271" s="198">
        <v>0</v>
      </c>
      <c r="AF271" s="198">
        <v>0</v>
      </c>
      <c r="AG271" s="198">
        <v>0</v>
      </c>
      <c r="AH271" s="198">
        <v>0</v>
      </c>
      <c r="AI271" s="198">
        <v>0</v>
      </c>
      <c r="AJ271" s="198">
        <v>0</v>
      </c>
      <c r="AK271" s="198">
        <v>0</v>
      </c>
      <c r="AL271" s="198">
        <v>0</v>
      </c>
      <c r="AM271" s="198">
        <v>0</v>
      </c>
      <c r="AN271" s="198">
        <v>0</v>
      </c>
      <c r="AO271" s="198">
        <v>0</v>
      </c>
      <c r="AP271" s="198">
        <v>0</v>
      </c>
      <c r="AQ271" s="198">
        <v>0</v>
      </c>
      <c r="AR271" s="198">
        <v>0</v>
      </c>
      <c r="AS271" s="198">
        <v>0</v>
      </c>
      <c r="AT271" s="198">
        <v>0</v>
      </c>
      <c r="AU271" s="198">
        <v>0</v>
      </c>
      <c r="AV271" s="198">
        <v>0</v>
      </c>
      <c r="AW271" s="198">
        <v>0</v>
      </c>
      <c r="AX271" s="198">
        <v>0</v>
      </c>
      <c r="AY271" s="198">
        <v>0</v>
      </c>
      <c r="AZ271" s="198">
        <v>0</v>
      </c>
      <c r="BA271" s="198">
        <v>0</v>
      </c>
      <c r="BB271" s="198">
        <v>0</v>
      </c>
      <c r="BC271" s="198">
        <v>0</v>
      </c>
      <c r="BD271" s="198">
        <v>0</v>
      </c>
      <c r="BE271" s="198">
        <v>0</v>
      </c>
      <c r="BF271" s="198">
        <v>0</v>
      </c>
      <c r="BG271" s="198">
        <v>0</v>
      </c>
      <c r="BH271" s="198">
        <v>0</v>
      </c>
      <c r="BI271" s="198">
        <v>0</v>
      </c>
      <c r="BJ271" s="198">
        <v>0</v>
      </c>
      <c r="BK271" s="198">
        <v>0</v>
      </c>
      <c r="BL271" s="198">
        <v>0</v>
      </c>
      <c r="BM271" s="198">
        <v>0</v>
      </c>
      <c r="BN271" s="198">
        <v>0</v>
      </c>
      <c r="BO271" s="198">
        <v>0</v>
      </c>
      <c r="BP271" s="198">
        <v>0</v>
      </c>
      <c r="BQ271" s="198">
        <v>0</v>
      </c>
      <c r="BR271" s="198">
        <v>0</v>
      </c>
      <c r="BS271" s="198">
        <v>0</v>
      </c>
      <c r="BT271" s="198">
        <v>0</v>
      </c>
      <c r="BU271" s="198">
        <v>0</v>
      </c>
      <c r="BV271" s="198">
        <v>0</v>
      </c>
      <c r="BW271" s="198">
        <v>0</v>
      </c>
      <c r="BX271" s="198">
        <v>0</v>
      </c>
      <c r="BY271" s="198">
        <v>0</v>
      </c>
      <c r="BZ271" s="198">
        <v>0</v>
      </c>
      <c r="CA271" s="198">
        <v>0</v>
      </c>
      <c r="CB271" s="198">
        <v>0</v>
      </c>
      <c r="CC271" s="198">
        <v>0</v>
      </c>
      <c r="CD271" s="198">
        <v>0</v>
      </c>
      <c r="CE271" s="198">
        <v>0</v>
      </c>
      <c r="CF271" s="198">
        <v>0</v>
      </c>
      <c r="CG271" s="198">
        <v>0</v>
      </c>
      <c r="CH271" s="198">
        <v>0</v>
      </c>
      <c r="CI271" s="198">
        <v>0</v>
      </c>
      <c r="CJ271" s="198">
        <v>0</v>
      </c>
      <c r="CK271" s="88"/>
    </row>
    <row r="272" spans="1:89" x14ac:dyDescent="0.3">
      <c r="A272" s="173"/>
      <c r="B272" s="197" t="s">
        <v>247</v>
      </c>
      <c r="C272" s="198">
        <v>0</v>
      </c>
      <c r="D272" s="198">
        <v>0</v>
      </c>
      <c r="E272" s="198">
        <v>0</v>
      </c>
      <c r="F272" s="198">
        <v>0</v>
      </c>
      <c r="G272" s="198">
        <v>0</v>
      </c>
      <c r="H272" s="198">
        <v>0</v>
      </c>
      <c r="I272" s="198">
        <v>0</v>
      </c>
      <c r="J272" s="198">
        <v>0</v>
      </c>
      <c r="K272" s="198">
        <v>0</v>
      </c>
      <c r="L272" s="198">
        <v>0</v>
      </c>
      <c r="M272" s="198">
        <v>0</v>
      </c>
      <c r="N272" s="198">
        <v>0</v>
      </c>
      <c r="O272" s="198">
        <v>0</v>
      </c>
      <c r="P272" s="198">
        <v>0</v>
      </c>
      <c r="Q272" s="198">
        <v>0</v>
      </c>
      <c r="R272" s="198">
        <v>0</v>
      </c>
      <c r="S272" s="198">
        <v>0</v>
      </c>
      <c r="T272" s="198">
        <v>0</v>
      </c>
      <c r="U272" s="198">
        <v>0</v>
      </c>
      <c r="V272" s="198">
        <v>0</v>
      </c>
      <c r="W272" s="198">
        <v>1193.5999999999999</v>
      </c>
      <c r="X272" s="198">
        <v>0</v>
      </c>
      <c r="Y272" s="198">
        <v>0</v>
      </c>
      <c r="Z272" s="198">
        <v>0</v>
      </c>
      <c r="AA272" s="198">
        <v>0</v>
      </c>
      <c r="AB272" s="198">
        <v>0</v>
      </c>
      <c r="AC272" s="198">
        <v>0</v>
      </c>
      <c r="AD272" s="198">
        <v>0</v>
      </c>
      <c r="AE272" s="198">
        <v>0</v>
      </c>
      <c r="AF272" s="198">
        <v>0</v>
      </c>
      <c r="AG272" s="198">
        <v>0</v>
      </c>
      <c r="AH272" s="198">
        <v>0</v>
      </c>
      <c r="AI272" s="198">
        <v>0</v>
      </c>
      <c r="AJ272" s="198">
        <v>0</v>
      </c>
      <c r="AK272" s="198">
        <v>0</v>
      </c>
      <c r="AL272" s="198">
        <v>0</v>
      </c>
      <c r="AM272" s="198">
        <v>0</v>
      </c>
      <c r="AN272" s="198">
        <v>0</v>
      </c>
      <c r="AO272" s="198">
        <v>0</v>
      </c>
      <c r="AP272" s="198">
        <v>0</v>
      </c>
      <c r="AQ272" s="198">
        <v>0</v>
      </c>
      <c r="AR272" s="198">
        <v>0</v>
      </c>
      <c r="AS272" s="198">
        <v>0</v>
      </c>
      <c r="AT272" s="198">
        <v>0</v>
      </c>
      <c r="AU272" s="198">
        <v>0</v>
      </c>
      <c r="AV272" s="198">
        <v>0</v>
      </c>
      <c r="AW272" s="198">
        <v>0</v>
      </c>
      <c r="AX272" s="198">
        <v>0</v>
      </c>
      <c r="AY272" s="198">
        <v>0</v>
      </c>
      <c r="AZ272" s="198">
        <v>0</v>
      </c>
      <c r="BA272" s="198">
        <v>0</v>
      </c>
      <c r="BB272" s="198">
        <v>0</v>
      </c>
      <c r="BC272" s="198">
        <v>0</v>
      </c>
      <c r="BD272" s="198">
        <v>0</v>
      </c>
      <c r="BE272" s="198">
        <v>0</v>
      </c>
      <c r="BF272" s="198">
        <v>0</v>
      </c>
      <c r="BG272" s="198">
        <v>0</v>
      </c>
      <c r="BH272" s="198">
        <v>0</v>
      </c>
      <c r="BI272" s="198">
        <v>0</v>
      </c>
      <c r="BJ272" s="198">
        <v>0</v>
      </c>
      <c r="BK272" s="198">
        <v>0</v>
      </c>
      <c r="BL272" s="198">
        <v>0</v>
      </c>
      <c r="BM272" s="198">
        <v>0</v>
      </c>
      <c r="BN272" s="198">
        <v>0</v>
      </c>
      <c r="BO272" s="198">
        <v>0</v>
      </c>
      <c r="BP272" s="198">
        <v>0</v>
      </c>
      <c r="BQ272" s="198">
        <v>0</v>
      </c>
      <c r="BR272" s="198">
        <v>0</v>
      </c>
      <c r="BS272" s="198">
        <v>0</v>
      </c>
      <c r="BT272" s="198">
        <v>0</v>
      </c>
      <c r="BU272" s="198">
        <v>0</v>
      </c>
      <c r="BV272" s="198">
        <v>0</v>
      </c>
      <c r="BW272" s="198">
        <v>0</v>
      </c>
      <c r="BX272" s="198">
        <v>0</v>
      </c>
      <c r="BY272" s="198">
        <v>0</v>
      </c>
      <c r="BZ272" s="198">
        <v>0</v>
      </c>
      <c r="CA272" s="198">
        <v>0</v>
      </c>
      <c r="CB272" s="198">
        <v>0</v>
      </c>
      <c r="CC272" s="198">
        <v>0</v>
      </c>
      <c r="CD272" s="198">
        <v>0</v>
      </c>
      <c r="CE272" s="198">
        <v>0</v>
      </c>
      <c r="CF272" s="198">
        <v>0</v>
      </c>
      <c r="CG272" s="198">
        <v>0</v>
      </c>
      <c r="CH272" s="198">
        <v>0</v>
      </c>
      <c r="CI272" s="198">
        <v>0</v>
      </c>
      <c r="CJ272" s="198">
        <v>0</v>
      </c>
      <c r="CK272" s="88"/>
    </row>
    <row r="273" spans="1:89" x14ac:dyDescent="0.3">
      <c r="A273" s="173"/>
      <c r="B273" s="197" t="s">
        <v>248</v>
      </c>
      <c r="C273" s="198">
        <v>0</v>
      </c>
      <c r="D273" s="198">
        <v>0</v>
      </c>
      <c r="E273" s="198">
        <v>0</v>
      </c>
      <c r="F273" s="198">
        <v>0</v>
      </c>
      <c r="G273" s="198">
        <v>0</v>
      </c>
      <c r="H273" s="198">
        <v>0</v>
      </c>
      <c r="I273" s="198">
        <v>0</v>
      </c>
      <c r="J273" s="198">
        <v>0</v>
      </c>
      <c r="K273" s="198">
        <v>0</v>
      </c>
      <c r="L273" s="198">
        <v>0</v>
      </c>
      <c r="M273" s="198">
        <v>0</v>
      </c>
      <c r="N273" s="198">
        <v>0</v>
      </c>
      <c r="O273" s="198">
        <v>0</v>
      </c>
      <c r="P273" s="198">
        <v>0</v>
      </c>
      <c r="Q273" s="198">
        <v>0</v>
      </c>
      <c r="R273" s="198">
        <v>0</v>
      </c>
      <c r="S273" s="198">
        <v>0</v>
      </c>
      <c r="T273" s="198">
        <v>0</v>
      </c>
      <c r="U273" s="198">
        <v>0</v>
      </c>
      <c r="V273" s="198">
        <v>0</v>
      </c>
      <c r="W273" s="198">
        <v>895.2</v>
      </c>
      <c r="X273" s="198">
        <v>0</v>
      </c>
      <c r="Y273" s="198">
        <v>0</v>
      </c>
      <c r="Z273" s="198">
        <v>0</v>
      </c>
      <c r="AA273" s="198">
        <v>0</v>
      </c>
      <c r="AB273" s="198">
        <v>0</v>
      </c>
      <c r="AC273" s="198">
        <v>0</v>
      </c>
      <c r="AD273" s="198">
        <v>0</v>
      </c>
      <c r="AE273" s="198">
        <v>0</v>
      </c>
      <c r="AF273" s="198">
        <v>0</v>
      </c>
      <c r="AG273" s="198">
        <v>0</v>
      </c>
      <c r="AH273" s="198">
        <v>0</v>
      </c>
      <c r="AI273" s="198">
        <v>0</v>
      </c>
      <c r="AJ273" s="198">
        <v>0</v>
      </c>
      <c r="AK273" s="198">
        <v>0</v>
      </c>
      <c r="AL273" s="198">
        <v>0</v>
      </c>
      <c r="AM273" s="198">
        <v>0</v>
      </c>
      <c r="AN273" s="198">
        <v>0</v>
      </c>
      <c r="AO273" s="198">
        <v>0</v>
      </c>
      <c r="AP273" s="198">
        <v>0</v>
      </c>
      <c r="AQ273" s="198">
        <v>0</v>
      </c>
      <c r="AR273" s="198">
        <v>0</v>
      </c>
      <c r="AS273" s="198">
        <v>0</v>
      </c>
      <c r="AT273" s="198">
        <v>0</v>
      </c>
      <c r="AU273" s="198">
        <v>0</v>
      </c>
      <c r="AV273" s="198">
        <v>0</v>
      </c>
      <c r="AW273" s="198">
        <v>0</v>
      </c>
      <c r="AX273" s="198">
        <v>0</v>
      </c>
      <c r="AY273" s="198">
        <v>0</v>
      </c>
      <c r="AZ273" s="198">
        <v>0</v>
      </c>
      <c r="BA273" s="198">
        <v>0</v>
      </c>
      <c r="BB273" s="198">
        <v>0</v>
      </c>
      <c r="BC273" s="198">
        <v>0</v>
      </c>
      <c r="BD273" s="198">
        <v>0</v>
      </c>
      <c r="BE273" s="198">
        <v>0</v>
      </c>
      <c r="BF273" s="198">
        <v>0</v>
      </c>
      <c r="BG273" s="198">
        <v>0</v>
      </c>
      <c r="BH273" s="198">
        <v>0</v>
      </c>
      <c r="BI273" s="198">
        <v>0</v>
      </c>
      <c r="BJ273" s="198">
        <v>0</v>
      </c>
      <c r="BK273" s="198">
        <v>0</v>
      </c>
      <c r="BL273" s="198">
        <v>0</v>
      </c>
      <c r="BM273" s="198">
        <v>0</v>
      </c>
      <c r="BN273" s="198">
        <v>0</v>
      </c>
      <c r="BO273" s="198">
        <v>0</v>
      </c>
      <c r="BP273" s="198">
        <v>0</v>
      </c>
      <c r="BQ273" s="198">
        <v>0</v>
      </c>
      <c r="BR273" s="198">
        <v>0</v>
      </c>
      <c r="BS273" s="198">
        <v>0</v>
      </c>
      <c r="BT273" s="198">
        <v>0</v>
      </c>
      <c r="BU273" s="198">
        <v>0</v>
      </c>
      <c r="BV273" s="198">
        <v>0</v>
      </c>
      <c r="BW273" s="198">
        <v>0</v>
      </c>
      <c r="BX273" s="198">
        <v>0</v>
      </c>
      <c r="BY273" s="198">
        <v>0</v>
      </c>
      <c r="BZ273" s="198">
        <v>0</v>
      </c>
      <c r="CA273" s="198">
        <v>0</v>
      </c>
      <c r="CB273" s="198">
        <v>0</v>
      </c>
      <c r="CC273" s="198">
        <v>0</v>
      </c>
      <c r="CD273" s="198">
        <v>0</v>
      </c>
      <c r="CE273" s="198">
        <v>0</v>
      </c>
      <c r="CF273" s="198">
        <v>0</v>
      </c>
      <c r="CG273" s="198">
        <v>0</v>
      </c>
      <c r="CH273" s="198">
        <v>0</v>
      </c>
      <c r="CI273" s="198">
        <v>0</v>
      </c>
      <c r="CJ273" s="198">
        <v>0</v>
      </c>
      <c r="CK273" s="88"/>
    </row>
    <row r="274" spans="1:89" x14ac:dyDescent="0.3">
      <c r="A274" s="173"/>
      <c r="B274" s="197" t="s">
        <v>249</v>
      </c>
      <c r="C274" s="198">
        <v>0</v>
      </c>
      <c r="D274" s="198">
        <v>0</v>
      </c>
      <c r="E274" s="198">
        <v>0</v>
      </c>
      <c r="F274" s="198">
        <v>0</v>
      </c>
      <c r="G274" s="198">
        <v>0</v>
      </c>
      <c r="H274" s="198">
        <v>0</v>
      </c>
      <c r="I274" s="198">
        <v>0</v>
      </c>
      <c r="J274" s="198">
        <v>0</v>
      </c>
      <c r="K274" s="198">
        <v>0</v>
      </c>
      <c r="L274" s="198">
        <v>0</v>
      </c>
      <c r="M274" s="198">
        <v>0</v>
      </c>
      <c r="N274" s="198">
        <v>0</v>
      </c>
      <c r="O274" s="198">
        <v>0</v>
      </c>
      <c r="P274" s="198">
        <v>0</v>
      </c>
      <c r="Q274" s="198">
        <v>0</v>
      </c>
      <c r="R274" s="198">
        <v>0</v>
      </c>
      <c r="S274" s="198">
        <v>0</v>
      </c>
      <c r="T274" s="198">
        <v>0</v>
      </c>
      <c r="U274" s="198">
        <v>0</v>
      </c>
      <c r="V274" s="198">
        <v>0</v>
      </c>
      <c r="W274" s="198">
        <v>442.7</v>
      </c>
      <c r="X274" s="198">
        <v>0</v>
      </c>
      <c r="Y274" s="198">
        <v>0</v>
      </c>
      <c r="Z274" s="198">
        <v>0</v>
      </c>
      <c r="AA274" s="198">
        <v>0</v>
      </c>
      <c r="AB274" s="198">
        <v>0</v>
      </c>
      <c r="AC274" s="198">
        <v>0</v>
      </c>
      <c r="AD274" s="198">
        <v>0</v>
      </c>
      <c r="AE274" s="198">
        <v>0</v>
      </c>
      <c r="AF274" s="198">
        <v>0</v>
      </c>
      <c r="AG274" s="198">
        <v>0</v>
      </c>
      <c r="AH274" s="198">
        <v>0</v>
      </c>
      <c r="AI274" s="198">
        <v>0</v>
      </c>
      <c r="AJ274" s="198">
        <v>0</v>
      </c>
      <c r="AK274" s="198">
        <v>0</v>
      </c>
      <c r="AL274" s="198">
        <v>0</v>
      </c>
      <c r="AM274" s="198">
        <v>0</v>
      </c>
      <c r="AN274" s="198">
        <v>0</v>
      </c>
      <c r="AO274" s="198">
        <v>0</v>
      </c>
      <c r="AP274" s="198">
        <v>0</v>
      </c>
      <c r="AQ274" s="198">
        <v>0</v>
      </c>
      <c r="AR274" s="198">
        <v>0</v>
      </c>
      <c r="AS274" s="198">
        <v>0</v>
      </c>
      <c r="AT274" s="198">
        <v>0</v>
      </c>
      <c r="AU274" s="198">
        <v>0</v>
      </c>
      <c r="AV274" s="198">
        <v>0</v>
      </c>
      <c r="AW274" s="198">
        <v>0</v>
      </c>
      <c r="AX274" s="198">
        <v>0</v>
      </c>
      <c r="AY274" s="198">
        <v>0</v>
      </c>
      <c r="AZ274" s="198">
        <v>0</v>
      </c>
      <c r="BA274" s="198">
        <v>0</v>
      </c>
      <c r="BB274" s="198">
        <v>0</v>
      </c>
      <c r="BC274" s="198">
        <v>0</v>
      </c>
      <c r="BD274" s="198">
        <v>0</v>
      </c>
      <c r="BE274" s="198">
        <v>0</v>
      </c>
      <c r="BF274" s="198">
        <v>0</v>
      </c>
      <c r="BG274" s="198">
        <v>0</v>
      </c>
      <c r="BH274" s="198">
        <v>0</v>
      </c>
      <c r="BI274" s="198">
        <v>0</v>
      </c>
      <c r="BJ274" s="198">
        <v>0</v>
      </c>
      <c r="BK274" s="198">
        <v>0</v>
      </c>
      <c r="BL274" s="198">
        <v>0</v>
      </c>
      <c r="BM274" s="198">
        <v>0</v>
      </c>
      <c r="BN274" s="198">
        <v>0</v>
      </c>
      <c r="BO274" s="198">
        <v>0</v>
      </c>
      <c r="BP274" s="198">
        <v>0</v>
      </c>
      <c r="BQ274" s="198">
        <v>0</v>
      </c>
      <c r="BR274" s="198">
        <v>0</v>
      </c>
      <c r="BS274" s="198">
        <v>0</v>
      </c>
      <c r="BT274" s="198">
        <v>0</v>
      </c>
      <c r="BU274" s="198">
        <v>0</v>
      </c>
      <c r="BV274" s="198">
        <v>0</v>
      </c>
      <c r="BW274" s="198">
        <v>0</v>
      </c>
      <c r="BX274" s="198">
        <v>0</v>
      </c>
      <c r="BY274" s="198">
        <v>0</v>
      </c>
      <c r="BZ274" s="198">
        <v>0</v>
      </c>
      <c r="CA274" s="198">
        <v>0</v>
      </c>
      <c r="CB274" s="198">
        <v>0</v>
      </c>
      <c r="CC274" s="198">
        <v>0</v>
      </c>
      <c r="CD274" s="198">
        <v>0</v>
      </c>
      <c r="CE274" s="198">
        <v>0</v>
      </c>
      <c r="CF274" s="198">
        <v>0</v>
      </c>
      <c r="CG274" s="198">
        <v>0</v>
      </c>
      <c r="CH274" s="198">
        <v>0</v>
      </c>
      <c r="CI274" s="198">
        <v>0</v>
      </c>
      <c r="CJ274" s="198">
        <v>0</v>
      </c>
      <c r="CK274" s="88"/>
    </row>
    <row r="275" spans="1:89" x14ac:dyDescent="0.3">
      <c r="A275" s="173"/>
      <c r="B275" s="197" t="s">
        <v>205</v>
      </c>
      <c r="C275" s="198">
        <v>0</v>
      </c>
      <c r="D275" s="198">
        <v>0</v>
      </c>
      <c r="E275" s="198">
        <v>0</v>
      </c>
      <c r="F275" s="198">
        <v>0</v>
      </c>
      <c r="G275" s="198">
        <v>0</v>
      </c>
      <c r="H275" s="198">
        <v>0</v>
      </c>
      <c r="I275" s="198">
        <v>0</v>
      </c>
      <c r="J275" s="198">
        <v>0</v>
      </c>
      <c r="K275" s="198">
        <v>0</v>
      </c>
      <c r="L275" s="198">
        <v>0</v>
      </c>
      <c r="M275" s="198">
        <v>0</v>
      </c>
      <c r="N275" s="198">
        <v>0</v>
      </c>
      <c r="O275" s="198">
        <v>0</v>
      </c>
      <c r="P275" s="198">
        <v>0</v>
      </c>
      <c r="Q275" s="198">
        <v>1186</v>
      </c>
      <c r="R275" s="198">
        <v>0</v>
      </c>
      <c r="S275" s="198">
        <v>0</v>
      </c>
      <c r="T275" s="198">
        <v>0</v>
      </c>
      <c r="U275" s="198">
        <v>0</v>
      </c>
      <c r="V275" s="198">
        <v>0</v>
      </c>
      <c r="W275" s="198">
        <v>0</v>
      </c>
      <c r="X275" s="198">
        <v>0</v>
      </c>
      <c r="Y275" s="198">
        <v>0</v>
      </c>
      <c r="Z275" s="198">
        <v>0</v>
      </c>
      <c r="AA275" s="198">
        <v>0</v>
      </c>
      <c r="AB275" s="198">
        <v>0</v>
      </c>
      <c r="AC275" s="198">
        <v>0</v>
      </c>
      <c r="AD275" s="198">
        <v>0</v>
      </c>
      <c r="AE275" s="198">
        <v>0</v>
      </c>
      <c r="AF275" s="198">
        <v>0</v>
      </c>
      <c r="AG275" s="198">
        <v>0</v>
      </c>
      <c r="AH275" s="198">
        <v>0</v>
      </c>
      <c r="AI275" s="198">
        <v>0</v>
      </c>
      <c r="AJ275" s="198">
        <v>0</v>
      </c>
      <c r="AK275" s="198">
        <v>0</v>
      </c>
      <c r="AL275" s="198">
        <v>0</v>
      </c>
      <c r="AM275" s="198">
        <v>0</v>
      </c>
      <c r="AN275" s="198">
        <v>0</v>
      </c>
      <c r="AO275" s="198">
        <v>0</v>
      </c>
      <c r="AP275" s="198">
        <v>0</v>
      </c>
      <c r="AQ275" s="198">
        <v>0</v>
      </c>
      <c r="AR275" s="198">
        <v>0</v>
      </c>
      <c r="AS275" s="198">
        <v>0</v>
      </c>
      <c r="AT275" s="198">
        <v>0</v>
      </c>
      <c r="AU275" s="198">
        <v>0</v>
      </c>
      <c r="AV275" s="198">
        <v>0</v>
      </c>
      <c r="AW275" s="198">
        <v>0</v>
      </c>
      <c r="AX275" s="198">
        <v>0</v>
      </c>
      <c r="AY275" s="198">
        <v>0</v>
      </c>
      <c r="AZ275" s="198">
        <v>0</v>
      </c>
      <c r="BA275" s="198">
        <v>0</v>
      </c>
      <c r="BB275" s="198">
        <v>0</v>
      </c>
      <c r="BC275" s="198">
        <v>0</v>
      </c>
      <c r="BD275" s="198">
        <v>0</v>
      </c>
      <c r="BE275" s="198">
        <v>0</v>
      </c>
      <c r="BF275" s="198">
        <v>0</v>
      </c>
      <c r="BG275" s="198">
        <v>0</v>
      </c>
      <c r="BH275" s="198">
        <v>0</v>
      </c>
      <c r="BI275" s="198">
        <v>0</v>
      </c>
      <c r="BJ275" s="198">
        <v>0</v>
      </c>
      <c r="BK275" s="198">
        <v>0</v>
      </c>
      <c r="BL275" s="198">
        <v>0</v>
      </c>
      <c r="BM275" s="198">
        <v>0</v>
      </c>
      <c r="BN275" s="198">
        <v>0</v>
      </c>
      <c r="BO275" s="198">
        <v>0</v>
      </c>
      <c r="BP275" s="198">
        <v>0</v>
      </c>
      <c r="BQ275" s="198">
        <v>0</v>
      </c>
      <c r="BR275" s="198">
        <v>0</v>
      </c>
      <c r="BS275" s="198">
        <v>0</v>
      </c>
      <c r="BT275" s="198">
        <v>0</v>
      </c>
      <c r="BU275" s="198">
        <v>0</v>
      </c>
      <c r="BV275" s="198">
        <v>0</v>
      </c>
      <c r="BW275" s="198">
        <v>0</v>
      </c>
      <c r="BX275" s="198">
        <v>0</v>
      </c>
      <c r="BY275" s="198">
        <v>0</v>
      </c>
      <c r="BZ275" s="198">
        <v>0</v>
      </c>
      <c r="CA275" s="198">
        <v>0</v>
      </c>
      <c r="CB275" s="198">
        <v>0</v>
      </c>
      <c r="CC275" s="198">
        <v>0</v>
      </c>
      <c r="CD275" s="198">
        <v>0</v>
      </c>
      <c r="CE275" s="198">
        <v>0</v>
      </c>
      <c r="CF275" s="198">
        <v>0</v>
      </c>
      <c r="CG275" s="198">
        <v>0</v>
      </c>
      <c r="CH275" s="198">
        <v>0</v>
      </c>
      <c r="CI275" s="198">
        <v>0</v>
      </c>
      <c r="CJ275" s="198">
        <v>0</v>
      </c>
      <c r="CK275" s="88"/>
    </row>
    <row r="276" spans="1:89" x14ac:dyDescent="0.3">
      <c r="A276" s="173"/>
      <c r="B276" s="197" t="s">
        <v>250</v>
      </c>
      <c r="C276" s="198">
        <v>0</v>
      </c>
      <c r="D276" s="198">
        <v>0</v>
      </c>
      <c r="E276" s="198">
        <v>0</v>
      </c>
      <c r="F276" s="198">
        <v>0</v>
      </c>
      <c r="G276" s="198">
        <v>0</v>
      </c>
      <c r="H276" s="198">
        <v>0</v>
      </c>
      <c r="I276" s="198">
        <v>0</v>
      </c>
      <c r="J276" s="198">
        <v>0</v>
      </c>
      <c r="K276" s="198">
        <v>0</v>
      </c>
      <c r="L276" s="198">
        <v>0</v>
      </c>
      <c r="M276" s="198">
        <v>0</v>
      </c>
      <c r="N276" s="198">
        <v>0</v>
      </c>
      <c r="O276" s="198">
        <v>0</v>
      </c>
      <c r="P276" s="198">
        <v>0</v>
      </c>
      <c r="Q276" s="198">
        <v>0</v>
      </c>
      <c r="R276" s="198">
        <v>0</v>
      </c>
      <c r="S276" s="198">
        <v>0</v>
      </c>
      <c r="T276" s="198">
        <v>0</v>
      </c>
      <c r="U276" s="198">
        <v>0</v>
      </c>
      <c r="V276" s="198">
        <v>0</v>
      </c>
      <c r="W276" s="198">
        <v>8.3000000000000007</v>
      </c>
      <c r="X276" s="198">
        <v>0</v>
      </c>
      <c r="Y276" s="198">
        <v>0</v>
      </c>
      <c r="Z276" s="198">
        <v>0</v>
      </c>
      <c r="AA276" s="198">
        <v>0.1</v>
      </c>
      <c r="AB276" s="198">
        <v>0</v>
      </c>
      <c r="AC276" s="198">
        <v>0</v>
      </c>
      <c r="AD276" s="198">
        <v>0</v>
      </c>
      <c r="AE276" s="198">
        <v>0</v>
      </c>
      <c r="AF276" s="198">
        <v>0</v>
      </c>
      <c r="AG276" s="198">
        <v>0</v>
      </c>
      <c r="AH276" s="198">
        <v>0</v>
      </c>
      <c r="AI276" s="198">
        <v>0</v>
      </c>
      <c r="AJ276" s="198">
        <v>0</v>
      </c>
      <c r="AK276" s="198">
        <v>0</v>
      </c>
      <c r="AL276" s="198">
        <v>0</v>
      </c>
      <c r="AM276" s="198">
        <v>0</v>
      </c>
      <c r="AN276" s="198">
        <v>0</v>
      </c>
      <c r="AO276" s="198">
        <v>0</v>
      </c>
      <c r="AP276" s="198">
        <v>0</v>
      </c>
      <c r="AQ276" s="198">
        <v>0</v>
      </c>
      <c r="AR276" s="198">
        <v>0</v>
      </c>
      <c r="AS276" s="198">
        <v>0</v>
      </c>
      <c r="AT276" s="198">
        <v>0</v>
      </c>
      <c r="AU276" s="198">
        <v>0</v>
      </c>
      <c r="AV276" s="198">
        <v>0</v>
      </c>
      <c r="AW276" s="198">
        <v>0</v>
      </c>
      <c r="AX276" s="198">
        <v>0</v>
      </c>
      <c r="AY276" s="198">
        <v>0</v>
      </c>
      <c r="AZ276" s="198">
        <v>0</v>
      </c>
      <c r="BA276" s="198">
        <v>0</v>
      </c>
      <c r="BB276" s="198">
        <v>0</v>
      </c>
      <c r="BC276" s="198">
        <v>0</v>
      </c>
      <c r="BD276" s="198">
        <v>0</v>
      </c>
      <c r="BE276" s="198">
        <v>0</v>
      </c>
      <c r="BF276" s="198">
        <v>0</v>
      </c>
      <c r="BG276" s="198">
        <v>0</v>
      </c>
      <c r="BH276" s="198">
        <v>0</v>
      </c>
      <c r="BI276" s="198">
        <v>0</v>
      </c>
      <c r="BJ276" s="198">
        <v>0</v>
      </c>
      <c r="BK276" s="198">
        <v>0</v>
      </c>
      <c r="BL276" s="198">
        <v>0</v>
      </c>
      <c r="BM276" s="198">
        <v>0</v>
      </c>
      <c r="BN276" s="198">
        <v>0</v>
      </c>
      <c r="BO276" s="198">
        <v>0</v>
      </c>
      <c r="BP276" s="198">
        <v>0</v>
      </c>
      <c r="BQ276" s="198">
        <v>0</v>
      </c>
      <c r="BR276" s="198">
        <v>0</v>
      </c>
      <c r="BS276" s="198">
        <v>0</v>
      </c>
      <c r="BT276" s="198">
        <v>0</v>
      </c>
      <c r="BU276" s="198">
        <v>0</v>
      </c>
      <c r="BV276" s="198">
        <v>0</v>
      </c>
      <c r="BW276" s="198">
        <v>0</v>
      </c>
      <c r="BX276" s="198">
        <v>0</v>
      </c>
      <c r="BY276" s="198">
        <v>0</v>
      </c>
      <c r="BZ276" s="198">
        <v>0</v>
      </c>
      <c r="CA276" s="198">
        <v>0</v>
      </c>
      <c r="CB276" s="198">
        <v>0</v>
      </c>
      <c r="CC276" s="198">
        <v>0</v>
      </c>
      <c r="CD276" s="198">
        <v>0</v>
      </c>
      <c r="CE276" s="198">
        <v>0</v>
      </c>
      <c r="CF276" s="198">
        <v>0</v>
      </c>
      <c r="CG276" s="198">
        <v>0</v>
      </c>
      <c r="CH276" s="198">
        <v>0</v>
      </c>
      <c r="CI276" s="198">
        <v>0</v>
      </c>
      <c r="CJ276" s="198">
        <v>0</v>
      </c>
      <c r="CK276" s="88"/>
    </row>
    <row r="277" spans="1:89" x14ac:dyDescent="0.3">
      <c r="A277" s="173"/>
      <c r="B277" s="197" t="s">
        <v>251</v>
      </c>
      <c r="C277" s="198">
        <v>0</v>
      </c>
      <c r="D277" s="198">
        <v>0</v>
      </c>
      <c r="E277" s="198">
        <v>0</v>
      </c>
      <c r="F277" s="198">
        <v>0</v>
      </c>
      <c r="G277" s="198">
        <v>0</v>
      </c>
      <c r="H277" s="198">
        <v>0</v>
      </c>
      <c r="I277" s="198">
        <v>0</v>
      </c>
      <c r="J277" s="198">
        <v>0</v>
      </c>
      <c r="K277" s="198">
        <v>0</v>
      </c>
      <c r="L277" s="198">
        <v>0</v>
      </c>
      <c r="M277" s="198">
        <v>0</v>
      </c>
      <c r="N277" s="198">
        <v>0</v>
      </c>
      <c r="O277" s="198">
        <v>0</v>
      </c>
      <c r="P277" s="198">
        <v>0</v>
      </c>
      <c r="Q277" s="198">
        <v>0</v>
      </c>
      <c r="R277" s="198">
        <v>0</v>
      </c>
      <c r="S277" s="198">
        <v>0</v>
      </c>
      <c r="T277" s="198">
        <v>0</v>
      </c>
      <c r="U277" s="198">
        <v>0</v>
      </c>
      <c r="V277" s="198">
        <v>0</v>
      </c>
      <c r="W277" s="198">
        <v>2120.3000000000002</v>
      </c>
      <c r="X277" s="198">
        <v>0</v>
      </c>
      <c r="Y277" s="198">
        <v>0</v>
      </c>
      <c r="Z277" s="198">
        <v>0</v>
      </c>
      <c r="AA277" s="198">
        <v>0</v>
      </c>
      <c r="AB277" s="198">
        <v>0</v>
      </c>
      <c r="AC277" s="198">
        <v>0</v>
      </c>
      <c r="AD277" s="198">
        <v>0</v>
      </c>
      <c r="AE277" s="198">
        <v>0</v>
      </c>
      <c r="AF277" s="198">
        <v>0</v>
      </c>
      <c r="AG277" s="198">
        <v>0</v>
      </c>
      <c r="AH277" s="198">
        <v>0</v>
      </c>
      <c r="AI277" s="198">
        <v>0</v>
      </c>
      <c r="AJ277" s="198">
        <v>0</v>
      </c>
      <c r="AK277" s="198">
        <v>0</v>
      </c>
      <c r="AL277" s="198">
        <v>0</v>
      </c>
      <c r="AM277" s="198">
        <v>0</v>
      </c>
      <c r="AN277" s="198">
        <v>0</v>
      </c>
      <c r="AO277" s="198">
        <v>0</v>
      </c>
      <c r="AP277" s="198">
        <v>0</v>
      </c>
      <c r="AQ277" s="198">
        <v>0</v>
      </c>
      <c r="AR277" s="198">
        <v>0</v>
      </c>
      <c r="AS277" s="198">
        <v>0</v>
      </c>
      <c r="AT277" s="198">
        <v>0</v>
      </c>
      <c r="AU277" s="198">
        <v>0</v>
      </c>
      <c r="AV277" s="198">
        <v>0</v>
      </c>
      <c r="AW277" s="198">
        <v>0</v>
      </c>
      <c r="AX277" s="198">
        <v>0</v>
      </c>
      <c r="AY277" s="198">
        <v>0</v>
      </c>
      <c r="AZ277" s="198">
        <v>0</v>
      </c>
      <c r="BA277" s="198">
        <v>0</v>
      </c>
      <c r="BB277" s="198">
        <v>0</v>
      </c>
      <c r="BC277" s="198">
        <v>0</v>
      </c>
      <c r="BD277" s="198">
        <v>0</v>
      </c>
      <c r="BE277" s="198">
        <v>0</v>
      </c>
      <c r="BF277" s="198">
        <v>0</v>
      </c>
      <c r="BG277" s="198">
        <v>0</v>
      </c>
      <c r="BH277" s="198">
        <v>0</v>
      </c>
      <c r="BI277" s="198">
        <v>0</v>
      </c>
      <c r="BJ277" s="198">
        <v>0</v>
      </c>
      <c r="BK277" s="198">
        <v>0</v>
      </c>
      <c r="BL277" s="198">
        <v>0</v>
      </c>
      <c r="BM277" s="198">
        <v>0</v>
      </c>
      <c r="BN277" s="198">
        <v>0</v>
      </c>
      <c r="BO277" s="198">
        <v>0</v>
      </c>
      <c r="BP277" s="198">
        <v>0</v>
      </c>
      <c r="BQ277" s="198">
        <v>0</v>
      </c>
      <c r="BR277" s="198">
        <v>0</v>
      </c>
      <c r="BS277" s="198">
        <v>0</v>
      </c>
      <c r="BT277" s="198">
        <v>0</v>
      </c>
      <c r="BU277" s="198">
        <v>0</v>
      </c>
      <c r="BV277" s="198">
        <v>0</v>
      </c>
      <c r="BW277" s="198">
        <v>0</v>
      </c>
      <c r="BX277" s="198">
        <v>0</v>
      </c>
      <c r="BY277" s="198">
        <v>0</v>
      </c>
      <c r="BZ277" s="198">
        <v>0</v>
      </c>
      <c r="CA277" s="198">
        <v>0</v>
      </c>
      <c r="CB277" s="198">
        <v>0</v>
      </c>
      <c r="CC277" s="198">
        <v>0</v>
      </c>
      <c r="CD277" s="198">
        <v>0</v>
      </c>
      <c r="CE277" s="198">
        <v>0</v>
      </c>
      <c r="CF277" s="198">
        <v>0</v>
      </c>
      <c r="CG277" s="198">
        <v>0</v>
      </c>
      <c r="CH277" s="198">
        <v>0</v>
      </c>
      <c r="CI277" s="198">
        <v>0</v>
      </c>
      <c r="CJ277" s="198">
        <v>0</v>
      </c>
      <c r="CK277" s="88"/>
    </row>
    <row r="278" spans="1:89" x14ac:dyDescent="0.3">
      <c r="A278" s="173"/>
      <c r="B278" s="197" t="s">
        <v>197</v>
      </c>
      <c r="C278" s="198">
        <v>0</v>
      </c>
      <c r="D278" s="198">
        <v>0</v>
      </c>
      <c r="E278" s="198">
        <v>0</v>
      </c>
      <c r="F278" s="198">
        <v>0</v>
      </c>
      <c r="G278" s="198">
        <v>0</v>
      </c>
      <c r="H278" s="198">
        <v>0</v>
      </c>
      <c r="I278" s="198">
        <v>0</v>
      </c>
      <c r="J278" s="198">
        <v>0</v>
      </c>
      <c r="K278" s="198">
        <v>0</v>
      </c>
      <c r="L278" s="198">
        <v>0</v>
      </c>
      <c r="M278" s="198">
        <v>0</v>
      </c>
      <c r="N278" s="198">
        <v>0</v>
      </c>
      <c r="O278" s="198">
        <v>0</v>
      </c>
      <c r="P278" s="198">
        <v>452</v>
      </c>
      <c r="Q278" s="198">
        <v>945.1</v>
      </c>
      <c r="R278" s="198">
        <v>0</v>
      </c>
      <c r="S278" s="198">
        <v>149.1</v>
      </c>
      <c r="T278" s="198">
        <v>0</v>
      </c>
      <c r="U278" s="198">
        <v>18.399999999999999</v>
      </c>
      <c r="V278" s="198">
        <v>0</v>
      </c>
      <c r="W278" s="198">
        <v>67.7</v>
      </c>
      <c r="X278" s="198">
        <v>0</v>
      </c>
      <c r="Y278" s="198">
        <v>0.1</v>
      </c>
      <c r="Z278" s="198">
        <v>0</v>
      </c>
      <c r="AA278" s="198">
        <v>2.8</v>
      </c>
      <c r="AB278" s="198">
        <v>0</v>
      </c>
      <c r="AC278" s="198">
        <v>0</v>
      </c>
      <c r="AD278" s="198">
        <v>0</v>
      </c>
      <c r="AE278" s="198">
        <v>0</v>
      </c>
      <c r="AF278" s="198">
        <v>0</v>
      </c>
      <c r="AG278" s="198">
        <v>1.7</v>
      </c>
      <c r="AH278" s="198">
        <v>0</v>
      </c>
      <c r="AI278" s="198">
        <v>0</v>
      </c>
      <c r="AJ278" s="198">
        <v>0</v>
      </c>
      <c r="AK278" s="198">
        <v>0</v>
      </c>
      <c r="AL278" s="198">
        <v>0</v>
      </c>
      <c r="AM278" s="198">
        <v>0.4</v>
      </c>
      <c r="AN278" s="198">
        <v>0</v>
      </c>
      <c r="AO278" s="198">
        <v>0</v>
      </c>
      <c r="AP278" s="198">
        <v>0.1</v>
      </c>
      <c r="AQ278" s="198">
        <v>0</v>
      </c>
      <c r="AR278" s="198">
        <v>0</v>
      </c>
      <c r="AS278" s="198">
        <v>0</v>
      </c>
      <c r="AT278" s="198">
        <v>0</v>
      </c>
      <c r="AU278" s="198">
        <v>0</v>
      </c>
      <c r="AV278" s="198">
        <v>0.2</v>
      </c>
      <c r="AW278" s="198">
        <v>0</v>
      </c>
      <c r="AX278" s="198">
        <v>0</v>
      </c>
      <c r="AY278" s="198">
        <v>0</v>
      </c>
      <c r="AZ278" s="198">
        <v>0</v>
      </c>
      <c r="BA278" s="198">
        <v>0</v>
      </c>
      <c r="BB278" s="198">
        <v>0</v>
      </c>
      <c r="BC278" s="198">
        <v>0</v>
      </c>
      <c r="BD278" s="198">
        <v>0</v>
      </c>
      <c r="BE278" s="198">
        <v>0</v>
      </c>
      <c r="BF278" s="198">
        <v>0</v>
      </c>
      <c r="BG278" s="198">
        <v>0</v>
      </c>
      <c r="BH278" s="198">
        <v>0</v>
      </c>
      <c r="BI278" s="198">
        <v>0</v>
      </c>
      <c r="BJ278" s="198">
        <v>0</v>
      </c>
      <c r="BK278" s="198">
        <v>0</v>
      </c>
      <c r="BL278" s="198">
        <v>0</v>
      </c>
      <c r="BM278" s="198">
        <v>0</v>
      </c>
      <c r="BN278" s="198">
        <v>0</v>
      </c>
      <c r="BO278" s="198">
        <v>0</v>
      </c>
      <c r="BP278" s="198">
        <v>0</v>
      </c>
      <c r="BQ278" s="198">
        <v>0</v>
      </c>
      <c r="BR278" s="198">
        <v>0</v>
      </c>
      <c r="BS278" s="198">
        <v>0</v>
      </c>
      <c r="BT278" s="198">
        <v>0</v>
      </c>
      <c r="BU278" s="198">
        <v>0</v>
      </c>
      <c r="BV278" s="198">
        <v>0</v>
      </c>
      <c r="BW278" s="198">
        <v>0</v>
      </c>
      <c r="BX278" s="198">
        <v>0</v>
      </c>
      <c r="BY278" s="198">
        <v>0</v>
      </c>
      <c r="BZ278" s="198">
        <v>0</v>
      </c>
      <c r="CA278" s="198">
        <v>0</v>
      </c>
      <c r="CB278" s="198">
        <v>0</v>
      </c>
      <c r="CC278" s="198">
        <v>0</v>
      </c>
      <c r="CD278" s="198">
        <v>0</v>
      </c>
      <c r="CE278" s="198">
        <v>0</v>
      </c>
      <c r="CF278" s="198">
        <v>0</v>
      </c>
      <c r="CG278" s="198">
        <v>0</v>
      </c>
      <c r="CH278" s="198">
        <v>0</v>
      </c>
      <c r="CI278" s="198">
        <v>0</v>
      </c>
      <c r="CJ278" s="198">
        <v>0</v>
      </c>
      <c r="CK278" s="88"/>
    </row>
    <row r="279" spans="1:89" x14ac:dyDescent="0.3">
      <c r="A279" s="173"/>
      <c r="B279" s="197" t="s">
        <v>333</v>
      </c>
      <c r="C279" s="198">
        <v>0</v>
      </c>
      <c r="D279" s="198">
        <v>0</v>
      </c>
      <c r="E279" s="198">
        <v>0</v>
      </c>
      <c r="F279" s="198">
        <v>0</v>
      </c>
      <c r="G279" s="198">
        <v>0</v>
      </c>
      <c r="H279" s="198">
        <v>0</v>
      </c>
      <c r="I279" s="198">
        <v>0</v>
      </c>
      <c r="J279" s="198">
        <v>0</v>
      </c>
      <c r="K279" s="198">
        <v>0</v>
      </c>
      <c r="L279" s="198">
        <v>0</v>
      </c>
      <c r="M279" s="198">
        <v>0</v>
      </c>
      <c r="N279" s="198">
        <v>0</v>
      </c>
      <c r="O279" s="198">
        <v>0</v>
      </c>
      <c r="P279" s="198">
        <v>0</v>
      </c>
      <c r="Q279" s="198">
        <v>0</v>
      </c>
      <c r="R279" s="198">
        <v>0</v>
      </c>
      <c r="S279" s="198">
        <v>0</v>
      </c>
      <c r="T279" s="198">
        <v>0</v>
      </c>
      <c r="U279" s="198">
        <v>0</v>
      </c>
      <c r="V279" s="198">
        <v>0</v>
      </c>
      <c r="W279" s="198">
        <v>0</v>
      </c>
      <c r="X279" s="198">
        <v>0</v>
      </c>
      <c r="Y279" s="198">
        <v>0</v>
      </c>
      <c r="Z279" s="198">
        <v>0</v>
      </c>
      <c r="AA279" s="198">
        <v>0</v>
      </c>
      <c r="AB279" s="198">
        <v>0</v>
      </c>
      <c r="AC279" s="198">
        <v>0</v>
      </c>
      <c r="AD279" s="198">
        <v>0</v>
      </c>
      <c r="AE279" s="198">
        <v>0</v>
      </c>
      <c r="AF279" s="198">
        <v>0</v>
      </c>
      <c r="AG279" s="198">
        <v>0</v>
      </c>
      <c r="AH279" s="198">
        <v>0</v>
      </c>
      <c r="AI279" s="198">
        <v>0</v>
      </c>
      <c r="AJ279" s="198">
        <v>0</v>
      </c>
      <c r="AK279" s="198">
        <v>0</v>
      </c>
      <c r="AL279" s="198">
        <v>0</v>
      </c>
      <c r="AM279" s="198">
        <v>0</v>
      </c>
      <c r="AN279" s="198">
        <v>0</v>
      </c>
      <c r="AO279" s="198">
        <v>0</v>
      </c>
      <c r="AP279" s="198">
        <v>0</v>
      </c>
      <c r="AQ279" s="198">
        <v>0</v>
      </c>
      <c r="AR279" s="198">
        <v>0</v>
      </c>
      <c r="AS279" s="198">
        <v>0</v>
      </c>
      <c r="AT279" s="198">
        <v>0</v>
      </c>
      <c r="AU279" s="198">
        <v>0</v>
      </c>
      <c r="AV279" s="198">
        <v>0</v>
      </c>
      <c r="AW279" s="198">
        <v>0</v>
      </c>
      <c r="AX279" s="198">
        <v>0</v>
      </c>
      <c r="AY279" s="198">
        <v>0</v>
      </c>
      <c r="AZ279" s="198">
        <v>0</v>
      </c>
      <c r="BA279" s="198">
        <v>0</v>
      </c>
      <c r="BB279" s="198">
        <v>0</v>
      </c>
      <c r="BC279" s="198">
        <v>0</v>
      </c>
      <c r="BD279" s="198">
        <v>0</v>
      </c>
      <c r="BE279" s="198">
        <v>0</v>
      </c>
      <c r="BF279" s="198">
        <v>0</v>
      </c>
      <c r="BG279" s="198">
        <v>0</v>
      </c>
      <c r="BH279" s="198">
        <v>0</v>
      </c>
      <c r="BI279" s="198">
        <v>0</v>
      </c>
      <c r="BJ279" s="198">
        <v>2449.5</v>
      </c>
      <c r="BK279" s="198">
        <v>0</v>
      </c>
      <c r="BL279" s="198">
        <v>4938.7</v>
      </c>
      <c r="BM279" s="198">
        <v>0</v>
      </c>
      <c r="BN279" s="198">
        <v>0</v>
      </c>
      <c r="BO279" s="198">
        <v>0</v>
      </c>
      <c r="BP279" s="198">
        <v>0</v>
      </c>
      <c r="BQ279" s="198">
        <v>0</v>
      </c>
      <c r="BR279" s="198">
        <v>0</v>
      </c>
      <c r="BS279" s="198">
        <v>0</v>
      </c>
      <c r="BT279" s="198">
        <v>0</v>
      </c>
      <c r="BU279" s="198">
        <v>0</v>
      </c>
      <c r="BV279" s="198">
        <v>0</v>
      </c>
      <c r="BW279" s="198">
        <v>0</v>
      </c>
      <c r="BX279" s="198">
        <v>0</v>
      </c>
      <c r="BY279" s="198">
        <v>0</v>
      </c>
      <c r="BZ279" s="198">
        <v>0</v>
      </c>
      <c r="CA279" s="198">
        <v>0</v>
      </c>
      <c r="CB279" s="198">
        <v>0</v>
      </c>
      <c r="CC279" s="198">
        <v>0</v>
      </c>
      <c r="CD279" s="198">
        <v>0</v>
      </c>
      <c r="CE279" s="198">
        <v>0</v>
      </c>
      <c r="CF279" s="198">
        <v>0</v>
      </c>
      <c r="CG279" s="198">
        <v>0</v>
      </c>
      <c r="CH279" s="198">
        <v>0</v>
      </c>
      <c r="CI279" s="198">
        <v>0</v>
      </c>
      <c r="CJ279" s="198">
        <v>0</v>
      </c>
      <c r="CK279" s="88"/>
    </row>
    <row r="280" spans="1:89" x14ac:dyDescent="0.3">
      <c r="A280" s="173"/>
      <c r="B280" s="197" t="s">
        <v>369</v>
      </c>
      <c r="C280" s="198">
        <v>0</v>
      </c>
      <c r="D280" s="198">
        <v>0</v>
      </c>
      <c r="E280" s="198">
        <v>0</v>
      </c>
      <c r="F280" s="198">
        <v>0</v>
      </c>
      <c r="G280" s="198">
        <v>0</v>
      </c>
      <c r="H280" s="198">
        <v>0</v>
      </c>
      <c r="I280" s="198">
        <v>0</v>
      </c>
      <c r="J280" s="198">
        <v>0</v>
      </c>
      <c r="K280" s="198">
        <v>0</v>
      </c>
      <c r="L280" s="198">
        <v>0</v>
      </c>
      <c r="M280" s="198">
        <v>0</v>
      </c>
      <c r="N280" s="198">
        <v>0</v>
      </c>
      <c r="O280" s="198">
        <v>0</v>
      </c>
      <c r="P280" s="198">
        <v>0</v>
      </c>
      <c r="Q280" s="198">
        <v>0</v>
      </c>
      <c r="R280" s="198">
        <v>0</v>
      </c>
      <c r="S280" s="198">
        <v>0</v>
      </c>
      <c r="T280" s="198">
        <v>0</v>
      </c>
      <c r="U280" s="198">
        <v>0</v>
      </c>
      <c r="V280" s="198">
        <v>0</v>
      </c>
      <c r="W280" s="198">
        <v>0</v>
      </c>
      <c r="X280" s="198">
        <v>0</v>
      </c>
      <c r="Y280" s="198">
        <v>0</v>
      </c>
      <c r="Z280" s="198">
        <v>0</v>
      </c>
      <c r="AA280" s="198">
        <v>0</v>
      </c>
      <c r="AB280" s="198">
        <v>0</v>
      </c>
      <c r="AC280" s="198">
        <v>0</v>
      </c>
      <c r="AD280" s="198">
        <v>0</v>
      </c>
      <c r="AE280" s="198">
        <v>0</v>
      </c>
      <c r="AF280" s="198">
        <v>0</v>
      </c>
      <c r="AG280" s="198">
        <v>0</v>
      </c>
      <c r="AH280" s="198">
        <v>0</v>
      </c>
      <c r="AI280" s="198">
        <v>0</v>
      </c>
      <c r="AJ280" s="198">
        <v>0</v>
      </c>
      <c r="AK280" s="198">
        <v>0</v>
      </c>
      <c r="AL280" s="198">
        <v>0</v>
      </c>
      <c r="AM280" s="198">
        <v>0</v>
      </c>
      <c r="AN280" s="198">
        <v>0</v>
      </c>
      <c r="AO280" s="198">
        <v>0</v>
      </c>
      <c r="AP280" s="198">
        <v>0</v>
      </c>
      <c r="AQ280" s="198">
        <v>0</v>
      </c>
      <c r="AR280" s="198">
        <v>0</v>
      </c>
      <c r="AS280" s="198">
        <v>0</v>
      </c>
      <c r="AT280" s="198">
        <v>0</v>
      </c>
      <c r="AU280" s="198">
        <v>0</v>
      </c>
      <c r="AV280" s="198">
        <v>0</v>
      </c>
      <c r="AW280" s="198">
        <v>0</v>
      </c>
      <c r="AX280" s="198">
        <v>0</v>
      </c>
      <c r="AY280" s="198">
        <v>0</v>
      </c>
      <c r="AZ280" s="198">
        <v>0</v>
      </c>
      <c r="BA280" s="198">
        <v>0</v>
      </c>
      <c r="BB280" s="198">
        <v>0</v>
      </c>
      <c r="BC280" s="198">
        <v>0</v>
      </c>
      <c r="BD280" s="198">
        <v>0</v>
      </c>
      <c r="BE280" s="198">
        <v>0</v>
      </c>
      <c r="BF280" s="198">
        <v>0</v>
      </c>
      <c r="BG280" s="198">
        <v>0</v>
      </c>
      <c r="BH280" s="198">
        <v>0</v>
      </c>
      <c r="BI280" s="198">
        <v>0</v>
      </c>
      <c r="BJ280" s="198">
        <v>0</v>
      </c>
      <c r="BK280" s="198">
        <v>0</v>
      </c>
      <c r="BL280" s="198">
        <v>0</v>
      </c>
      <c r="BM280" s="198">
        <v>0</v>
      </c>
      <c r="BN280" s="198">
        <v>0</v>
      </c>
      <c r="BO280" s="198">
        <v>0</v>
      </c>
      <c r="BP280" s="198">
        <v>0</v>
      </c>
      <c r="BQ280" s="198">
        <v>0</v>
      </c>
      <c r="BR280" s="198">
        <v>0</v>
      </c>
      <c r="BS280" s="198">
        <v>0</v>
      </c>
      <c r="BT280" s="198">
        <v>0</v>
      </c>
      <c r="BU280" s="198">
        <v>0</v>
      </c>
      <c r="BV280" s="198">
        <v>0</v>
      </c>
      <c r="BW280" s="198">
        <v>8596.4</v>
      </c>
      <c r="BX280" s="198">
        <v>0</v>
      </c>
      <c r="BY280" s="198">
        <v>0</v>
      </c>
      <c r="BZ280" s="198">
        <v>0</v>
      </c>
      <c r="CA280" s="198">
        <v>0</v>
      </c>
      <c r="CB280" s="198">
        <v>0</v>
      </c>
      <c r="CC280" s="198">
        <v>0</v>
      </c>
      <c r="CD280" s="198">
        <v>0</v>
      </c>
      <c r="CE280" s="198">
        <v>0</v>
      </c>
      <c r="CF280" s="198">
        <v>0</v>
      </c>
      <c r="CG280" s="198">
        <v>0</v>
      </c>
      <c r="CH280" s="198">
        <v>0</v>
      </c>
      <c r="CI280" s="198">
        <v>0</v>
      </c>
      <c r="CJ280" s="198">
        <v>0</v>
      </c>
      <c r="CK280" s="88"/>
    </row>
    <row r="281" spans="1:89" x14ac:dyDescent="0.3">
      <c r="A281" s="173"/>
      <c r="B281" s="197" t="s">
        <v>146</v>
      </c>
      <c r="C281" s="198">
        <v>0</v>
      </c>
      <c r="D281" s="198">
        <v>2922.6</v>
      </c>
      <c r="E281" s="198">
        <v>0</v>
      </c>
      <c r="F281" s="198">
        <v>0</v>
      </c>
      <c r="G281" s="198">
        <v>0</v>
      </c>
      <c r="H281" s="198">
        <v>0</v>
      </c>
      <c r="I281" s="198">
        <v>0</v>
      </c>
      <c r="J281" s="198">
        <v>0</v>
      </c>
      <c r="K281" s="198">
        <v>0</v>
      </c>
      <c r="L281" s="198">
        <v>0</v>
      </c>
      <c r="M281" s="198">
        <v>0</v>
      </c>
      <c r="N281" s="198">
        <v>0</v>
      </c>
      <c r="O281" s="198">
        <v>0</v>
      </c>
      <c r="P281" s="198">
        <v>0</v>
      </c>
      <c r="Q281" s="198">
        <v>0</v>
      </c>
      <c r="R281" s="198">
        <v>0</v>
      </c>
      <c r="S281" s="198">
        <v>0</v>
      </c>
      <c r="T281" s="198">
        <v>0</v>
      </c>
      <c r="U281" s="198">
        <v>0</v>
      </c>
      <c r="V281" s="198">
        <v>0</v>
      </c>
      <c r="W281" s="198">
        <v>0</v>
      </c>
      <c r="X281" s="198">
        <v>0</v>
      </c>
      <c r="Y281" s="198">
        <v>0</v>
      </c>
      <c r="Z281" s="198">
        <v>0</v>
      </c>
      <c r="AA281" s="198">
        <v>0</v>
      </c>
      <c r="AB281" s="198">
        <v>0</v>
      </c>
      <c r="AC281" s="198">
        <v>0</v>
      </c>
      <c r="AD281" s="198">
        <v>0</v>
      </c>
      <c r="AE281" s="198">
        <v>0</v>
      </c>
      <c r="AF281" s="198">
        <v>0</v>
      </c>
      <c r="AG281" s="198">
        <v>0</v>
      </c>
      <c r="AH281" s="198">
        <v>0</v>
      </c>
      <c r="AI281" s="198">
        <v>0</v>
      </c>
      <c r="AJ281" s="198">
        <v>0</v>
      </c>
      <c r="AK281" s="198">
        <v>0</v>
      </c>
      <c r="AL281" s="198">
        <v>0</v>
      </c>
      <c r="AM281" s="198">
        <v>0</v>
      </c>
      <c r="AN281" s="198">
        <v>0</v>
      </c>
      <c r="AO281" s="198">
        <v>0</v>
      </c>
      <c r="AP281" s="198">
        <v>0</v>
      </c>
      <c r="AQ281" s="198">
        <v>0</v>
      </c>
      <c r="AR281" s="198">
        <v>0</v>
      </c>
      <c r="AS281" s="198">
        <v>0</v>
      </c>
      <c r="AT281" s="198">
        <v>0</v>
      </c>
      <c r="AU281" s="198">
        <v>0</v>
      </c>
      <c r="AV281" s="198">
        <v>0</v>
      </c>
      <c r="AW281" s="198">
        <v>0</v>
      </c>
      <c r="AX281" s="198">
        <v>0</v>
      </c>
      <c r="AY281" s="198">
        <v>0</v>
      </c>
      <c r="AZ281" s="198">
        <v>0</v>
      </c>
      <c r="BA281" s="198">
        <v>0</v>
      </c>
      <c r="BB281" s="198">
        <v>0</v>
      </c>
      <c r="BC281" s="198">
        <v>0</v>
      </c>
      <c r="BD281" s="198">
        <v>0</v>
      </c>
      <c r="BE281" s="198">
        <v>0</v>
      </c>
      <c r="BF281" s="198">
        <v>0</v>
      </c>
      <c r="BG281" s="198">
        <v>0</v>
      </c>
      <c r="BH281" s="198">
        <v>0</v>
      </c>
      <c r="BI281" s="198">
        <v>0</v>
      </c>
      <c r="BJ281" s="198">
        <v>0</v>
      </c>
      <c r="BK281" s="198">
        <v>0</v>
      </c>
      <c r="BL281" s="198">
        <v>0</v>
      </c>
      <c r="BM281" s="198">
        <v>0</v>
      </c>
      <c r="BN281" s="198">
        <v>0</v>
      </c>
      <c r="BO281" s="198">
        <v>0</v>
      </c>
      <c r="BP281" s="198">
        <v>0</v>
      </c>
      <c r="BQ281" s="198">
        <v>0</v>
      </c>
      <c r="BR281" s="198">
        <v>0</v>
      </c>
      <c r="BS281" s="198">
        <v>0</v>
      </c>
      <c r="BT281" s="198">
        <v>0</v>
      </c>
      <c r="BU281" s="198">
        <v>0</v>
      </c>
      <c r="BV281" s="198">
        <v>0</v>
      </c>
      <c r="BW281" s="198">
        <v>0</v>
      </c>
      <c r="BX281" s="198">
        <v>0</v>
      </c>
      <c r="BY281" s="198">
        <v>0</v>
      </c>
      <c r="BZ281" s="198">
        <v>0</v>
      </c>
      <c r="CA281" s="198">
        <v>0</v>
      </c>
      <c r="CB281" s="198">
        <v>0</v>
      </c>
      <c r="CC281" s="198">
        <v>0</v>
      </c>
      <c r="CD281" s="198">
        <v>0</v>
      </c>
      <c r="CE281" s="198">
        <v>0</v>
      </c>
      <c r="CF281" s="198">
        <v>0</v>
      </c>
      <c r="CG281" s="198">
        <v>0</v>
      </c>
      <c r="CH281" s="198">
        <v>0</v>
      </c>
      <c r="CI281" s="198">
        <v>0</v>
      </c>
      <c r="CJ281" s="198">
        <v>0</v>
      </c>
      <c r="CK281" s="88"/>
    </row>
    <row r="282" spans="1:89" x14ac:dyDescent="0.3">
      <c r="A282" s="173"/>
      <c r="B282" s="197" t="s">
        <v>88</v>
      </c>
      <c r="C282" s="198">
        <v>24.9</v>
      </c>
      <c r="D282" s="198">
        <v>9.1</v>
      </c>
      <c r="E282" s="198">
        <v>0</v>
      </c>
      <c r="F282" s="198">
        <v>14.6</v>
      </c>
      <c r="G282" s="198">
        <v>41</v>
      </c>
      <c r="H282" s="198">
        <v>0</v>
      </c>
      <c r="I282" s="198">
        <v>105</v>
      </c>
      <c r="J282" s="198">
        <v>66.099999999999994</v>
      </c>
      <c r="K282" s="198">
        <v>9.4</v>
      </c>
      <c r="L282" s="198">
        <v>5</v>
      </c>
      <c r="M282" s="198">
        <v>0</v>
      </c>
      <c r="N282" s="198">
        <v>10</v>
      </c>
      <c r="O282" s="198">
        <v>4.8</v>
      </c>
      <c r="P282" s="198">
        <v>0</v>
      </c>
      <c r="Q282" s="198">
        <v>4.7</v>
      </c>
      <c r="R282" s="198">
        <v>8.9</v>
      </c>
      <c r="S282" s="198">
        <v>0</v>
      </c>
      <c r="T282" s="198">
        <v>8.5</v>
      </c>
      <c r="U282" s="198">
        <v>4.2</v>
      </c>
      <c r="V282" s="198">
        <v>4.0999999999999996</v>
      </c>
      <c r="W282" s="198">
        <v>4</v>
      </c>
      <c r="X282" s="198">
        <v>0</v>
      </c>
      <c r="Y282" s="198">
        <v>7.7</v>
      </c>
      <c r="Z282" s="198">
        <v>3.7</v>
      </c>
      <c r="AA282" s="198">
        <v>0</v>
      </c>
      <c r="AB282" s="198">
        <v>3.5</v>
      </c>
      <c r="AC282" s="198">
        <v>6.9</v>
      </c>
      <c r="AD282" s="198">
        <v>3.4</v>
      </c>
      <c r="AE282" s="198">
        <v>3.3</v>
      </c>
      <c r="AF282" s="198">
        <v>3.3</v>
      </c>
      <c r="AG282" s="198">
        <v>0</v>
      </c>
      <c r="AH282" s="198">
        <v>6.5</v>
      </c>
      <c r="AI282" s="198">
        <v>3.3</v>
      </c>
      <c r="AJ282" s="198">
        <v>0</v>
      </c>
      <c r="AK282" s="198">
        <v>6.5</v>
      </c>
      <c r="AL282" s="198">
        <v>3.2</v>
      </c>
      <c r="AM282" s="198">
        <v>3.2</v>
      </c>
      <c r="AN282" s="198">
        <v>0</v>
      </c>
      <c r="AO282" s="198">
        <v>6.2</v>
      </c>
      <c r="AP282" s="198">
        <v>0</v>
      </c>
      <c r="AQ282" s="198">
        <v>5.8</v>
      </c>
      <c r="AR282" s="198">
        <v>2.8</v>
      </c>
      <c r="AS282" s="198">
        <v>0</v>
      </c>
      <c r="AT282" s="198">
        <v>5.2</v>
      </c>
      <c r="AU282" s="198">
        <v>2.5</v>
      </c>
      <c r="AV282" s="198">
        <v>49.7</v>
      </c>
      <c r="AW282" s="198">
        <v>1.7</v>
      </c>
      <c r="AX282" s="198">
        <v>1.6</v>
      </c>
      <c r="AY282" s="198">
        <v>1.5</v>
      </c>
      <c r="AZ282" s="198">
        <v>1.5</v>
      </c>
      <c r="BA282" s="198">
        <v>1.4</v>
      </c>
      <c r="BB282" s="198">
        <v>0</v>
      </c>
      <c r="BC282" s="198">
        <v>2.5</v>
      </c>
      <c r="BD282" s="198">
        <v>1.2</v>
      </c>
      <c r="BE282" s="198">
        <v>1.1000000000000001</v>
      </c>
      <c r="BF282" s="198">
        <v>1</v>
      </c>
      <c r="BG282" s="198">
        <v>0</v>
      </c>
      <c r="BH282" s="198">
        <v>1.6</v>
      </c>
      <c r="BI282" s="198">
        <v>0.8</v>
      </c>
      <c r="BJ282" s="198">
        <v>0.8</v>
      </c>
      <c r="BK282" s="198">
        <v>0.4</v>
      </c>
      <c r="BL282" s="198">
        <v>0.4</v>
      </c>
      <c r="BM282" s="198">
        <v>0</v>
      </c>
      <c r="BN282" s="198">
        <v>0.7</v>
      </c>
      <c r="BO282" s="198">
        <v>0.3</v>
      </c>
      <c r="BP282" s="198">
        <v>0</v>
      </c>
      <c r="BQ282" s="198">
        <v>0.7</v>
      </c>
      <c r="BR282" s="198">
        <v>0</v>
      </c>
      <c r="BS282" s="198">
        <v>0.6</v>
      </c>
      <c r="BT282" s="198">
        <v>0.3</v>
      </c>
      <c r="BU282" s="198">
        <v>0</v>
      </c>
      <c r="BV282" s="198">
        <v>0.6</v>
      </c>
      <c r="BW282" s="198">
        <v>0.3</v>
      </c>
      <c r="BX282" s="198">
        <v>0.3</v>
      </c>
      <c r="BY282" s="198">
        <v>0.3</v>
      </c>
      <c r="BZ282" s="198">
        <v>0.3</v>
      </c>
      <c r="CA282" s="198">
        <v>0</v>
      </c>
      <c r="CB282" s="198">
        <v>0.5</v>
      </c>
      <c r="CC282" s="198">
        <v>0.3</v>
      </c>
      <c r="CD282" s="198">
        <v>0</v>
      </c>
      <c r="CE282" s="198">
        <v>0.5</v>
      </c>
      <c r="CF282" s="198">
        <v>0.2</v>
      </c>
      <c r="CG282" s="198">
        <v>0</v>
      </c>
      <c r="CH282" s="198">
        <v>0.5</v>
      </c>
      <c r="CI282" s="198">
        <v>0</v>
      </c>
      <c r="CJ282" s="198">
        <v>0.2</v>
      </c>
      <c r="CK282" s="88"/>
    </row>
    <row r="283" spans="1:89" x14ac:dyDescent="0.3">
      <c r="A283" s="173"/>
      <c r="B283" s="197" t="s">
        <v>76</v>
      </c>
      <c r="C283" s="198">
        <v>0</v>
      </c>
      <c r="D283" s="198">
        <v>0</v>
      </c>
      <c r="E283" s="198">
        <v>0</v>
      </c>
      <c r="F283" s="198">
        <v>0</v>
      </c>
      <c r="G283" s="198">
        <v>0</v>
      </c>
      <c r="H283" s="198">
        <v>0</v>
      </c>
      <c r="I283" s="198">
        <v>0</v>
      </c>
      <c r="J283" s="198">
        <v>0</v>
      </c>
      <c r="K283" s="198">
        <v>0</v>
      </c>
      <c r="L283" s="198">
        <v>0</v>
      </c>
      <c r="M283" s="198">
        <v>0</v>
      </c>
      <c r="N283" s="198">
        <v>0</v>
      </c>
      <c r="O283" s="198">
        <v>0</v>
      </c>
      <c r="P283" s="198">
        <v>0</v>
      </c>
      <c r="Q283" s="198">
        <v>0</v>
      </c>
      <c r="R283" s="198">
        <v>0</v>
      </c>
      <c r="S283" s="198">
        <v>0</v>
      </c>
      <c r="T283" s="198">
        <v>0</v>
      </c>
      <c r="U283" s="198">
        <v>0</v>
      </c>
      <c r="V283" s="198">
        <v>0</v>
      </c>
      <c r="W283" s="198">
        <v>0</v>
      </c>
      <c r="X283" s="198">
        <v>0</v>
      </c>
      <c r="Y283" s="198">
        <v>0</v>
      </c>
      <c r="Z283" s="198">
        <v>0</v>
      </c>
      <c r="AA283" s="198">
        <v>0</v>
      </c>
      <c r="AB283" s="198">
        <v>458.2</v>
      </c>
      <c r="AC283" s="198">
        <v>0</v>
      </c>
      <c r="AD283" s="198">
        <v>0</v>
      </c>
      <c r="AE283" s="198">
        <v>0</v>
      </c>
      <c r="AF283" s="198">
        <v>0</v>
      </c>
      <c r="AG283" s="198">
        <v>0</v>
      </c>
      <c r="AH283" s="198">
        <v>0</v>
      </c>
      <c r="AI283" s="198">
        <v>0</v>
      </c>
      <c r="AJ283" s="198">
        <v>0</v>
      </c>
      <c r="AK283" s="198">
        <v>0</v>
      </c>
      <c r="AL283" s="198">
        <v>0</v>
      </c>
      <c r="AM283" s="198">
        <v>0</v>
      </c>
      <c r="AN283" s="198">
        <v>0</v>
      </c>
      <c r="AO283" s="198">
        <v>0</v>
      </c>
      <c r="AP283" s="198">
        <v>0</v>
      </c>
      <c r="AQ283" s="198">
        <v>0</v>
      </c>
      <c r="AR283" s="198">
        <v>0</v>
      </c>
      <c r="AS283" s="198">
        <v>0</v>
      </c>
      <c r="AT283" s="198">
        <v>0</v>
      </c>
      <c r="AU283" s="198">
        <v>0</v>
      </c>
      <c r="AV283" s="198">
        <v>0</v>
      </c>
      <c r="AW283" s="198">
        <v>0</v>
      </c>
      <c r="AX283" s="198">
        <v>0</v>
      </c>
      <c r="AY283" s="198">
        <v>0</v>
      </c>
      <c r="AZ283" s="198">
        <v>0</v>
      </c>
      <c r="BA283" s="198">
        <v>0</v>
      </c>
      <c r="BB283" s="198">
        <v>0</v>
      </c>
      <c r="BC283" s="198">
        <v>0</v>
      </c>
      <c r="BD283" s="198">
        <v>0</v>
      </c>
      <c r="BE283" s="198">
        <v>0</v>
      </c>
      <c r="BF283" s="198">
        <v>0</v>
      </c>
      <c r="BG283" s="198">
        <v>0</v>
      </c>
      <c r="BH283" s="198">
        <v>0</v>
      </c>
      <c r="BI283" s="198">
        <v>0</v>
      </c>
      <c r="BJ283" s="198">
        <v>0</v>
      </c>
      <c r="BK283" s="198">
        <v>0</v>
      </c>
      <c r="BL283" s="198">
        <v>0</v>
      </c>
      <c r="BM283" s="198">
        <v>0</v>
      </c>
      <c r="BN283" s="198">
        <v>0</v>
      </c>
      <c r="BO283" s="198">
        <v>0</v>
      </c>
      <c r="BP283" s="198">
        <v>0</v>
      </c>
      <c r="BQ283" s="198">
        <v>0</v>
      </c>
      <c r="BR283" s="198">
        <v>0</v>
      </c>
      <c r="BS283" s="198">
        <v>0</v>
      </c>
      <c r="BT283" s="198">
        <v>0</v>
      </c>
      <c r="BU283" s="198">
        <v>0</v>
      </c>
      <c r="BV283" s="198">
        <v>0</v>
      </c>
      <c r="BW283" s="198">
        <v>0</v>
      </c>
      <c r="BX283" s="198">
        <v>0</v>
      </c>
      <c r="BY283" s="198">
        <v>0</v>
      </c>
      <c r="BZ283" s="198">
        <v>0</v>
      </c>
      <c r="CA283" s="198">
        <v>0</v>
      </c>
      <c r="CB283" s="198">
        <v>0</v>
      </c>
      <c r="CC283" s="198">
        <v>0</v>
      </c>
      <c r="CD283" s="198">
        <v>0</v>
      </c>
      <c r="CE283" s="198">
        <v>0</v>
      </c>
      <c r="CF283" s="198">
        <v>0</v>
      </c>
      <c r="CG283" s="198">
        <v>0</v>
      </c>
      <c r="CH283" s="198">
        <v>0</v>
      </c>
      <c r="CI283" s="198">
        <v>0</v>
      </c>
      <c r="CJ283" s="198">
        <v>0</v>
      </c>
      <c r="CK283" s="88"/>
    </row>
    <row r="284" spans="1:89" x14ac:dyDescent="0.3">
      <c r="A284" s="173"/>
      <c r="B284" s="197" t="s">
        <v>305</v>
      </c>
      <c r="C284" s="198">
        <v>0</v>
      </c>
      <c r="D284" s="198">
        <v>0</v>
      </c>
      <c r="E284" s="198">
        <v>0</v>
      </c>
      <c r="F284" s="198">
        <v>0</v>
      </c>
      <c r="G284" s="198">
        <v>0</v>
      </c>
      <c r="H284" s="198">
        <v>0</v>
      </c>
      <c r="I284" s="198">
        <v>0</v>
      </c>
      <c r="J284" s="198">
        <v>0</v>
      </c>
      <c r="K284" s="198">
        <v>0</v>
      </c>
      <c r="L284" s="198">
        <v>0</v>
      </c>
      <c r="M284" s="198">
        <v>0</v>
      </c>
      <c r="N284" s="198">
        <v>0</v>
      </c>
      <c r="O284" s="198">
        <v>0</v>
      </c>
      <c r="P284" s="198">
        <v>0</v>
      </c>
      <c r="Q284" s="198">
        <v>0</v>
      </c>
      <c r="R284" s="198">
        <v>0</v>
      </c>
      <c r="S284" s="198">
        <v>0</v>
      </c>
      <c r="T284" s="198">
        <v>0</v>
      </c>
      <c r="U284" s="198">
        <v>0</v>
      </c>
      <c r="V284" s="198">
        <v>0</v>
      </c>
      <c r="W284" s="198">
        <v>0</v>
      </c>
      <c r="X284" s="198">
        <v>0</v>
      </c>
      <c r="Y284" s="198">
        <v>0</v>
      </c>
      <c r="Z284" s="198">
        <v>0</v>
      </c>
      <c r="AA284" s="198">
        <v>0</v>
      </c>
      <c r="AB284" s="198">
        <v>0</v>
      </c>
      <c r="AC284" s="198">
        <v>0</v>
      </c>
      <c r="AD284" s="198">
        <v>0</v>
      </c>
      <c r="AE284" s="198">
        <v>0</v>
      </c>
      <c r="AF284" s="198">
        <v>0</v>
      </c>
      <c r="AG284" s="198">
        <v>0</v>
      </c>
      <c r="AH284" s="198">
        <v>0</v>
      </c>
      <c r="AI284" s="198">
        <v>0</v>
      </c>
      <c r="AJ284" s="198">
        <v>0</v>
      </c>
      <c r="AK284" s="198">
        <v>0</v>
      </c>
      <c r="AL284" s="198">
        <v>0</v>
      </c>
      <c r="AM284" s="198">
        <v>0</v>
      </c>
      <c r="AN284" s="198">
        <v>0</v>
      </c>
      <c r="AO284" s="198">
        <v>0</v>
      </c>
      <c r="AP284" s="198">
        <v>625.4</v>
      </c>
      <c r="AQ284" s="198">
        <v>0</v>
      </c>
      <c r="AR284" s="198">
        <v>0</v>
      </c>
      <c r="AS284" s="198">
        <v>0</v>
      </c>
      <c r="AT284" s="198">
        <v>0</v>
      </c>
      <c r="AU284" s="198">
        <v>0</v>
      </c>
      <c r="AV284" s="198">
        <v>0</v>
      </c>
      <c r="AW284" s="198">
        <v>0</v>
      </c>
      <c r="AX284" s="198">
        <v>0</v>
      </c>
      <c r="AY284" s="198">
        <v>0</v>
      </c>
      <c r="AZ284" s="198">
        <v>0</v>
      </c>
      <c r="BA284" s="198">
        <v>0</v>
      </c>
      <c r="BB284" s="198">
        <v>0</v>
      </c>
      <c r="BC284" s="198">
        <v>0</v>
      </c>
      <c r="BD284" s="198">
        <v>0</v>
      </c>
      <c r="BE284" s="198">
        <v>0</v>
      </c>
      <c r="BF284" s="198">
        <v>0</v>
      </c>
      <c r="BG284" s="198">
        <v>0</v>
      </c>
      <c r="BH284" s="198">
        <v>0</v>
      </c>
      <c r="BI284" s="198">
        <v>0</v>
      </c>
      <c r="BJ284" s="198">
        <v>0</v>
      </c>
      <c r="BK284" s="198">
        <v>0</v>
      </c>
      <c r="BL284" s="198">
        <v>0</v>
      </c>
      <c r="BM284" s="198">
        <v>0</v>
      </c>
      <c r="BN284" s="198">
        <v>0</v>
      </c>
      <c r="BO284" s="198">
        <v>0</v>
      </c>
      <c r="BP284" s="198">
        <v>0</v>
      </c>
      <c r="BQ284" s="198">
        <v>0</v>
      </c>
      <c r="BR284" s="198">
        <v>0</v>
      </c>
      <c r="BS284" s="198">
        <v>0</v>
      </c>
      <c r="BT284" s="198">
        <v>0</v>
      </c>
      <c r="BU284" s="198">
        <v>0</v>
      </c>
      <c r="BV284" s="198">
        <v>0</v>
      </c>
      <c r="BW284" s="198">
        <v>0</v>
      </c>
      <c r="BX284" s="198">
        <v>0</v>
      </c>
      <c r="BY284" s="198">
        <v>0</v>
      </c>
      <c r="BZ284" s="198">
        <v>0</v>
      </c>
      <c r="CA284" s="198">
        <v>0</v>
      </c>
      <c r="CB284" s="198">
        <v>0</v>
      </c>
      <c r="CC284" s="198">
        <v>0</v>
      </c>
      <c r="CD284" s="198">
        <v>0</v>
      </c>
      <c r="CE284" s="198">
        <v>0</v>
      </c>
      <c r="CF284" s="198">
        <v>0</v>
      </c>
      <c r="CG284" s="198">
        <v>0</v>
      </c>
      <c r="CH284" s="198">
        <v>0</v>
      </c>
      <c r="CI284" s="198">
        <v>0</v>
      </c>
      <c r="CJ284" s="198">
        <v>0</v>
      </c>
      <c r="CK284" s="88"/>
    </row>
    <row r="285" spans="1:89" x14ac:dyDescent="0.3">
      <c r="A285" s="173"/>
      <c r="B285" s="197" t="s">
        <v>89</v>
      </c>
      <c r="C285" s="198">
        <v>0</v>
      </c>
      <c r="D285" s="198">
        <v>0</v>
      </c>
      <c r="E285" s="198">
        <v>1008.6</v>
      </c>
      <c r="F285" s="198">
        <v>0</v>
      </c>
      <c r="G285" s="198">
        <v>0</v>
      </c>
      <c r="H285" s="198">
        <v>0</v>
      </c>
      <c r="I285" s="198">
        <v>0</v>
      </c>
      <c r="J285" s="198">
        <v>0</v>
      </c>
      <c r="K285" s="198">
        <v>0</v>
      </c>
      <c r="L285" s="198">
        <v>0</v>
      </c>
      <c r="M285" s="198">
        <v>0</v>
      </c>
      <c r="N285" s="198">
        <v>0</v>
      </c>
      <c r="O285" s="198">
        <v>0</v>
      </c>
      <c r="P285" s="198">
        <v>0</v>
      </c>
      <c r="Q285" s="198">
        <v>0</v>
      </c>
      <c r="R285" s="198">
        <v>0</v>
      </c>
      <c r="S285" s="198">
        <v>0</v>
      </c>
      <c r="T285" s="198">
        <v>0</v>
      </c>
      <c r="U285" s="198">
        <v>0</v>
      </c>
      <c r="V285" s="198">
        <v>0</v>
      </c>
      <c r="W285" s="198">
        <v>0</v>
      </c>
      <c r="X285" s="198">
        <v>0</v>
      </c>
      <c r="Y285" s="198">
        <v>0</v>
      </c>
      <c r="Z285" s="198">
        <v>0</v>
      </c>
      <c r="AA285" s="198">
        <v>0</v>
      </c>
      <c r="AB285" s="198">
        <v>0</v>
      </c>
      <c r="AC285" s="198">
        <v>0</v>
      </c>
      <c r="AD285" s="198">
        <v>0</v>
      </c>
      <c r="AE285" s="198">
        <v>0</v>
      </c>
      <c r="AF285" s="198">
        <v>0</v>
      </c>
      <c r="AG285" s="198">
        <v>0</v>
      </c>
      <c r="AH285" s="198">
        <v>0</v>
      </c>
      <c r="AI285" s="198">
        <v>0</v>
      </c>
      <c r="AJ285" s="198">
        <v>0</v>
      </c>
      <c r="AK285" s="198">
        <v>0</v>
      </c>
      <c r="AL285" s="198">
        <v>0</v>
      </c>
      <c r="AM285" s="198">
        <v>0</v>
      </c>
      <c r="AN285" s="198">
        <v>0</v>
      </c>
      <c r="AO285" s="198">
        <v>0</v>
      </c>
      <c r="AP285" s="198">
        <v>0</v>
      </c>
      <c r="AQ285" s="198">
        <v>0</v>
      </c>
      <c r="AR285" s="198">
        <v>0</v>
      </c>
      <c r="AS285" s="198">
        <v>0</v>
      </c>
      <c r="AT285" s="198">
        <v>0</v>
      </c>
      <c r="AU285" s="198">
        <v>0</v>
      </c>
      <c r="AV285" s="198">
        <v>0</v>
      </c>
      <c r="AW285" s="198">
        <v>0</v>
      </c>
      <c r="AX285" s="198">
        <v>0</v>
      </c>
      <c r="AY285" s="198">
        <v>0</v>
      </c>
      <c r="AZ285" s="198">
        <v>0</v>
      </c>
      <c r="BA285" s="198">
        <v>0</v>
      </c>
      <c r="BB285" s="198">
        <v>0</v>
      </c>
      <c r="BC285" s="198">
        <v>0</v>
      </c>
      <c r="BD285" s="198">
        <v>0</v>
      </c>
      <c r="BE285" s="198">
        <v>0</v>
      </c>
      <c r="BF285" s="198">
        <v>0</v>
      </c>
      <c r="BG285" s="198">
        <v>0</v>
      </c>
      <c r="BH285" s="198">
        <v>0</v>
      </c>
      <c r="BI285" s="198">
        <v>0</v>
      </c>
      <c r="BJ285" s="198">
        <v>0</v>
      </c>
      <c r="BK285" s="198">
        <v>0</v>
      </c>
      <c r="BL285" s="198">
        <v>0</v>
      </c>
      <c r="BM285" s="198">
        <v>0</v>
      </c>
      <c r="BN285" s="198">
        <v>0</v>
      </c>
      <c r="BO285" s="198">
        <v>0</v>
      </c>
      <c r="BP285" s="198">
        <v>0</v>
      </c>
      <c r="BQ285" s="198">
        <v>0</v>
      </c>
      <c r="BR285" s="198">
        <v>0</v>
      </c>
      <c r="BS285" s="198">
        <v>0</v>
      </c>
      <c r="BT285" s="198">
        <v>0</v>
      </c>
      <c r="BU285" s="198">
        <v>0</v>
      </c>
      <c r="BV285" s="198">
        <v>0</v>
      </c>
      <c r="BW285" s="198">
        <v>0</v>
      </c>
      <c r="BX285" s="198">
        <v>0</v>
      </c>
      <c r="BY285" s="198">
        <v>0</v>
      </c>
      <c r="BZ285" s="198">
        <v>0</v>
      </c>
      <c r="CA285" s="198">
        <v>0</v>
      </c>
      <c r="CB285" s="198">
        <v>0</v>
      </c>
      <c r="CC285" s="198">
        <v>0</v>
      </c>
      <c r="CD285" s="198">
        <v>0</v>
      </c>
      <c r="CE285" s="198">
        <v>0</v>
      </c>
      <c r="CF285" s="198">
        <v>0</v>
      </c>
      <c r="CG285" s="198">
        <v>0</v>
      </c>
      <c r="CH285" s="198">
        <v>0</v>
      </c>
      <c r="CI285" s="198">
        <v>0</v>
      </c>
      <c r="CJ285" s="198">
        <v>0</v>
      </c>
      <c r="CK285" s="88"/>
    </row>
    <row r="286" spans="1:89" x14ac:dyDescent="0.3">
      <c r="A286" s="173"/>
      <c r="B286" s="197" t="s">
        <v>289</v>
      </c>
      <c r="C286" s="198">
        <v>0</v>
      </c>
      <c r="D286" s="198">
        <v>0</v>
      </c>
      <c r="E286" s="198">
        <v>0</v>
      </c>
      <c r="F286" s="198">
        <v>0</v>
      </c>
      <c r="G286" s="198">
        <v>0</v>
      </c>
      <c r="H286" s="198">
        <v>0</v>
      </c>
      <c r="I286" s="198">
        <v>0</v>
      </c>
      <c r="J286" s="198">
        <v>0</v>
      </c>
      <c r="K286" s="198">
        <v>0</v>
      </c>
      <c r="L286" s="198">
        <v>0</v>
      </c>
      <c r="M286" s="198">
        <v>0</v>
      </c>
      <c r="N286" s="198">
        <v>0</v>
      </c>
      <c r="O286" s="198">
        <v>0</v>
      </c>
      <c r="P286" s="198">
        <v>0</v>
      </c>
      <c r="Q286" s="198">
        <v>0</v>
      </c>
      <c r="R286" s="198">
        <v>0</v>
      </c>
      <c r="S286" s="198">
        <v>0</v>
      </c>
      <c r="T286" s="198">
        <v>0</v>
      </c>
      <c r="U286" s="198">
        <v>0</v>
      </c>
      <c r="V286" s="198">
        <v>0</v>
      </c>
      <c r="W286" s="198">
        <v>0</v>
      </c>
      <c r="X286" s="198">
        <v>0</v>
      </c>
      <c r="Y286" s="198">
        <v>0</v>
      </c>
      <c r="Z286" s="198">
        <v>435.7</v>
      </c>
      <c r="AA286" s="198">
        <v>0</v>
      </c>
      <c r="AB286" s="198">
        <v>0</v>
      </c>
      <c r="AC286" s="198">
        <v>0</v>
      </c>
      <c r="AD286" s="198">
        <v>0</v>
      </c>
      <c r="AE286" s="198">
        <v>0</v>
      </c>
      <c r="AF286" s="198">
        <v>0</v>
      </c>
      <c r="AG286" s="198">
        <v>0</v>
      </c>
      <c r="AH286" s="198">
        <v>0</v>
      </c>
      <c r="AI286" s="198">
        <v>0</v>
      </c>
      <c r="AJ286" s="198">
        <v>0</v>
      </c>
      <c r="AK286" s="198">
        <v>0</v>
      </c>
      <c r="AL286" s="198">
        <v>0</v>
      </c>
      <c r="AM286" s="198">
        <v>0</v>
      </c>
      <c r="AN286" s="198">
        <v>0</v>
      </c>
      <c r="AO286" s="198">
        <v>0</v>
      </c>
      <c r="AP286" s="198">
        <v>0</v>
      </c>
      <c r="AQ286" s="198">
        <v>0</v>
      </c>
      <c r="AR286" s="198">
        <v>0</v>
      </c>
      <c r="AS286" s="198">
        <v>0</v>
      </c>
      <c r="AT286" s="198">
        <v>0</v>
      </c>
      <c r="AU286" s="198">
        <v>0</v>
      </c>
      <c r="AV286" s="198">
        <v>0</v>
      </c>
      <c r="AW286" s="198">
        <v>0</v>
      </c>
      <c r="AX286" s="198">
        <v>0</v>
      </c>
      <c r="AY286" s="198">
        <v>0</v>
      </c>
      <c r="AZ286" s="198">
        <v>0</v>
      </c>
      <c r="BA286" s="198">
        <v>0</v>
      </c>
      <c r="BB286" s="198">
        <v>0</v>
      </c>
      <c r="BC286" s="198">
        <v>0</v>
      </c>
      <c r="BD286" s="198">
        <v>0</v>
      </c>
      <c r="BE286" s="198">
        <v>0</v>
      </c>
      <c r="BF286" s="198">
        <v>0</v>
      </c>
      <c r="BG286" s="198">
        <v>0</v>
      </c>
      <c r="BH286" s="198">
        <v>0</v>
      </c>
      <c r="BI286" s="198">
        <v>0</v>
      </c>
      <c r="BJ286" s="198">
        <v>0</v>
      </c>
      <c r="BK286" s="198">
        <v>0</v>
      </c>
      <c r="BL286" s="198">
        <v>0</v>
      </c>
      <c r="BM286" s="198">
        <v>0</v>
      </c>
      <c r="BN286" s="198">
        <v>0</v>
      </c>
      <c r="BO286" s="198">
        <v>0</v>
      </c>
      <c r="BP286" s="198">
        <v>0</v>
      </c>
      <c r="BQ286" s="198">
        <v>0</v>
      </c>
      <c r="BR286" s="198">
        <v>0</v>
      </c>
      <c r="BS286" s="198">
        <v>0</v>
      </c>
      <c r="BT286" s="198">
        <v>0</v>
      </c>
      <c r="BU286" s="198">
        <v>0</v>
      </c>
      <c r="BV286" s="198">
        <v>0</v>
      </c>
      <c r="BW286" s="198">
        <v>0</v>
      </c>
      <c r="BX286" s="198">
        <v>0</v>
      </c>
      <c r="BY286" s="198">
        <v>0</v>
      </c>
      <c r="BZ286" s="198">
        <v>0</v>
      </c>
      <c r="CA286" s="198">
        <v>0</v>
      </c>
      <c r="CB286" s="198">
        <v>0</v>
      </c>
      <c r="CC286" s="198">
        <v>0</v>
      </c>
      <c r="CD286" s="198">
        <v>0</v>
      </c>
      <c r="CE286" s="198">
        <v>0</v>
      </c>
      <c r="CF286" s="198">
        <v>0</v>
      </c>
      <c r="CG286" s="198">
        <v>0</v>
      </c>
      <c r="CH286" s="198">
        <v>0</v>
      </c>
      <c r="CI286" s="198">
        <v>0</v>
      </c>
      <c r="CJ286" s="198">
        <v>0</v>
      </c>
      <c r="CK286" s="88"/>
    </row>
    <row r="287" spans="1:89" x14ac:dyDescent="0.3">
      <c r="A287" s="173"/>
      <c r="B287" s="197" t="s">
        <v>153</v>
      </c>
      <c r="C287" s="200">
        <v>0</v>
      </c>
      <c r="D287" s="200">
        <v>0</v>
      </c>
      <c r="E287" s="200">
        <v>0</v>
      </c>
      <c r="F287" s="200">
        <v>0</v>
      </c>
      <c r="G287" s="198">
        <v>0</v>
      </c>
      <c r="H287" s="198">
        <v>334.1</v>
      </c>
      <c r="I287" s="198">
        <v>0</v>
      </c>
      <c r="J287" s="198">
        <v>0</v>
      </c>
      <c r="K287" s="198">
        <v>0</v>
      </c>
      <c r="L287" s="198">
        <v>0</v>
      </c>
      <c r="M287" s="198">
        <v>0</v>
      </c>
      <c r="N287" s="198">
        <v>0</v>
      </c>
      <c r="O287" s="198">
        <v>0</v>
      </c>
      <c r="P287" s="198">
        <v>0</v>
      </c>
      <c r="Q287" s="198">
        <v>0</v>
      </c>
      <c r="R287" s="198">
        <v>0</v>
      </c>
      <c r="S287" s="198">
        <v>0</v>
      </c>
      <c r="T287" s="198">
        <v>0</v>
      </c>
      <c r="U287" s="198">
        <v>0</v>
      </c>
      <c r="V287" s="198">
        <v>0</v>
      </c>
      <c r="W287" s="198">
        <v>0</v>
      </c>
      <c r="X287" s="198">
        <v>0</v>
      </c>
      <c r="Y287" s="198">
        <v>0</v>
      </c>
      <c r="Z287" s="198">
        <v>0</v>
      </c>
      <c r="AA287" s="198">
        <v>0</v>
      </c>
      <c r="AB287" s="198">
        <v>0</v>
      </c>
      <c r="AC287" s="198">
        <v>0</v>
      </c>
      <c r="AD287" s="198">
        <v>0</v>
      </c>
      <c r="AE287" s="198">
        <v>0</v>
      </c>
      <c r="AF287" s="198">
        <v>0</v>
      </c>
      <c r="AG287" s="198">
        <v>0</v>
      </c>
      <c r="AH287" s="198">
        <v>0</v>
      </c>
      <c r="AI287" s="198">
        <v>0</v>
      </c>
      <c r="AJ287" s="198">
        <v>0</v>
      </c>
      <c r="AK287" s="198">
        <v>0</v>
      </c>
      <c r="AL287" s="198">
        <v>0</v>
      </c>
      <c r="AM287" s="198">
        <v>0</v>
      </c>
      <c r="AN287" s="198">
        <v>0</v>
      </c>
      <c r="AO287" s="198">
        <v>0</v>
      </c>
      <c r="AP287" s="198">
        <v>0</v>
      </c>
      <c r="AQ287" s="198">
        <v>0</v>
      </c>
      <c r="AR287" s="198">
        <v>0</v>
      </c>
      <c r="AS287" s="198">
        <v>0</v>
      </c>
      <c r="AT287" s="198">
        <v>0</v>
      </c>
      <c r="AU287" s="198">
        <v>0</v>
      </c>
      <c r="AV287" s="198">
        <v>0</v>
      </c>
      <c r="AW287" s="198">
        <v>0</v>
      </c>
      <c r="AX287" s="198">
        <v>0</v>
      </c>
      <c r="AY287" s="198">
        <v>0</v>
      </c>
      <c r="AZ287" s="198">
        <v>0</v>
      </c>
      <c r="BA287" s="198">
        <v>0</v>
      </c>
      <c r="BB287" s="198">
        <v>0</v>
      </c>
      <c r="BC287" s="198">
        <v>0</v>
      </c>
      <c r="BD287" s="198">
        <v>0</v>
      </c>
      <c r="BE287" s="198">
        <v>0</v>
      </c>
      <c r="BF287" s="198">
        <v>0</v>
      </c>
      <c r="BG287" s="198">
        <v>0</v>
      </c>
      <c r="BH287" s="198">
        <v>0</v>
      </c>
      <c r="BI287" s="198">
        <v>0</v>
      </c>
      <c r="BJ287" s="198">
        <v>0</v>
      </c>
      <c r="BK287" s="198">
        <v>0</v>
      </c>
      <c r="BL287" s="198">
        <v>0</v>
      </c>
      <c r="BM287" s="198">
        <v>0</v>
      </c>
      <c r="BN287" s="198">
        <v>0</v>
      </c>
      <c r="BO287" s="198">
        <v>0</v>
      </c>
      <c r="BP287" s="198">
        <v>0</v>
      </c>
      <c r="BQ287" s="198">
        <v>0</v>
      </c>
      <c r="BR287" s="198">
        <v>0</v>
      </c>
      <c r="BS287" s="198">
        <v>0</v>
      </c>
      <c r="BT287" s="198">
        <v>0</v>
      </c>
      <c r="BU287" s="198">
        <v>0</v>
      </c>
      <c r="BV287" s="198">
        <v>0</v>
      </c>
      <c r="BW287" s="198">
        <v>0</v>
      </c>
      <c r="BX287" s="198">
        <v>0</v>
      </c>
      <c r="BY287" s="198">
        <v>0</v>
      </c>
      <c r="BZ287" s="198">
        <v>0</v>
      </c>
      <c r="CA287" s="198">
        <v>0</v>
      </c>
      <c r="CB287" s="198">
        <v>0</v>
      </c>
      <c r="CC287" s="198">
        <v>0</v>
      </c>
      <c r="CD287" s="198">
        <v>0</v>
      </c>
      <c r="CE287" s="198">
        <v>0</v>
      </c>
      <c r="CF287" s="198">
        <v>0</v>
      </c>
      <c r="CG287" s="198">
        <v>0</v>
      </c>
      <c r="CH287" s="198">
        <v>0</v>
      </c>
      <c r="CI287" s="198">
        <v>0</v>
      </c>
      <c r="CJ287" s="198">
        <v>0</v>
      </c>
      <c r="CK287" s="88"/>
    </row>
    <row r="288" spans="1:89" x14ac:dyDescent="0.3">
      <c r="A288" s="173"/>
      <c r="B288" s="197" t="s">
        <v>206</v>
      </c>
      <c r="C288" s="198">
        <v>0</v>
      </c>
      <c r="D288" s="198">
        <v>0</v>
      </c>
      <c r="E288" s="198">
        <v>0</v>
      </c>
      <c r="F288" s="198">
        <v>0</v>
      </c>
      <c r="G288" s="198">
        <v>0</v>
      </c>
      <c r="H288" s="198">
        <v>0</v>
      </c>
      <c r="I288" s="198">
        <v>0</v>
      </c>
      <c r="J288" s="198">
        <v>0</v>
      </c>
      <c r="K288" s="198">
        <v>0</v>
      </c>
      <c r="L288" s="198">
        <v>0</v>
      </c>
      <c r="M288" s="198">
        <v>0</v>
      </c>
      <c r="N288" s="198">
        <v>0</v>
      </c>
      <c r="O288" s="198">
        <v>0</v>
      </c>
      <c r="P288" s="198">
        <v>0</v>
      </c>
      <c r="Q288" s="198">
        <v>268.89999999999998</v>
      </c>
      <c r="R288" s="198">
        <v>0</v>
      </c>
      <c r="S288" s="198">
        <v>0</v>
      </c>
      <c r="T288" s="198">
        <v>0</v>
      </c>
      <c r="U288" s="198">
        <v>0</v>
      </c>
      <c r="V288" s="198">
        <v>0</v>
      </c>
      <c r="W288" s="198">
        <v>0</v>
      </c>
      <c r="X288" s="198">
        <v>0</v>
      </c>
      <c r="Y288" s="198">
        <v>0</v>
      </c>
      <c r="Z288" s="198">
        <v>0</v>
      </c>
      <c r="AA288" s="198">
        <v>0</v>
      </c>
      <c r="AB288" s="198">
        <v>0</v>
      </c>
      <c r="AC288" s="198">
        <v>0</v>
      </c>
      <c r="AD288" s="198">
        <v>0</v>
      </c>
      <c r="AE288" s="198">
        <v>0</v>
      </c>
      <c r="AF288" s="198">
        <v>0</v>
      </c>
      <c r="AG288" s="198">
        <v>0</v>
      </c>
      <c r="AH288" s="198">
        <v>0</v>
      </c>
      <c r="AI288" s="198">
        <v>0</v>
      </c>
      <c r="AJ288" s="198">
        <v>0</v>
      </c>
      <c r="AK288" s="198">
        <v>0</v>
      </c>
      <c r="AL288" s="198">
        <v>0</v>
      </c>
      <c r="AM288" s="198">
        <v>0</v>
      </c>
      <c r="AN288" s="198">
        <v>0</v>
      </c>
      <c r="AO288" s="198">
        <v>0</v>
      </c>
      <c r="AP288" s="198">
        <v>0</v>
      </c>
      <c r="AQ288" s="198">
        <v>0</v>
      </c>
      <c r="AR288" s="198">
        <v>0</v>
      </c>
      <c r="AS288" s="198">
        <v>0</v>
      </c>
      <c r="AT288" s="198">
        <v>0</v>
      </c>
      <c r="AU288" s="198">
        <v>0</v>
      </c>
      <c r="AV288" s="198">
        <v>0</v>
      </c>
      <c r="AW288" s="198">
        <v>0</v>
      </c>
      <c r="AX288" s="198">
        <v>0</v>
      </c>
      <c r="AY288" s="198">
        <v>0</v>
      </c>
      <c r="AZ288" s="198">
        <v>0</v>
      </c>
      <c r="BA288" s="198">
        <v>0</v>
      </c>
      <c r="BB288" s="198">
        <v>0</v>
      </c>
      <c r="BC288" s="198">
        <v>0</v>
      </c>
      <c r="BD288" s="198">
        <v>0</v>
      </c>
      <c r="BE288" s="198">
        <v>0</v>
      </c>
      <c r="BF288" s="198">
        <v>0</v>
      </c>
      <c r="BG288" s="198">
        <v>0</v>
      </c>
      <c r="BH288" s="198">
        <v>0</v>
      </c>
      <c r="BI288" s="198">
        <v>0</v>
      </c>
      <c r="BJ288" s="198">
        <v>0</v>
      </c>
      <c r="BK288" s="198">
        <v>0</v>
      </c>
      <c r="BL288" s="198">
        <v>0</v>
      </c>
      <c r="BM288" s="198">
        <v>0</v>
      </c>
      <c r="BN288" s="198">
        <v>0</v>
      </c>
      <c r="BO288" s="198">
        <v>0</v>
      </c>
      <c r="BP288" s="198">
        <v>0</v>
      </c>
      <c r="BQ288" s="198">
        <v>0</v>
      </c>
      <c r="BR288" s="198">
        <v>0</v>
      </c>
      <c r="BS288" s="198">
        <v>0</v>
      </c>
      <c r="BT288" s="198">
        <v>0</v>
      </c>
      <c r="BU288" s="198">
        <v>0</v>
      </c>
      <c r="BV288" s="198">
        <v>0</v>
      </c>
      <c r="BW288" s="198">
        <v>0</v>
      </c>
      <c r="BX288" s="198">
        <v>0</v>
      </c>
      <c r="BY288" s="198">
        <v>0</v>
      </c>
      <c r="BZ288" s="198">
        <v>0</v>
      </c>
      <c r="CA288" s="198">
        <v>0</v>
      </c>
      <c r="CB288" s="198">
        <v>0</v>
      </c>
      <c r="CC288" s="198">
        <v>0</v>
      </c>
      <c r="CD288" s="198">
        <v>0</v>
      </c>
      <c r="CE288" s="198">
        <v>0</v>
      </c>
      <c r="CF288" s="198">
        <v>0</v>
      </c>
      <c r="CG288" s="198">
        <v>0</v>
      </c>
      <c r="CH288" s="198">
        <v>0</v>
      </c>
      <c r="CI288" s="198">
        <v>0</v>
      </c>
      <c r="CJ288" s="198">
        <v>0</v>
      </c>
      <c r="CK288" s="88"/>
    </row>
    <row r="289" spans="1:89" x14ac:dyDescent="0.3">
      <c r="A289" s="173"/>
      <c r="B289" s="197" t="s">
        <v>159</v>
      </c>
      <c r="C289" s="198">
        <v>0</v>
      </c>
      <c r="D289" s="198">
        <v>0</v>
      </c>
      <c r="E289" s="198">
        <v>0</v>
      </c>
      <c r="F289" s="198">
        <v>0</v>
      </c>
      <c r="G289" s="198">
        <v>0</v>
      </c>
      <c r="H289" s="198">
        <v>0</v>
      </c>
      <c r="I289" s="198">
        <v>0</v>
      </c>
      <c r="J289" s="198">
        <v>22</v>
      </c>
      <c r="K289" s="198">
        <v>0</v>
      </c>
      <c r="L289" s="198">
        <v>0</v>
      </c>
      <c r="M289" s="198">
        <v>0</v>
      </c>
      <c r="N289" s="198">
        <v>0</v>
      </c>
      <c r="O289" s="198">
        <v>0</v>
      </c>
      <c r="P289" s="198">
        <v>0</v>
      </c>
      <c r="Q289" s="198">
        <v>0</v>
      </c>
      <c r="R289" s="198">
        <v>0</v>
      </c>
      <c r="S289" s="198">
        <v>0</v>
      </c>
      <c r="T289" s="198">
        <v>0</v>
      </c>
      <c r="U289" s="198">
        <v>0</v>
      </c>
      <c r="V289" s="198">
        <v>0</v>
      </c>
      <c r="W289" s="198">
        <v>0</v>
      </c>
      <c r="X289" s="198">
        <v>0</v>
      </c>
      <c r="Y289" s="198">
        <v>0</v>
      </c>
      <c r="Z289" s="198">
        <v>0</v>
      </c>
      <c r="AA289" s="198">
        <v>0</v>
      </c>
      <c r="AB289" s="198">
        <v>0</v>
      </c>
      <c r="AC289" s="198">
        <v>0</v>
      </c>
      <c r="AD289" s="198">
        <v>0</v>
      </c>
      <c r="AE289" s="198">
        <v>0</v>
      </c>
      <c r="AF289" s="198">
        <v>0</v>
      </c>
      <c r="AG289" s="198">
        <v>0</v>
      </c>
      <c r="AH289" s="198">
        <v>0</v>
      </c>
      <c r="AI289" s="198">
        <v>0</v>
      </c>
      <c r="AJ289" s="198">
        <v>0</v>
      </c>
      <c r="AK289" s="198">
        <v>0</v>
      </c>
      <c r="AL289" s="198">
        <v>0</v>
      </c>
      <c r="AM289" s="198">
        <v>0</v>
      </c>
      <c r="AN289" s="198">
        <v>0</v>
      </c>
      <c r="AO289" s="198">
        <v>0</v>
      </c>
      <c r="AP289" s="198">
        <v>0</v>
      </c>
      <c r="AQ289" s="198">
        <v>0</v>
      </c>
      <c r="AR289" s="198">
        <v>0</v>
      </c>
      <c r="AS289" s="198">
        <v>0</v>
      </c>
      <c r="AT289" s="198">
        <v>0</v>
      </c>
      <c r="AU289" s="198">
        <v>0</v>
      </c>
      <c r="AV289" s="198">
        <v>0</v>
      </c>
      <c r="AW289" s="198">
        <v>0</v>
      </c>
      <c r="AX289" s="198">
        <v>0</v>
      </c>
      <c r="AY289" s="198">
        <v>0</v>
      </c>
      <c r="AZ289" s="198">
        <v>0</v>
      </c>
      <c r="BA289" s="198">
        <v>0</v>
      </c>
      <c r="BB289" s="198">
        <v>0</v>
      </c>
      <c r="BC289" s="198">
        <v>0</v>
      </c>
      <c r="BD289" s="198">
        <v>0</v>
      </c>
      <c r="BE289" s="198">
        <v>0</v>
      </c>
      <c r="BF289" s="198">
        <v>0</v>
      </c>
      <c r="BG289" s="198">
        <v>0</v>
      </c>
      <c r="BH289" s="198">
        <v>0</v>
      </c>
      <c r="BI289" s="198">
        <v>0</v>
      </c>
      <c r="BJ289" s="198">
        <v>0</v>
      </c>
      <c r="BK289" s="198">
        <v>0</v>
      </c>
      <c r="BL289" s="198">
        <v>0</v>
      </c>
      <c r="BM289" s="198">
        <v>0</v>
      </c>
      <c r="BN289" s="198">
        <v>0</v>
      </c>
      <c r="BO289" s="198">
        <v>0</v>
      </c>
      <c r="BP289" s="198">
        <v>0</v>
      </c>
      <c r="BQ289" s="198">
        <v>0</v>
      </c>
      <c r="BR289" s="198">
        <v>0</v>
      </c>
      <c r="BS289" s="198">
        <v>0</v>
      </c>
      <c r="BT289" s="198">
        <v>0</v>
      </c>
      <c r="BU289" s="198">
        <v>0</v>
      </c>
      <c r="BV289" s="198">
        <v>0</v>
      </c>
      <c r="BW289" s="198">
        <v>0</v>
      </c>
      <c r="BX289" s="198">
        <v>0</v>
      </c>
      <c r="BY289" s="198">
        <v>0</v>
      </c>
      <c r="BZ289" s="198">
        <v>0</v>
      </c>
      <c r="CA289" s="198">
        <v>0</v>
      </c>
      <c r="CB289" s="198">
        <v>0</v>
      </c>
      <c r="CC289" s="198">
        <v>0</v>
      </c>
      <c r="CD289" s="198">
        <v>0</v>
      </c>
      <c r="CE289" s="198">
        <v>0</v>
      </c>
      <c r="CF289" s="198">
        <v>0</v>
      </c>
      <c r="CG289" s="198">
        <v>0</v>
      </c>
      <c r="CH289" s="198">
        <v>0</v>
      </c>
      <c r="CI289" s="198">
        <v>0</v>
      </c>
      <c r="CJ289" s="198">
        <v>0</v>
      </c>
      <c r="CK289" s="88"/>
    </row>
    <row r="290" spans="1:89" x14ac:dyDescent="0.3">
      <c r="A290" s="173"/>
      <c r="B290" s="197" t="s">
        <v>252</v>
      </c>
      <c r="C290" s="198">
        <v>0</v>
      </c>
      <c r="D290" s="198">
        <v>0</v>
      </c>
      <c r="E290" s="198">
        <v>0</v>
      </c>
      <c r="F290" s="198">
        <v>0</v>
      </c>
      <c r="G290" s="198">
        <v>0</v>
      </c>
      <c r="H290" s="198">
        <v>0</v>
      </c>
      <c r="I290" s="198">
        <v>0</v>
      </c>
      <c r="J290" s="198">
        <v>0</v>
      </c>
      <c r="K290" s="198">
        <v>0</v>
      </c>
      <c r="L290" s="198">
        <v>0</v>
      </c>
      <c r="M290" s="198">
        <v>0</v>
      </c>
      <c r="N290" s="198">
        <v>0</v>
      </c>
      <c r="O290" s="198">
        <v>0</v>
      </c>
      <c r="P290" s="198">
        <v>0</v>
      </c>
      <c r="Q290" s="198">
        <v>0</v>
      </c>
      <c r="R290" s="198">
        <v>0</v>
      </c>
      <c r="S290" s="198">
        <v>0</v>
      </c>
      <c r="T290" s="198">
        <v>0</v>
      </c>
      <c r="U290" s="198">
        <v>0</v>
      </c>
      <c r="V290" s="198">
        <v>0</v>
      </c>
      <c r="W290" s="198">
        <v>648.4</v>
      </c>
      <c r="X290" s="198">
        <v>0</v>
      </c>
      <c r="Y290" s="198">
        <v>8.5</v>
      </c>
      <c r="Z290" s="198">
        <v>0.7</v>
      </c>
      <c r="AA290" s="198">
        <v>1.3</v>
      </c>
      <c r="AB290" s="198">
        <v>0.5</v>
      </c>
      <c r="AC290" s="198">
        <v>1</v>
      </c>
      <c r="AD290" s="198">
        <v>0.5</v>
      </c>
      <c r="AE290" s="198">
        <v>1.1000000000000001</v>
      </c>
      <c r="AF290" s="198">
        <v>0</v>
      </c>
      <c r="AG290" s="198">
        <v>2.9</v>
      </c>
      <c r="AH290" s="198">
        <v>0</v>
      </c>
      <c r="AI290" s="198">
        <v>0</v>
      </c>
      <c r="AJ290" s="198">
        <v>1.8</v>
      </c>
      <c r="AK290" s="198">
        <v>0.8</v>
      </c>
      <c r="AL290" s="198">
        <v>2.2000000000000002</v>
      </c>
      <c r="AM290" s="198">
        <v>0.2</v>
      </c>
      <c r="AN290" s="198">
        <v>0.6</v>
      </c>
      <c r="AO290" s="198">
        <v>0</v>
      </c>
      <c r="AP290" s="198">
        <v>5.9</v>
      </c>
      <c r="AQ290" s="198">
        <v>0</v>
      </c>
      <c r="AR290" s="198">
        <v>0</v>
      </c>
      <c r="AS290" s="198">
        <v>0</v>
      </c>
      <c r="AT290" s="198">
        <v>0</v>
      </c>
      <c r="AU290" s="198">
        <v>0</v>
      </c>
      <c r="AV290" s="198">
        <v>18.2</v>
      </c>
      <c r="AW290" s="198">
        <v>0</v>
      </c>
      <c r="AX290" s="198">
        <v>0</v>
      </c>
      <c r="AY290" s="198">
        <v>0</v>
      </c>
      <c r="AZ290" s="198">
        <v>0</v>
      </c>
      <c r="BA290" s="198">
        <v>0</v>
      </c>
      <c r="BB290" s="198">
        <v>0</v>
      </c>
      <c r="BC290" s="198">
        <v>0</v>
      </c>
      <c r="BD290" s="198">
        <v>0</v>
      </c>
      <c r="BE290" s="198">
        <v>0</v>
      </c>
      <c r="BF290" s="198">
        <v>0</v>
      </c>
      <c r="BG290" s="198">
        <v>0</v>
      </c>
      <c r="BH290" s="198">
        <v>0</v>
      </c>
      <c r="BI290" s="198">
        <v>0</v>
      </c>
      <c r="BJ290" s="198">
        <v>0</v>
      </c>
      <c r="BK290" s="198">
        <v>0</v>
      </c>
      <c r="BL290" s="198">
        <v>0</v>
      </c>
      <c r="BM290" s="198">
        <v>0</v>
      </c>
      <c r="BN290" s="198">
        <v>0</v>
      </c>
      <c r="BO290" s="198">
        <v>0</v>
      </c>
      <c r="BP290" s="198">
        <v>0</v>
      </c>
      <c r="BQ290" s="198">
        <v>0</v>
      </c>
      <c r="BR290" s="198">
        <v>0</v>
      </c>
      <c r="BS290" s="198">
        <v>0</v>
      </c>
      <c r="BT290" s="198">
        <v>0</v>
      </c>
      <c r="BU290" s="198">
        <v>0</v>
      </c>
      <c r="BV290" s="198">
        <v>0</v>
      </c>
      <c r="BW290" s="198">
        <v>0</v>
      </c>
      <c r="BX290" s="198">
        <v>0</v>
      </c>
      <c r="BY290" s="198">
        <v>0</v>
      </c>
      <c r="BZ290" s="198">
        <v>0</v>
      </c>
      <c r="CA290" s="198">
        <v>0</v>
      </c>
      <c r="CB290" s="198">
        <v>0</v>
      </c>
      <c r="CC290" s="198">
        <v>0</v>
      </c>
      <c r="CD290" s="198">
        <v>0</v>
      </c>
      <c r="CE290" s="198">
        <v>0</v>
      </c>
      <c r="CF290" s="198">
        <v>0</v>
      </c>
      <c r="CG290" s="198">
        <v>0</v>
      </c>
      <c r="CH290" s="198">
        <v>0</v>
      </c>
      <c r="CI290" s="198">
        <v>0</v>
      </c>
      <c r="CJ290" s="198">
        <v>0</v>
      </c>
      <c r="CK290" s="88"/>
    </row>
    <row r="291" spans="1:89" x14ac:dyDescent="0.3">
      <c r="A291" s="173"/>
      <c r="B291" s="197" t="s">
        <v>147</v>
      </c>
      <c r="C291" s="200">
        <v>0</v>
      </c>
      <c r="D291" s="200">
        <v>0</v>
      </c>
      <c r="E291" s="200">
        <v>0</v>
      </c>
      <c r="F291" s="200">
        <v>0</v>
      </c>
      <c r="G291" s="198">
        <v>963.7</v>
      </c>
      <c r="H291" s="198">
        <v>1036.3</v>
      </c>
      <c r="I291" s="198">
        <v>0</v>
      </c>
      <c r="J291" s="198">
        <v>0</v>
      </c>
      <c r="K291" s="198">
        <v>0</v>
      </c>
      <c r="L291" s="198">
        <v>0</v>
      </c>
      <c r="M291" s="198">
        <v>0</v>
      </c>
      <c r="N291" s="198">
        <v>0</v>
      </c>
      <c r="O291" s="198">
        <v>0</v>
      </c>
      <c r="P291" s="198">
        <v>0</v>
      </c>
      <c r="Q291" s="198">
        <v>0</v>
      </c>
      <c r="R291" s="198">
        <v>0</v>
      </c>
      <c r="S291" s="198">
        <v>0</v>
      </c>
      <c r="T291" s="198">
        <v>0</v>
      </c>
      <c r="U291" s="198">
        <v>0</v>
      </c>
      <c r="V291" s="198">
        <v>0</v>
      </c>
      <c r="W291" s="198">
        <v>0</v>
      </c>
      <c r="X291" s="198">
        <v>0</v>
      </c>
      <c r="Y291" s="198">
        <v>0</v>
      </c>
      <c r="Z291" s="198">
        <v>0</v>
      </c>
      <c r="AA291" s="198">
        <v>0</v>
      </c>
      <c r="AB291" s="198">
        <v>0</v>
      </c>
      <c r="AC291" s="198">
        <v>0</v>
      </c>
      <c r="AD291" s="198">
        <v>0</v>
      </c>
      <c r="AE291" s="198">
        <v>0</v>
      </c>
      <c r="AF291" s="198">
        <v>0</v>
      </c>
      <c r="AG291" s="198">
        <v>0</v>
      </c>
      <c r="AH291" s="198">
        <v>0</v>
      </c>
      <c r="AI291" s="198">
        <v>0</v>
      </c>
      <c r="AJ291" s="198">
        <v>0</v>
      </c>
      <c r="AK291" s="198">
        <v>0</v>
      </c>
      <c r="AL291" s="198">
        <v>0</v>
      </c>
      <c r="AM291" s="198">
        <v>0</v>
      </c>
      <c r="AN291" s="198">
        <v>0</v>
      </c>
      <c r="AO291" s="198">
        <v>0</v>
      </c>
      <c r="AP291" s="198">
        <v>0</v>
      </c>
      <c r="AQ291" s="198">
        <v>0</v>
      </c>
      <c r="AR291" s="198">
        <v>0</v>
      </c>
      <c r="AS291" s="198">
        <v>0</v>
      </c>
      <c r="AT291" s="198">
        <v>0</v>
      </c>
      <c r="AU291" s="198">
        <v>0</v>
      </c>
      <c r="AV291" s="198">
        <v>0</v>
      </c>
      <c r="AW291" s="198">
        <v>0</v>
      </c>
      <c r="AX291" s="198">
        <v>0</v>
      </c>
      <c r="AY291" s="198">
        <v>0</v>
      </c>
      <c r="AZ291" s="198">
        <v>0</v>
      </c>
      <c r="BA291" s="198">
        <v>0</v>
      </c>
      <c r="BB291" s="198">
        <v>0</v>
      </c>
      <c r="BC291" s="198">
        <v>0</v>
      </c>
      <c r="BD291" s="198">
        <v>0</v>
      </c>
      <c r="BE291" s="198">
        <v>0</v>
      </c>
      <c r="BF291" s="198">
        <v>0</v>
      </c>
      <c r="BG291" s="198">
        <v>0</v>
      </c>
      <c r="BH291" s="198">
        <v>0</v>
      </c>
      <c r="BI291" s="198">
        <v>0</v>
      </c>
      <c r="BJ291" s="198">
        <v>0</v>
      </c>
      <c r="BK291" s="198">
        <v>0</v>
      </c>
      <c r="BL291" s="198">
        <v>0</v>
      </c>
      <c r="BM291" s="198">
        <v>0</v>
      </c>
      <c r="BN291" s="198">
        <v>0</v>
      </c>
      <c r="BO291" s="198">
        <v>0</v>
      </c>
      <c r="BP291" s="198">
        <v>0</v>
      </c>
      <c r="BQ291" s="198">
        <v>0</v>
      </c>
      <c r="BR291" s="198">
        <v>0</v>
      </c>
      <c r="BS291" s="198">
        <v>0</v>
      </c>
      <c r="BT291" s="198">
        <v>0</v>
      </c>
      <c r="BU291" s="198">
        <v>0</v>
      </c>
      <c r="BV291" s="198">
        <v>0</v>
      </c>
      <c r="BW291" s="198">
        <v>0</v>
      </c>
      <c r="BX291" s="198">
        <v>0</v>
      </c>
      <c r="BY291" s="198">
        <v>0</v>
      </c>
      <c r="BZ291" s="198">
        <v>0</v>
      </c>
      <c r="CA291" s="198">
        <v>0</v>
      </c>
      <c r="CB291" s="198">
        <v>0</v>
      </c>
      <c r="CC291" s="198">
        <v>0</v>
      </c>
      <c r="CD291" s="198">
        <v>0</v>
      </c>
      <c r="CE291" s="198">
        <v>0</v>
      </c>
      <c r="CF291" s="198">
        <v>0</v>
      </c>
      <c r="CG291" s="198">
        <v>0</v>
      </c>
      <c r="CH291" s="198">
        <v>0</v>
      </c>
      <c r="CI291" s="198">
        <v>0</v>
      </c>
      <c r="CJ291" s="198">
        <v>0</v>
      </c>
      <c r="CK291" s="88"/>
    </row>
    <row r="292" spans="1:89" x14ac:dyDescent="0.3">
      <c r="A292" s="173"/>
      <c r="B292" s="197" t="s">
        <v>160</v>
      </c>
      <c r="C292" s="198">
        <v>0</v>
      </c>
      <c r="D292" s="198">
        <v>0</v>
      </c>
      <c r="E292" s="198">
        <v>0</v>
      </c>
      <c r="F292" s="198">
        <v>0</v>
      </c>
      <c r="G292" s="198">
        <v>0</v>
      </c>
      <c r="H292" s="198">
        <v>0</v>
      </c>
      <c r="I292" s="198">
        <v>0</v>
      </c>
      <c r="J292" s="198">
        <v>4018.9</v>
      </c>
      <c r="K292" s="198">
        <v>0</v>
      </c>
      <c r="L292" s="198">
        <v>0</v>
      </c>
      <c r="M292" s="198">
        <v>0</v>
      </c>
      <c r="N292" s="198">
        <v>0</v>
      </c>
      <c r="O292" s="198">
        <v>0</v>
      </c>
      <c r="P292" s="198">
        <v>0</v>
      </c>
      <c r="Q292" s="198">
        <v>0</v>
      </c>
      <c r="R292" s="198">
        <v>0</v>
      </c>
      <c r="S292" s="198">
        <v>0</v>
      </c>
      <c r="T292" s="198">
        <v>0</v>
      </c>
      <c r="U292" s="198">
        <v>0</v>
      </c>
      <c r="V292" s="198">
        <v>0</v>
      </c>
      <c r="W292" s="198">
        <v>1530.9</v>
      </c>
      <c r="X292" s="198">
        <v>0</v>
      </c>
      <c r="Y292" s="198">
        <v>1.4</v>
      </c>
      <c r="Z292" s="198">
        <v>0.7</v>
      </c>
      <c r="AA292" s="198">
        <v>0.3</v>
      </c>
      <c r="AB292" s="198">
        <v>0.3</v>
      </c>
      <c r="AC292" s="198">
        <v>0</v>
      </c>
      <c r="AD292" s="198">
        <v>0</v>
      </c>
      <c r="AE292" s="198">
        <v>0</v>
      </c>
      <c r="AF292" s="198">
        <v>0</v>
      </c>
      <c r="AG292" s="198">
        <v>0.1</v>
      </c>
      <c r="AH292" s="198">
        <v>0</v>
      </c>
      <c r="AI292" s="198">
        <v>0</v>
      </c>
      <c r="AJ292" s="198">
        <v>0</v>
      </c>
      <c r="AK292" s="198">
        <v>0</v>
      </c>
      <c r="AL292" s="198">
        <v>0.1</v>
      </c>
      <c r="AM292" s="198">
        <v>0</v>
      </c>
      <c r="AN292" s="198">
        <v>0</v>
      </c>
      <c r="AO292" s="198">
        <v>0</v>
      </c>
      <c r="AP292" s="198">
        <v>0</v>
      </c>
      <c r="AQ292" s="198">
        <v>0</v>
      </c>
      <c r="AR292" s="198">
        <v>0</v>
      </c>
      <c r="AS292" s="198">
        <v>0</v>
      </c>
      <c r="AT292" s="198">
        <v>0</v>
      </c>
      <c r="AU292" s="198">
        <v>0</v>
      </c>
      <c r="AV292" s="198">
        <v>1.9</v>
      </c>
      <c r="AW292" s="198">
        <v>0</v>
      </c>
      <c r="AX292" s="198">
        <v>0</v>
      </c>
      <c r="AY292" s="198">
        <v>0</v>
      </c>
      <c r="AZ292" s="198">
        <v>0</v>
      </c>
      <c r="BA292" s="198">
        <v>0</v>
      </c>
      <c r="BB292" s="198">
        <v>0</v>
      </c>
      <c r="BC292" s="198">
        <v>0</v>
      </c>
      <c r="BD292" s="198">
        <v>0</v>
      </c>
      <c r="BE292" s="198">
        <v>0</v>
      </c>
      <c r="BF292" s="198">
        <v>0</v>
      </c>
      <c r="BG292" s="198">
        <v>0</v>
      </c>
      <c r="BH292" s="198">
        <v>0</v>
      </c>
      <c r="BI292" s="198">
        <v>0</v>
      </c>
      <c r="BJ292" s="198">
        <v>0</v>
      </c>
      <c r="BK292" s="198">
        <v>0</v>
      </c>
      <c r="BL292" s="198">
        <v>0</v>
      </c>
      <c r="BM292" s="198">
        <v>0</v>
      </c>
      <c r="BN292" s="198">
        <v>0</v>
      </c>
      <c r="BO292" s="198">
        <v>0</v>
      </c>
      <c r="BP292" s="198">
        <v>0</v>
      </c>
      <c r="BQ292" s="198">
        <v>0</v>
      </c>
      <c r="BR292" s="198">
        <v>0</v>
      </c>
      <c r="BS292" s="198">
        <v>0</v>
      </c>
      <c r="BT292" s="198">
        <v>0</v>
      </c>
      <c r="BU292" s="198">
        <v>0</v>
      </c>
      <c r="BV292" s="198">
        <v>0</v>
      </c>
      <c r="BW292" s="198">
        <v>0</v>
      </c>
      <c r="BX292" s="198">
        <v>0</v>
      </c>
      <c r="BY292" s="198">
        <v>0</v>
      </c>
      <c r="BZ292" s="198">
        <v>0</v>
      </c>
      <c r="CA292" s="198">
        <v>0</v>
      </c>
      <c r="CB292" s="198">
        <v>0</v>
      </c>
      <c r="CC292" s="198">
        <v>0</v>
      </c>
      <c r="CD292" s="198">
        <v>0</v>
      </c>
      <c r="CE292" s="198">
        <v>0</v>
      </c>
      <c r="CF292" s="198">
        <v>0</v>
      </c>
      <c r="CG292" s="198">
        <v>0</v>
      </c>
      <c r="CH292" s="198">
        <v>0</v>
      </c>
      <c r="CI292" s="198">
        <v>0</v>
      </c>
      <c r="CJ292" s="198">
        <v>0</v>
      </c>
      <c r="CK292" s="88"/>
    </row>
    <row r="293" spans="1:89" x14ac:dyDescent="0.3">
      <c r="A293" s="173"/>
      <c r="B293" s="197" t="s">
        <v>77</v>
      </c>
      <c r="C293" s="198">
        <v>0</v>
      </c>
      <c r="D293" s="198">
        <v>0</v>
      </c>
      <c r="E293" s="198">
        <v>0</v>
      </c>
      <c r="F293" s="198">
        <v>0</v>
      </c>
      <c r="G293" s="198">
        <v>0</v>
      </c>
      <c r="H293" s="198">
        <v>0</v>
      </c>
      <c r="I293" s="198">
        <v>0</v>
      </c>
      <c r="J293" s="198">
        <v>2841.6</v>
      </c>
      <c r="K293" s="198">
        <v>0</v>
      </c>
      <c r="L293" s="198">
        <v>0</v>
      </c>
      <c r="M293" s="198">
        <v>0</v>
      </c>
      <c r="N293" s="198">
        <v>0</v>
      </c>
      <c r="O293" s="198">
        <v>0</v>
      </c>
      <c r="P293" s="198">
        <v>0</v>
      </c>
      <c r="Q293" s="198">
        <v>0</v>
      </c>
      <c r="R293" s="198">
        <v>0</v>
      </c>
      <c r="S293" s="198">
        <v>0</v>
      </c>
      <c r="T293" s="198">
        <v>0</v>
      </c>
      <c r="U293" s="198">
        <v>0</v>
      </c>
      <c r="V293" s="198">
        <v>0</v>
      </c>
      <c r="W293" s="198">
        <v>2713.8</v>
      </c>
      <c r="X293" s="198">
        <v>0</v>
      </c>
      <c r="Y293" s="198">
        <v>0.8</v>
      </c>
      <c r="Z293" s="198">
        <v>0.3</v>
      </c>
      <c r="AA293" s="198">
        <v>0.1</v>
      </c>
      <c r="AB293" s="198">
        <v>0</v>
      </c>
      <c r="AC293" s="198">
        <v>0.3</v>
      </c>
      <c r="AD293" s="198">
        <v>1.1000000000000001</v>
      </c>
      <c r="AE293" s="198">
        <v>0</v>
      </c>
      <c r="AF293" s="198">
        <v>0</v>
      </c>
      <c r="AG293" s="198">
        <v>0</v>
      </c>
      <c r="AH293" s="198">
        <v>0</v>
      </c>
      <c r="AI293" s="198">
        <v>0</v>
      </c>
      <c r="AJ293" s="198">
        <v>0.1</v>
      </c>
      <c r="AK293" s="198">
        <v>0.1</v>
      </c>
      <c r="AL293" s="198">
        <v>0.2</v>
      </c>
      <c r="AM293" s="198">
        <v>0.2</v>
      </c>
      <c r="AN293" s="198">
        <v>0</v>
      </c>
      <c r="AO293" s="198">
        <v>0</v>
      </c>
      <c r="AP293" s="198">
        <v>0.7</v>
      </c>
      <c r="AQ293" s="198">
        <v>0</v>
      </c>
      <c r="AR293" s="198">
        <v>0</v>
      </c>
      <c r="AS293" s="198">
        <v>0</v>
      </c>
      <c r="AT293" s="198">
        <v>0</v>
      </c>
      <c r="AU293" s="198">
        <v>0</v>
      </c>
      <c r="AV293" s="198">
        <v>3.1</v>
      </c>
      <c r="AW293" s="198">
        <v>0</v>
      </c>
      <c r="AX293" s="198">
        <v>0</v>
      </c>
      <c r="AY293" s="198">
        <v>0</v>
      </c>
      <c r="AZ293" s="198">
        <v>0</v>
      </c>
      <c r="BA293" s="198">
        <v>0</v>
      </c>
      <c r="BB293" s="198">
        <v>0</v>
      </c>
      <c r="BC293" s="198">
        <v>0</v>
      </c>
      <c r="BD293" s="198">
        <v>0</v>
      </c>
      <c r="BE293" s="198">
        <v>0</v>
      </c>
      <c r="BF293" s="198">
        <v>0</v>
      </c>
      <c r="BG293" s="198">
        <v>0</v>
      </c>
      <c r="BH293" s="198">
        <v>0</v>
      </c>
      <c r="BI293" s="198">
        <v>0</v>
      </c>
      <c r="BJ293" s="198">
        <v>0</v>
      </c>
      <c r="BK293" s="198">
        <v>0</v>
      </c>
      <c r="BL293" s="198">
        <v>0</v>
      </c>
      <c r="BM293" s="198">
        <v>0</v>
      </c>
      <c r="BN293" s="198">
        <v>0</v>
      </c>
      <c r="BO293" s="198">
        <v>0</v>
      </c>
      <c r="BP293" s="198">
        <v>0</v>
      </c>
      <c r="BQ293" s="198">
        <v>0</v>
      </c>
      <c r="BR293" s="198">
        <v>0</v>
      </c>
      <c r="BS293" s="198">
        <v>0</v>
      </c>
      <c r="BT293" s="198">
        <v>0</v>
      </c>
      <c r="BU293" s="198">
        <v>0</v>
      </c>
      <c r="BV293" s="198">
        <v>0</v>
      </c>
      <c r="BW293" s="198">
        <v>0</v>
      </c>
      <c r="BX293" s="198">
        <v>0</v>
      </c>
      <c r="BY293" s="198">
        <v>0</v>
      </c>
      <c r="BZ293" s="198">
        <v>0</v>
      </c>
      <c r="CA293" s="198">
        <v>0</v>
      </c>
      <c r="CB293" s="198">
        <v>0</v>
      </c>
      <c r="CC293" s="198">
        <v>0</v>
      </c>
      <c r="CD293" s="198">
        <v>0</v>
      </c>
      <c r="CE293" s="198">
        <v>0</v>
      </c>
      <c r="CF293" s="198">
        <v>0</v>
      </c>
      <c r="CG293" s="198">
        <v>0</v>
      </c>
      <c r="CH293" s="198">
        <v>0</v>
      </c>
      <c r="CI293" s="198">
        <v>0</v>
      </c>
      <c r="CJ293" s="198">
        <v>0</v>
      </c>
      <c r="CK293" s="88"/>
    </row>
    <row r="294" spans="1:89" x14ac:dyDescent="0.3">
      <c r="A294" s="173"/>
      <c r="B294" s="197" t="s">
        <v>253</v>
      </c>
      <c r="C294" s="198">
        <v>0</v>
      </c>
      <c r="D294" s="198">
        <v>0</v>
      </c>
      <c r="E294" s="198">
        <v>0</v>
      </c>
      <c r="F294" s="198">
        <v>0</v>
      </c>
      <c r="G294" s="198">
        <v>0</v>
      </c>
      <c r="H294" s="198">
        <v>0</v>
      </c>
      <c r="I294" s="198">
        <v>0</v>
      </c>
      <c r="J294" s="198">
        <v>0</v>
      </c>
      <c r="K294" s="198">
        <v>0</v>
      </c>
      <c r="L294" s="198">
        <v>0</v>
      </c>
      <c r="M294" s="198">
        <v>0</v>
      </c>
      <c r="N294" s="198">
        <v>0</v>
      </c>
      <c r="O294" s="198">
        <v>0</v>
      </c>
      <c r="P294" s="198">
        <v>0</v>
      </c>
      <c r="Q294" s="198">
        <v>0</v>
      </c>
      <c r="R294" s="198">
        <v>0</v>
      </c>
      <c r="S294" s="198">
        <v>0</v>
      </c>
      <c r="T294" s="198">
        <v>0</v>
      </c>
      <c r="U294" s="198">
        <v>0</v>
      </c>
      <c r="V294" s="198">
        <v>0</v>
      </c>
      <c r="W294" s="198">
        <v>4497.8</v>
      </c>
      <c r="X294" s="198">
        <v>0</v>
      </c>
      <c r="Y294" s="198">
        <v>0</v>
      </c>
      <c r="Z294" s="198">
        <v>0</v>
      </c>
      <c r="AA294" s="198">
        <v>0</v>
      </c>
      <c r="AB294" s="198">
        <v>0</v>
      </c>
      <c r="AC294" s="198">
        <v>0</v>
      </c>
      <c r="AD294" s="198">
        <v>0</v>
      </c>
      <c r="AE294" s="198">
        <v>0</v>
      </c>
      <c r="AF294" s="198">
        <v>0</v>
      </c>
      <c r="AG294" s="198">
        <v>0</v>
      </c>
      <c r="AH294" s="198">
        <v>0</v>
      </c>
      <c r="AI294" s="198">
        <v>0</v>
      </c>
      <c r="AJ294" s="198">
        <v>0</v>
      </c>
      <c r="AK294" s="198">
        <v>0</v>
      </c>
      <c r="AL294" s="198">
        <v>0</v>
      </c>
      <c r="AM294" s="198">
        <v>0</v>
      </c>
      <c r="AN294" s="198">
        <v>0</v>
      </c>
      <c r="AO294" s="198">
        <v>0</v>
      </c>
      <c r="AP294" s="198">
        <v>0</v>
      </c>
      <c r="AQ294" s="198">
        <v>0</v>
      </c>
      <c r="AR294" s="198">
        <v>0</v>
      </c>
      <c r="AS294" s="198">
        <v>0</v>
      </c>
      <c r="AT294" s="198">
        <v>0</v>
      </c>
      <c r="AU294" s="198">
        <v>0</v>
      </c>
      <c r="AV294" s="198">
        <v>0</v>
      </c>
      <c r="AW294" s="198">
        <v>0</v>
      </c>
      <c r="AX294" s="198">
        <v>0</v>
      </c>
      <c r="AY294" s="198">
        <v>0</v>
      </c>
      <c r="AZ294" s="198">
        <v>0</v>
      </c>
      <c r="BA294" s="198">
        <v>0</v>
      </c>
      <c r="BB294" s="198">
        <v>0</v>
      </c>
      <c r="BC294" s="198">
        <v>0</v>
      </c>
      <c r="BD294" s="198">
        <v>0</v>
      </c>
      <c r="BE294" s="198">
        <v>0</v>
      </c>
      <c r="BF294" s="198">
        <v>0</v>
      </c>
      <c r="BG294" s="198">
        <v>0</v>
      </c>
      <c r="BH294" s="198">
        <v>0</v>
      </c>
      <c r="BI294" s="198">
        <v>0</v>
      </c>
      <c r="BJ294" s="198">
        <v>0</v>
      </c>
      <c r="BK294" s="198">
        <v>0</v>
      </c>
      <c r="BL294" s="198">
        <v>0</v>
      </c>
      <c r="BM294" s="198">
        <v>0</v>
      </c>
      <c r="BN294" s="198">
        <v>0</v>
      </c>
      <c r="BO294" s="198">
        <v>0</v>
      </c>
      <c r="BP294" s="198">
        <v>0</v>
      </c>
      <c r="BQ294" s="198">
        <v>0</v>
      </c>
      <c r="BR294" s="198">
        <v>0</v>
      </c>
      <c r="BS294" s="198">
        <v>0</v>
      </c>
      <c r="BT294" s="198">
        <v>0</v>
      </c>
      <c r="BU294" s="198">
        <v>0</v>
      </c>
      <c r="BV294" s="198">
        <v>0</v>
      </c>
      <c r="BW294" s="198">
        <v>0</v>
      </c>
      <c r="BX294" s="198">
        <v>0</v>
      </c>
      <c r="BY294" s="198">
        <v>0</v>
      </c>
      <c r="BZ294" s="198">
        <v>0</v>
      </c>
      <c r="CA294" s="198">
        <v>0</v>
      </c>
      <c r="CB294" s="198">
        <v>0</v>
      </c>
      <c r="CC294" s="198">
        <v>0</v>
      </c>
      <c r="CD294" s="198">
        <v>0</v>
      </c>
      <c r="CE294" s="198">
        <v>0</v>
      </c>
      <c r="CF294" s="198">
        <v>0</v>
      </c>
      <c r="CG294" s="198">
        <v>0</v>
      </c>
      <c r="CH294" s="198">
        <v>0</v>
      </c>
      <c r="CI294" s="198">
        <v>0</v>
      </c>
      <c r="CJ294" s="198">
        <v>0</v>
      </c>
      <c r="CK294" s="88"/>
    </row>
    <row r="295" spans="1:89" x14ac:dyDescent="0.3">
      <c r="A295" s="173"/>
      <c r="B295" s="197" t="s">
        <v>254</v>
      </c>
      <c r="C295" s="198">
        <v>0</v>
      </c>
      <c r="D295" s="198">
        <v>0</v>
      </c>
      <c r="E295" s="198">
        <v>0</v>
      </c>
      <c r="F295" s="198">
        <v>0</v>
      </c>
      <c r="G295" s="198">
        <v>0</v>
      </c>
      <c r="H295" s="198">
        <v>0</v>
      </c>
      <c r="I295" s="198">
        <v>0</v>
      </c>
      <c r="J295" s="198">
        <v>0</v>
      </c>
      <c r="K295" s="198">
        <v>0</v>
      </c>
      <c r="L295" s="198">
        <v>0</v>
      </c>
      <c r="M295" s="198">
        <v>0</v>
      </c>
      <c r="N295" s="198">
        <v>0</v>
      </c>
      <c r="O295" s="198">
        <v>0</v>
      </c>
      <c r="P295" s="198">
        <v>0</v>
      </c>
      <c r="Q295" s="198">
        <v>0</v>
      </c>
      <c r="R295" s="198">
        <v>0</v>
      </c>
      <c r="S295" s="198">
        <v>0</v>
      </c>
      <c r="T295" s="198">
        <v>0</v>
      </c>
      <c r="U295" s="198">
        <v>0</v>
      </c>
      <c r="V295" s="198">
        <v>0</v>
      </c>
      <c r="W295" s="198">
        <v>4510.5</v>
      </c>
      <c r="X295" s="198">
        <v>0</v>
      </c>
      <c r="Y295" s="198">
        <v>0</v>
      </c>
      <c r="Z295" s="198">
        <v>0</v>
      </c>
      <c r="AA295" s="198">
        <v>0</v>
      </c>
      <c r="AB295" s="198">
        <v>0</v>
      </c>
      <c r="AC295" s="198">
        <v>0</v>
      </c>
      <c r="AD295" s="198">
        <v>0</v>
      </c>
      <c r="AE295" s="198">
        <v>0</v>
      </c>
      <c r="AF295" s="198">
        <v>0</v>
      </c>
      <c r="AG295" s="198">
        <v>0</v>
      </c>
      <c r="AH295" s="198">
        <v>0</v>
      </c>
      <c r="AI295" s="198">
        <v>0</v>
      </c>
      <c r="AJ295" s="198">
        <v>0</v>
      </c>
      <c r="AK295" s="198">
        <v>0</v>
      </c>
      <c r="AL295" s="198">
        <v>0</v>
      </c>
      <c r="AM295" s="198">
        <v>0</v>
      </c>
      <c r="AN295" s="198">
        <v>0</v>
      </c>
      <c r="AO295" s="198">
        <v>0</v>
      </c>
      <c r="AP295" s="198">
        <v>0</v>
      </c>
      <c r="AQ295" s="198">
        <v>0</v>
      </c>
      <c r="AR295" s="198">
        <v>0</v>
      </c>
      <c r="AS295" s="198">
        <v>0</v>
      </c>
      <c r="AT295" s="198">
        <v>0</v>
      </c>
      <c r="AU295" s="198">
        <v>0</v>
      </c>
      <c r="AV295" s="198">
        <v>0</v>
      </c>
      <c r="AW295" s="198">
        <v>0</v>
      </c>
      <c r="AX295" s="198">
        <v>0</v>
      </c>
      <c r="AY295" s="198">
        <v>0</v>
      </c>
      <c r="AZ295" s="198">
        <v>0</v>
      </c>
      <c r="BA295" s="198">
        <v>0</v>
      </c>
      <c r="BB295" s="198">
        <v>0</v>
      </c>
      <c r="BC295" s="198">
        <v>0</v>
      </c>
      <c r="BD295" s="198">
        <v>0</v>
      </c>
      <c r="BE295" s="198">
        <v>0</v>
      </c>
      <c r="BF295" s="198">
        <v>0</v>
      </c>
      <c r="BG295" s="198">
        <v>0</v>
      </c>
      <c r="BH295" s="198">
        <v>0</v>
      </c>
      <c r="BI295" s="198">
        <v>0</v>
      </c>
      <c r="BJ295" s="198">
        <v>0</v>
      </c>
      <c r="BK295" s="198">
        <v>0</v>
      </c>
      <c r="BL295" s="198">
        <v>0</v>
      </c>
      <c r="BM295" s="198">
        <v>0</v>
      </c>
      <c r="BN295" s="198">
        <v>0</v>
      </c>
      <c r="BO295" s="198">
        <v>0</v>
      </c>
      <c r="BP295" s="198">
        <v>0</v>
      </c>
      <c r="BQ295" s="198">
        <v>0</v>
      </c>
      <c r="BR295" s="198">
        <v>0</v>
      </c>
      <c r="BS295" s="198">
        <v>0</v>
      </c>
      <c r="BT295" s="198">
        <v>0</v>
      </c>
      <c r="BU295" s="198">
        <v>0</v>
      </c>
      <c r="BV295" s="198">
        <v>0</v>
      </c>
      <c r="BW295" s="198">
        <v>0</v>
      </c>
      <c r="BX295" s="198">
        <v>0</v>
      </c>
      <c r="BY295" s="198">
        <v>0</v>
      </c>
      <c r="BZ295" s="198">
        <v>0</v>
      </c>
      <c r="CA295" s="198">
        <v>0</v>
      </c>
      <c r="CB295" s="198">
        <v>0</v>
      </c>
      <c r="CC295" s="198">
        <v>0</v>
      </c>
      <c r="CD295" s="198">
        <v>0</v>
      </c>
      <c r="CE295" s="198">
        <v>0</v>
      </c>
      <c r="CF295" s="198">
        <v>0</v>
      </c>
      <c r="CG295" s="198">
        <v>0</v>
      </c>
      <c r="CH295" s="198">
        <v>0</v>
      </c>
      <c r="CI295" s="198">
        <v>0</v>
      </c>
      <c r="CJ295" s="198">
        <v>0</v>
      </c>
      <c r="CK295" s="88"/>
    </row>
    <row r="296" spans="1:89" x14ac:dyDescent="0.3">
      <c r="A296" s="173"/>
      <c r="B296" s="197" t="s">
        <v>255</v>
      </c>
      <c r="C296" s="198">
        <v>0</v>
      </c>
      <c r="D296" s="198">
        <v>0</v>
      </c>
      <c r="E296" s="198">
        <v>0</v>
      </c>
      <c r="F296" s="198">
        <v>0</v>
      </c>
      <c r="G296" s="198">
        <v>0</v>
      </c>
      <c r="H296" s="198">
        <v>0</v>
      </c>
      <c r="I296" s="198">
        <v>0</v>
      </c>
      <c r="J296" s="198">
        <v>0</v>
      </c>
      <c r="K296" s="198">
        <v>0</v>
      </c>
      <c r="L296" s="198">
        <v>0</v>
      </c>
      <c r="M296" s="198">
        <v>0</v>
      </c>
      <c r="N296" s="198">
        <v>0</v>
      </c>
      <c r="O296" s="198">
        <v>0</v>
      </c>
      <c r="P296" s="198">
        <v>0</v>
      </c>
      <c r="Q296" s="198">
        <v>0</v>
      </c>
      <c r="R296" s="198">
        <v>0</v>
      </c>
      <c r="S296" s="198">
        <v>0</v>
      </c>
      <c r="T296" s="198">
        <v>0</v>
      </c>
      <c r="U296" s="198">
        <v>0</v>
      </c>
      <c r="V296" s="198">
        <v>0</v>
      </c>
      <c r="W296" s="198">
        <v>4690.5</v>
      </c>
      <c r="X296" s="198">
        <v>0</v>
      </c>
      <c r="Y296" s="198">
        <v>0</v>
      </c>
      <c r="Z296" s="198">
        <v>0</v>
      </c>
      <c r="AA296" s="198">
        <v>0</v>
      </c>
      <c r="AB296" s="198">
        <v>0</v>
      </c>
      <c r="AC296" s="198">
        <v>0</v>
      </c>
      <c r="AD296" s="198">
        <v>0</v>
      </c>
      <c r="AE296" s="198">
        <v>0</v>
      </c>
      <c r="AF296" s="198">
        <v>0</v>
      </c>
      <c r="AG296" s="198">
        <v>0</v>
      </c>
      <c r="AH296" s="198">
        <v>0</v>
      </c>
      <c r="AI296" s="198">
        <v>0</v>
      </c>
      <c r="AJ296" s="198">
        <v>0</v>
      </c>
      <c r="AK296" s="198">
        <v>0</v>
      </c>
      <c r="AL296" s="198">
        <v>0</v>
      </c>
      <c r="AM296" s="198">
        <v>0</v>
      </c>
      <c r="AN296" s="198">
        <v>0</v>
      </c>
      <c r="AO296" s="198">
        <v>0</v>
      </c>
      <c r="AP296" s="198">
        <v>0</v>
      </c>
      <c r="AQ296" s="198">
        <v>0</v>
      </c>
      <c r="AR296" s="198">
        <v>0</v>
      </c>
      <c r="AS296" s="198">
        <v>0</v>
      </c>
      <c r="AT296" s="198">
        <v>0</v>
      </c>
      <c r="AU296" s="198">
        <v>0</v>
      </c>
      <c r="AV296" s="198">
        <v>0</v>
      </c>
      <c r="AW296" s="198">
        <v>0</v>
      </c>
      <c r="AX296" s="198">
        <v>0</v>
      </c>
      <c r="AY296" s="198">
        <v>0</v>
      </c>
      <c r="AZ296" s="198">
        <v>0</v>
      </c>
      <c r="BA296" s="198">
        <v>0</v>
      </c>
      <c r="BB296" s="198">
        <v>0</v>
      </c>
      <c r="BC296" s="198">
        <v>0</v>
      </c>
      <c r="BD296" s="198">
        <v>0</v>
      </c>
      <c r="BE296" s="198">
        <v>0</v>
      </c>
      <c r="BF296" s="198">
        <v>0</v>
      </c>
      <c r="BG296" s="198">
        <v>0</v>
      </c>
      <c r="BH296" s="198">
        <v>0</v>
      </c>
      <c r="BI296" s="198">
        <v>0</v>
      </c>
      <c r="BJ296" s="198">
        <v>0</v>
      </c>
      <c r="BK296" s="198">
        <v>0</v>
      </c>
      <c r="BL296" s="198">
        <v>0</v>
      </c>
      <c r="BM296" s="198">
        <v>0</v>
      </c>
      <c r="BN296" s="198">
        <v>0</v>
      </c>
      <c r="BO296" s="198">
        <v>0</v>
      </c>
      <c r="BP296" s="198">
        <v>0</v>
      </c>
      <c r="BQ296" s="198">
        <v>0</v>
      </c>
      <c r="BR296" s="198">
        <v>0</v>
      </c>
      <c r="BS296" s="198">
        <v>0</v>
      </c>
      <c r="BT296" s="198">
        <v>0</v>
      </c>
      <c r="BU296" s="198">
        <v>0</v>
      </c>
      <c r="BV296" s="198">
        <v>0</v>
      </c>
      <c r="BW296" s="198">
        <v>0</v>
      </c>
      <c r="BX296" s="198">
        <v>0</v>
      </c>
      <c r="BY296" s="198">
        <v>0</v>
      </c>
      <c r="BZ296" s="198">
        <v>0</v>
      </c>
      <c r="CA296" s="198">
        <v>0</v>
      </c>
      <c r="CB296" s="198">
        <v>0</v>
      </c>
      <c r="CC296" s="198">
        <v>0</v>
      </c>
      <c r="CD296" s="198">
        <v>0</v>
      </c>
      <c r="CE296" s="198">
        <v>0</v>
      </c>
      <c r="CF296" s="198">
        <v>0</v>
      </c>
      <c r="CG296" s="198">
        <v>0</v>
      </c>
      <c r="CH296" s="198">
        <v>0</v>
      </c>
      <c r="CI296" s="198">
        <v>0</v>
      </c>
      <c r="CJ296" s="198">
        <v>0</v>
      </c>
      <c r="CK296" s="88"/>
    </row>
    <row r="297" spans="1:89" x14ac:dyDescent="0.3">
      <c r="A297" s="173"/>
      <c r="B297" s="197" t="s">
        <v>256</v>
      </c>
      <c r="C297" s="198">
        <v>0</v>
      </c>
      <c r="D297" s="198">
        <v>0</v>
      </c>
      <c r="E297" s="198">
        <v>0</v>
      </c>
      <c r="F297" s="198">
        <v>0</v>
      </c>
      <c r="G297" s="198">
        <v>0</v>
      </c>
      <c r="H297" s="198">
        <v>0</v>
      </c>
      <c r="I297" s="198">
        <v>0</v>
      </c>
      <c r="J297" s="198">
        <v>0</v>
      </c>
      <c r="K297" s="198">
        <v>0</v>
      </c>
      <c r="L297" s="198">
        <v>0</v>
      </c>
      <c r="M297" s="198">
        <v>0</v>
      </c>
      <c r="N297" s="198">
        <v>0</v>
      </c>
      <c r="O297" s="198">
        <v>0</v>
      </c>
      <c r="P297" s="198">
        <v>0</v>
      </c>
      <c r="Q297" s="198">
        <v>0</v>
      </c>
      <c r="R297" s="198">
        <v>0</v>
      </c>
      <c r="S297" s="198">
        <v>0</v>
      </c>
      <c r="T297" s="198">
        <v>0</v>
      </c>
      <c r="U297" s="198">
        <v>0</v>
      </c>
      <c r="V297" s="198">
        <v>0</v>
      </c>
      <c r="W297" s="198">
        <v>2930.2</v>
      </c>
      <c r="X297" s="198">
        <v>0</v>
      </c>
      <c r="Y297" s="198">
        <v>2.8</v>
      </c>
      <c r="Z297" s="198">
        <v>2.2000000000000002</v>
      </c>
      <c r="AA297" s="198">
        <v>1</v>
      </c>
      <c r="AB297" s="198">
        <v>0.5</v>
      </c>
      <c r="AC297" s="198">
        <v>0.3</v>
      </c>
      <c r="AD297" s="198">
        <v>0.3</v>
      </c>
      <c r="AE297" s="198">
        <v>0.4</v>
      </c>
      <c r="AF297" s="198">
        <v>0</v>
      </c>
      <c r="AG297" s="198">
        <v>0.7</v>
      </c>
      <c r="AH297" s="198">
        <v>0</v>
      </c>
      <c r="AI297" s="198">
        <v>0</v>
      </c>
      <c r="AJ297" s="198">
        <v>0.5</v>
      </c>
      <c r="AK297" s="198">
        <v>0.2</v>
      </c>
      <c r="AL297" s="198">
        <v>0.7</v>
      </c>
      <c r="AM297" s="198">
        <v>0.3</v>
      </c>
      <c r="AN297" s="198">
        <v>0.2</v>
      </c>
      <c r="AO297" s="198">
        <v>0</v>
      </c>
      <c r="AP297" s="198">
        <v>1.7</v>
      </c>
      <c r="AQ297" s="198">
        <v>0</v>
      </c>
      <c r="AR297" s="198">
        <v>0</v>
      </c>
      <c r="AS297" s="198">
        <v>0</v>
      </c>
      <c r="AT297" s="198">
        <v>0</v>
      </c>
      <c r="AU297" s="198">
        <v>0</v>
      </c>
      <c r="AV297" s="198">
        <v>5.7</v>
      </c>
      <c r="AW297" s="198">
        <v>0</v>
      </c>
      <c r="AX297" s="198">
        <v>0</v>
      </c>
      <c r="AY297" s="198">
        <v>0</v>
      </c>
      <c r="AZ297" s="198">
        <v>0</v>
      </c>
      <c r="BA297" s="198">
        <v>0</v>
      </c>
      <c r="BB297" s="198">
        <v>0</v>
      </c>
      <c r="BC297" s="198">
        <v>0</v>
      </c>
      <c r="BD297" s="198">
        <v>0</v>
      </c>
      <c r="BE297" s="198">
        <v>0</v>
      </c>
      <c r="BF297" s="198">
        <v>0</v>
      </c>
      <c r="BG297" s="198">
        <v>0</v>
      </c>
      <c r="BH297" s="198">
        <v>0</v>
      </c>
      <c r="BI297" s="198">
        <v>0</v>
      </c>
      <c r="BJ297" s="198">
        <v>0</v>
      </c>
      <c r="BK297" s="198">
        <v>0</v>
      </c>
      <c r="BL297" s="198">
        <v>0</v>
      </c>
      <c r="BM297" s="198">
        <v>0</v>
      </c>
      <c r="BN297" s="198">
        <v>0</v>
      </c>
      <c r="BO297" s="198">
        <v>0</v>
      </c>
      <c r="BP297" s="198">
        <v>0</v>
      </c>
      <c r="BQ297" s="198">
        <v>0</v>
      </c>
      <c r="BR297" s="198">
        <v>0</v>
      </c>
      <c r="BS297" s="198">
        <v>0</v>
      </c>
      <c r="BT297" s="198">
        <v>0</v>
      </c>
      <c r="BU297" s="198">
        <v>0</v>
      </c>
      <c r="BV297" s="198">
        <v>0</v>
      </c>
      <c r="BW297" s="198">
        <v>0</v>
      </c>
      <c r="BX297" s="198">
        <v>0</v>
      </c>
      <c r="BY297" s="198">
        <v>0</v>
      </c>
      <c r="BZ297" s="198">
        <v>0</v>
      </c>
      <c r="CA297" s="198">
        <v>0</v>
      </c>
      <c r="CB297" s="198">
        <v>0</v>
      </c>
      <c r="CC297" s="198">
        <v>0</v>
      </c>
      <c r="CD297" s="198">
        <v>0</v>
      </c>
      <c r="CE297" s="198">
        <v>0</v>
      </c>
      <c r="CF297" s="198">
        <v>0</v>
      </c>
      <c r="CG297" s="198">
        <v>0</v>
      </c>
      <c r="CH297" s="198">
        <v>0</v>
      </c>
      <c r="CI297" s="198">
        <v>0</v>
      </c>
      <c r="CJ297" s="198">
        <v>0</v>
      </c>
      <c r="CK297" s="88"/>
    </row>
    <row r="298" spans="1:89" x14ac:dyDescent="0.3">
      <c r="A298" s="173"/>
      <c r="B298" s="197" t="s">
        <v>74</v>
      </c>
      <c r="C298" s="198">
        <v>0</v>
      </c>
      <c r="D298" s="198">
        <v>2035.7</v>
      </c>
      <c r="E298" s="198">
        <v>833.5</v>
      </c>
      <c r="F298" s="198">
        <v>0</v>
      </c>
      <c r="G298" s="198">
        <v>2515.5</v>
      </c>
      <c r="H298" s="198">
        <v>0</v>
      </c>
      <c r="I298" s="198">
        <v>0</v>
      </c>
      <c r="J298" s="198">
        <v>5949.3</v>
      </c>
      <c r="K298" s="198">
        <v>0</v>
      </c>
      <c r="L298" s="198">
        <v>0</v>
      </c>
      <c r="M298" s="198">
        <v>0</v>
      </c>
      <c r="N298" s="198">
        <v>0</v>
      </c>
      <c r="O298" s="198">
        <v>0</v>
      </c>
      <c r="P298" s="198">
        <v>0</v>
      </c>
      <c r="Q298" s="198">
        <v>0</v>
      </c>
      <c r="R298" s="198">
        <v>0</v>
      </c>
      <c r="S298" s="198">
        <v>0</v>
      </c>
      <c r="T298" s="198">
        <v>0</v>
      </c>
      <c r="U298" s="198">
        <v>0</v>
      </c>
      <c r="V298" s="198">
        <v>0</v>
      </c>
      <c r="W298" s="198">
        <v>6577.8</v>
      </c>
      <c r="X298" s="198">
        <v>0</v>
      </c>
      <c r="Y298" s="198">
        <v>11.9</v>
      </c>
      <c r="Z298" s="198">
        <v>0.9</v>
      </c>
      <c r="AA298" s="198">
        <v>2.1</v>
      </c>
      <c r="AB298" s="198">
        <v>1.4</v>
      </c>
      <c r="AC298" s="198">
        <v>0.7</v>
      </c>
      <c r="AD298" s="198">
        <v>1</v>
      </c>
      <c r="AE298" s="198">
        <v>0.5</v>
      </c>
      <c r="AF298" s="198">
        <v>0</v>
      </c>
      <c r="AG298" s="198">
        <v>3.9</v>
      </c>
      <c r="AH298" s="198">
        <v>0</v>
      </c>
      <c r="AI298" s="198">
        <v>0</v>
      </c>
      <c r="AJ298" s="198">
        <v>4.9000000000000004</v>
      </c>
      <c r="AK298" s="198">
        <v>1.2</v>
      </c>
      <c r="AL298" s="198">
        <v>1.7</v>
      </c>
      <c r="AM298" s="198">
        <v>1.5</v>
      </c>
      <c r="AN298" s="198">
        <v>0.8</v>
      </c>
      <c r="AO298" s="198">
        <v>0</v>
      </c>
      <c r="AP298" s="198">
        <v>2.7</v>
      </c>
      <c r="AQ298" s="198">
        <v>0</v>
      </c>
      <c r="AR298" s="198">
        <v>0</v>
      </c>
      <c r="AS298" s="198">
        <v>0</v>
      </c>
      <c r="AT298" s="198">
        <v>0</v>
      </c>
      <c r="AU298" s="198">
        <v>0</v>
      </c>
      <c r="AV298" s="198">
        <v>21.1</v>
      </c>
      <c r="AW298" s="198">
        <v>0</v>
      </c>
      <c r="AX298" s="198">
        <v>0</v>
      </c>
      <c r="AY298" s="198">
        <v>0</v>
      </c>
      <c r="AZ298" s="198">
        <v>0</v>
      </c>
      <c r="BA298" s="198">
        <v>0</v>
      </c>
      <c r="BB298" s="198">
        <v>0</v>
      </c>
      <c r="BC298" s="198">
        <v>0</v>
      </c>
      <c r="BD298" s="198">
        <v>0</v>
      </c>
      <c r="BE298" s="198">
        <v>0</v>
      </c>
      <c r="BF298" s="198">
        <v>0</v>
      </c>
      <c r="BG298" s="198">
        <v>0</v>
      </c>
      <c r="BH298" s="198">
        <v>0</v>
      </c>
      <c r="BI298" s="198">
        <v>0</v>
      </c>
      <c r="BJ298" s="198">
        <v>0</v>
      </c>
      <c r="BK298" s="198">
        <v>0</v>
      </c>
      <c r="BL298" s="198">
        <v>0</v>
      </c>
      <c r="BM298" s="198">
        <v>0</v>
      </c>
      <c r="BN298" s="198">
        <v>0</v>
      </c>
      <c r="BO298" s="198">
        <v>0</v>
      </c>
      <c r="BP298" s="198">
        <v>0</v>
      </c>
      <c r="BQ298" s="198">
        <v>0</v>
      </c>
      <c r="BR298" s="198">
        <v>0</v>
      </c>
      <c r="BS298" s="198">
        <v>0</v>
      </c>
      <c r="BT298" s="198">
        <v>0</v>
      </c>
      <c r="BU298" s="198">
        <v>0</v>
      </c>
      <c r="BV298" s="198">
        <v>0</v>
      </c>
      <c r="BW298" s="198">
        <v>0</v>
      </c>
      <c r="BX298" s="198">
        <v>0</v>
      </c>
      <c r="BY298" s="198">
        <v>0</v>
      </c>
      <c r="BZ298" s="198">
        <v>0</v>
      </c>
      <c r="CA298" s="198">
        <v>0</v>
      </c>
      <c r="CB298" s="198">
        <v>0</v>
      </c>
      <c r="CC298" s="198">
        <v>0</v>
      </c>
      <c r="CD298" s="198">
        <v>0</v>
      </c>
      <c r="CE298" s="198">
        <v>0</v>
      </c>
      <c r="CF298" s="198">
        <v>0</v>
      </c>
      <c r="CG298" s="198">
        <v>0</v>
      </c>
      <c r="CH298" s="198">
        <v>0</v>
      </c>
      <c r="CI298" s="198">
        <v>0</v>
      </c>
      <c r="CJ298" s="198">
        <v>0</v>
      </c>
      <c r="CK298" s="88"/>
    </row>
    <row r="299" spans="1:89" x14ac:dyDescent="0.3">
      <c r="A299" s="173"/>
      <c r="B299" s="197" t="s">
        <v>90</v>
      </c>
      <c r="C299" s="198">
        <v>0</v>
      </c>
      <c r="D299" s="198">
        <v>0</v>
      </c>
      <c r="E299" s="198">
        <v>1900</v>
      </c>
      <c r="F299" s="198">
        <v>0</v>
      </c>
      <c r="G299" s="198">
        <v>0</v>
      </c>
      <c r="H299" s="198">
        <v>0</v>
      </c>
      <c r="I299" s="198">
        <v>0</v>
      </c>
      <c r="J299" s="198">
        <v>0</v>
      </c>
      <c r="K299" s="198">
        <v>0</v>
      </c>
      <c r="L299" s="198">
        <v>0</v>
      </c>
      <c r="M299" s="198">
        <v>0</v>
      </c>
      <c r="N299" s="198">
        <v>0</v>
      </c>
      <c r="O299" s="198">
        <v>0</v>
      </c>
      <c r="P299" s="198">
        <v>0</v>
      </c>
      <c r="Q299" s="198">
        <v>0</v>
      </c>
      <c r="R299" s="198">
        <v>0</v>
      </c>
      <c r="S299" s="198">
        <v>0</v>
      </c>
      <c r="T299" s="198">
        <v>0</v>
      </c>
      <c r="U299" s="198">
        <v>0</v>
      </c>
      <c r="V299" s="198">
        <v>0</v>
      </c>
      <c r="W299" s="198">
        <v>0</v>
      </c>
      <c r="X299" s="198">
        <v>0</v>
      </c>
      <c r="Y299" s="198">
        <v>0</v>
      </c>
      <c r="Z299" s="198">
        <v>0</v>
      </c>
      <c r="AA299" s="198">
        <v>0</v>
      </c>
      <c r="AB299" s="198">
        <v>0</v>
      </c>
      <c r="AC299" s="198">
        <v>0</v>
      </c>
      <c r="AD299" s="198">
        <v>0</v>
      </c>
      <c r="AE299" s="198">
        <v>0</v>
      </c>
      <c r="AF299" s="198">
        <v>0</v>
      </c>
      <c r="AG299" s="198">
        <v>0</v>
      </c>
      <c r="AH299" s="198">
        <v>0</v>
      </c>
      <c r="AI299" s="198">
        <v>0</v>
      </c>
      <c r="AJ299" s="198">
        <v>0</v>
      </c>
      <c r="AK299" s="198">
        <v>0</v>
      </c>
      <c r="AL299" s="198">
        <v>0</v>
      </c>
      <c r="AM299" s="198">
        <v>0</v>
      </c>
      <c r="AN299" s="198">
        <v>0</v>
      </c>
      <c r="AO299" s="198">
        <v>0</v>
      </c>
      <c r="AP299" s="198">
        <v>0</v>
      </c>
      <c r="AQ299" s="198">
        <v>0</v>
      </c>
      <c r="AR299" s="198">
        <v>0</v>
      </c>
      <c r="AS299" s="198">
        <v>0</v>
      </c>
      <c r="AT299" s="198">
        <v>0</v>
      </c>
      <c r="AU299" s="198">
        <v>0</v>
      </c>
      <c r="AV299" s="198">
        <v>0</v>
      </c>
      <c r="AW299" s="198">
        <v>0</v>
      </c>
      <c r="AX299" s="198">
        <v>0</v>
      </c>
      <c r="AY299" s="198">
        <v>0</v>
      </c>
      <c r="AZ299" s="198">
        <v>0</v>
      </c>
      <c r="BA299" s="198">
        <v>0</v>
      </c>
      <c r="BB299" s="198">
        <v>0</v>
      </c>
      <c r="BC299" s="198">
        <v>0</v>
      </c>
      <c r="BD299" s="198">
        <v>0</v>
      </c>
      <c r="BE299" s="198">
        <v>0</v>
      </c>
      <c r="BF299" s="198">
        <v>0</v>
      </c>
      <c r="BG299" s="198">
        <v>0</v>
      </c>
      <c r="BH299" s="198">
        <v>0</v>
      </c>
      <c r="BI299" s="198">
        <v>0</v>
      </c>
      <c r="BJ299" s="198">
        <v>0</v>
      </c>
      <c r="BK299" s="198">
        <v>0</v>
      </c>
      <c r="BL299" s="198">
        <v>0</v>
      </c>
      <c r="BM299" s="198">
        <v>0</v>
      </c>
      <c r="BN299" s="198">
        <v>0</v>
      </c>
      <c r="BO299" s="198">
        <v>0</v>
      </c>
      <c r="BP299" s="198">
        <v>0</v>
      </c>
      <c r="BQ299" s="198">
        <v>0</v>
      </c>
      <c r="BR299" s="198">
        <v>0</v>
      </c>
      <c r="BS299" s="198">
        <v>0</v>
      </c>
      <c r="BT299" s="198">
        <v>0</v>
      </c>
      <c r="BU299" s="198">
        <v>0</v>
      </c>
      <c r="BV299" s="198">
        <v>0</v>
      </c>
      <c r="BW299" s="198">
        <v>0</v>
      </c>
      <c r="BX299" s="198">
        <v>0</v>
      </c>
      <c r="BY299" s="198">
        <v>0</v>
      </c>
      <c r="BZ299" s="198">
        <v>0</v>
      </c>
      <c r="CA299" s="198">
        <v>0</v>
      </c>
      <c r="CB299" s="198">
        <v>0</v>
      </c>
      <c r="CC299" s="198">
        <v>0</v>
      </c>
      <c r="CD299" s="198">
        <v>0</v>
      </c>
      <c r="CE299" s="198">
        <v>0</v>
      </c>
      <c r="CF299" s="198">
        <v>0</v>
      </c>
      <c r="CG299" s="198">
        <v>0</v>
      </c>
      <c r="CH299" s="198">
        <v>0</v>
      </c>
      <c r="CI299" s="198">
        <v>0</v>
      </c>
      <c r="CJ299" s="198">
        <v>0</v>
      </c>
      <c r="CK299" s="88"/>
    </row>
    <row r="300" spans="1:89" x14ac:dyDescent="0.3">
      <c r="A300" s="173"/>
      <c r="B300" s="197" t="s">
        <v>329</v>
      </c>
      <c r="C300" s="198">
        <v>0</v>
      </c>
      <c r="D300" s="198">
        <v>0</v>
      </c>
      <c r="E300" s="198">
        <v>0</v>
      </c>
      <c r="F300" s="198">
        <v>0</v>
      </c>
      <c r="G300" s="198">
        <v>0</v>
      </c>
      <c r="H300" s="198">
        <v>0</v>
      </c>
      <c r="I300" s="198">
        <v>0</v>
      </c>
      <c r="J300" s="198">
        <v>0</v>
      </c>
      <c r="K300" s="198">
        <v>0</v>
      </c>
      <c r="L300" s="198">
        <v>0</v>
      </c>
      <c r="M300" s="198">
        <v>0</v>
      </c>
      <c r="N300" s="198">
        <v>0</v>
      </c>
      <c r="O300" s="198">
        <v>0</v>
      </c>
      <c r="P300" s="198">
        <v>0</v>
      </c>
      <c r="Q300" s="198">
        <v>0</v>
      </c>
      <c r="R300" s="198">
        <v>0</v>
      </c>
      <c r="S300" s="198">
        <v>0</v>
      </c>
      <c r="T300" s="198">
        <v>0</v>
      </c>
      <c r="U300" s="198">
        <v>0</v>
      </c>
      <c r="V300" s="198">
        <v>0</v>
      </c>
      <c r="W300" s="198">
        <v>0</v>
      </c>
      <c r="X300" s="198">
        <v>0</v>
      </c>
      <c r="Y300" s="198">
        <v>0</v>
      </c>
      <c r="Z300" s="198">
        <v>0</v>
      </c>
      <c r="AA300" s="198">
        <v>0</v>
      </c>
      <c r="AB300" s="198">
        <v>0</v>
      </c>
      <c r="AC300" s="198">
        <v>0</v>
      </c>
      <c r="AD300" s="198">
        <v>0</v>
      </c>
      <c r="AE300" s="198">
        <v>0</v>
      </c>
      <c r="AF300" s="198">
        <v>0</v>
      </c>
      <c r="AG300" s="198">
        <v>0</v>
      </c>
      <c r="AH300" s="198">
        <v>0</v>
      </c>
      <c r="AI300" s="198">
        <v>0</v>
      </c>
      <c r="AJ300" s="198">
        <v>0</v>
      </c>
      <c r="AK300" s="198">
        <v>0</v>
      </c>
      <c r="AL300" s="198">
        <v>0</v>
      </c>
      <c r="AM300" s="198">
        <v>0</v>
      </c>
      <c r="AN300" s="198">
        <v>0</v>
      </c>
      <c r="AO300" s="198">
        <v>0</v>
      </c>
      <c r="AP300" s="198">
        <v>0</v>
      </c>
      <c r="AQ300" s="198">
        <v>0</v>
      </c>
      <c r="AR300" s="198">
        <v>0</v>
      </c>
      <c r="AS300" s="198">
        <v>0</v>
      </c>
      <c r="AT300" s="198">
        <v>0</v>
      </c>
      <c r="AU300" s="198">
        <v>0</v>
      </c>
      <c r="AV300" s="198">
        <v>0</v>
      </c>
      <c r="AW300" s="198">
        <v>0</v>
      </c>
      <c r="AX300" s="198">
        <v>0</v>
      </c>
      <c r="AY300" s="198">
        <v>0</v>
      </c>
      <c r="AZ300" s="198">
        <v>0</v>
      </c>
      <c r="BA300" s="198">
        <v>3531</v>
      </c>
      <c r="BB300" s="198">
        <v>0</v>
      </c>
      <c r="BC300" s="198">
        <v>0</v>
      </c>
      <c r="BD300" s="198">
        <v>1110.3</v>
      </c>
      <c r="BE300" s="198">
        <v>0</v>
      </c>
      <c r="BF300" s="198">
        <v>0</v>
      </c>
      <c r="BG300" s="198">
        <v>0</v>
      </c>
      <c r="BH300" s="198">
        <v>0</v>
      </c>
      <c r="BI300" s="198">
        <v>0</v>
      </c>
      <c r="BJ300" s="198">
        <v>0</v>
      </c>
      <c r="BK300" s="198">
        <v>0</v>
      </c>
      <c r="BL300" s="198">
        <v>0</v>
      </c>
      <c r="BM300" s="198">
        <v>0</v>
      </c>
      <c r="BN300" s="198">
        <v>0</v>
      </c>
      <c r="BO300" s="198">
        <v>0</v>
      </c>
      <c r="BP300" s="198">
        <v>0</v>
      </c>
      <c r="BQ300" s="198">
        <v>0</v>
      </c>
      <c r="BR300" s="198">
        <v>0</v>
      </c>
      <c r="BS300" s="198">
        <v>0</v>
      </c>
      <c r="BT300" s="198">
        <v>0</v>
      </c>
      <c r="BU300" s="198">
        <v>0</v>
      </c>
      <c r="BV300" s="198">
        <v>0</v>
      </c>
      <c r="BW300" s="198">
        <v>0</v>
      </c>
      <c r="BX300" s="198">
        <v>0</v>
      </c>
      <c r="BY300" s="198">
        <v>0</v>
      </c>
      <c r="BZ300" s="198">
        <v>0</v>
      </c>
      <c r="CA300" s="198">
        <v>0</v>
      </c>
      <c r="CB300" s="198">
        <v>0</v>
      </c>
      <c r="CC300" s="198">
        <v>0</v>
      </c>
      <c r="CD300" s="198">
        <v>0</v>
      </c>
      <c r="CE300" s="198">
        <v>0</v>
      </c>
      <c r="CF300" s="198">
        <v>0</v>
      </c>
      <c r="CG300" s="198">
        <v>0</v>
      </c>
      <c r="CH300" s="198">
        <v>0</v>
      </c>
      <c r="CI300" s="198">
        <v>0</v>
      </c>
      <c r="CJ300" s="198">
        <v>0</v>
      </c>
      <c r="CK300" s="88"/>
    </row>
    <row r="301" spans="1:89" x14ac:dyDescent="0.3">
      <c r="A301" s="173"/>
      <c r="B301" s="197" t="s">
        <v>330</v>
      </c>
      <c r="C301" s="198">
        <v>0</v>
      </c>
      <c r="D301" s="198">
        <v>0</v>
      </c>
      <c r="E301" s="198">
        <v>0</v>
      </c>
      <c r="F301" s="198">
        <v>0</v>
      </c>
      <c r="G301" s="198">
        <v>0</v>
      </c>
      <c r="H301" s="198">
        <v>0</v>
      </c>
      <c r="I301" s="198">
        <v>0</v>
      </c>
      <c r="J301" s="198">
        <v>0</v>
      </c>
      <c r="K301" s="198">
        <v>0</v>
      </c>
      <c r="L301" s="198">
        <v>0</v>
      </c>
      <c r="M301" s="198">
        <v>0</v>
      </c>
      <c r="N301" s="198">
        <v>0</v>
      </c>
      <c r="O301" s="198">
        <v>0</v>
      </c>
      <c r="P301" s="198">
        <v>0</v>
      </c>
      <c r="Q301" s="198">
        <v>0</v>
      </c>
      <c r="R301" s="198">
        <v>0</v>
      </c>
      <c r="S301" s="198">
        <v>0</v>
      </c>
      <c r="T301" s="198">
        <v>0</v>
      </c>
      <c r="U301" s="198">
        <v>0</v>
      </c>
      <c r="V301" s="198">
        <v>0</v>
      </c>
      <c r="W301" s="198">
        <v>0</v>
      </c>
      <c r="X301" s="198">
        <v>0</v>
      </c>
      <c r="Y301" s="198">
        <v>0</v>
      </c>
      <c r="Z301" s="198">
        <v>0</v>
      </c>
      <c r="AA301" s="198">
        <v>0</v>
      </c>
      <c r="AB301" s="198">
        <v>0</v>
      </c>
      <c r="AC301" s="198">
        <v>0</v>
      </c>
      <c r="AD301" s="198">
        <v>0</v>
      </c>
      <c r="AE301" s="198">
        <v>0</v>
      </c>
      <c r="AF301" s="198">
        <v>0</v>
      </c>
      <c r="AG301" s="198">
        <v>0</v>
      </c>
      <c r="AH301" s="198">
        <v>0</v>
      </c>
      <c r="AI301" s="198">
        <v>0</v>
      </c>
      <c r="AJ301" s="198">
        <v>0</v>
      </c>
      <c r="AK301" s="198">
        <v>0</v>
      </c>
      <c r="AL301" s="198">
        <v>0</v>
      </c>
      <c r="AM301" s="198">
        <v>0</v>
      </c>
      <c r="AN301" s="198">
        <v>0</v>
      </c>
      <c r="AO301" s="198">
        <v>0</v>
      </c>
      <c r="AP301" s="198">
        <v>0</v>
      </c>
      <c r="AQ301" s="198">
        <v>0</v>
      </c>
      <c r="AR301" s="198">
        <v>0</v>
      </c>
      <c r="AS301" s="198">
        <v>0</v>
      </c>
      <c r="AT301" s="198">
        <v>0</v>
      </c>
      <c r="AU301" s="198">
        <v>0</v>
      </c>
      <c r="AV301" s="198">
        <v>0</v>
      </c>
      <c r="AW301" s="198">
        <v>0</v>
      </c>
      <c r="AX301" s="198">
        <v>0</v>
      </c>
      <c r="AY301" s="198">
        <v>0</v>
      </c>
      <c r="AZ301" s="198">
        <v>0</v>
      </c>
      <c r="BA301" s="198">
        <v>0</v>
      </c>
      <c r="BB301" s="198">
        <v>0</v>
      </c>
      <c r="BC301" s="198">
        <v>0</v>
      </c>
      <c r="BD301" s="198">
        <v>12380.8</v>
      </c>
      <c r="BE301" s="198">
        <v>694.2</v>
      </c>
      <c r="BF301" s="198">
        <v>0</v>
      </c>
      <c r="BG301" s="198">
        <v>0</v>
      </c>
      <c r="BH301" s="198">
        <v>0</v>
      </c>
      <c r="BI301" s="198">
        <v>0</v>
      </c>
      <c r="BJ301" s="198">
        <v>0</v>
      </c>
      <c r="BK301" s="198">
        <v>0</v>
      </c>
      <c r="BL301" s="198">
        <v>0</v>
      </c>
      <c r="BM301" s="198">
        <v>0</v>
      </c>
      <c r="BN301" s="198">
        <v>0</v>
      </c>
      <c r="BO301" s="198">
        <v>0</v>
      </c>
      <c r="BP301" s="198">
        <v>0</v>
      </c>
      <c r="BQ301" s="198">
        <v>0</v>
      </c>
      <c r="BR301" s="198">
        <v>0</v>
      </c>
      <c r="BS301" s="198">
        <v>0</v>
      </c>
      <c r="BT301" s="198">
        <v>0</v>
      </c>
      <c r="BU301" s="198">
        <v>0</v>
      </c>
      <c r="BV301" s="198">
        <v>0</v>
      </c>
      <c r="BW301" s="198">
        <v>0</v>
      </c>
      <c r="BX301" s="198">
        <v>0</v>
      </c>
      <c r="BY301" s="198">
        <v>0</v>
      </c>
      <c r="BZ301" s="198">
        <v>0</v>
      </c>
      <c r="CA301" s="198">
        <v>0</v>
      </c>
      <c r="CB301" s="198">
        <v>0</v>
      </c>
      <c r="CC301" s="198">
        <v>0</v>
      </c>
      <c r="CD301" s="198">
        <v>0</v>
      </c>
      <c r="CE301" s="198">
        <v>0</v>
      </c>
      <c r="CF301" s="198">
        <v>0</v>
      </c>
      <c r="CG301" s="198">
        <v>0</v>
      </c>
      <c r="CH301" s="198">
        <v>0</v>
      </c>
      <c r="CI301" s="198">
        <v>0</v>
      </c>
      <c r="CJ301" s="198">
        <v>0</v>
      </c>
      <c r="CK301" s="88"/>
    </row>
    <row r="302" spans="1:89" x14ac:dyDescent="0.3">
      <c r="A302" s="173"/>
      <c r="B302" s="197" t="s">
        <v>331</v>
      </c>
      <c r="C302" s="198">
        <v>0</v>
      </c>
      <c r="D302" s="198">
        <v>0</v>
      </c>
      <c r="E302" s="198">
        <v>0</v>
      </c>
      <c r="F302" s="198">
        <v>0</v>
      </c>
      <c r="G302" s="198">
        <v>0</v>
      </c>
      <c r="H302" s="198">
        <v>0</v>
      </c>
      <c r="I302" s="198">
        <v>0</v>
      </c>
      <c r="J302" s="198">
        <v>0</v>
      </c>
      <c r="K302" s="198">
        <v>0</v>
      </c>
      <c r="L302" s="198">
        <v>0</v>
      </c>
      <c r="M302" s="198">
        <v>0</v>
      </c>
      <c r="N302" s="198">
        <v>0</v>
      </c>
      <c r="O302" s="198">
        <v>0</v>
      </c>
      <c r="P302" s="198">
        <v>0</v>
      </c>
      <c r="Q302" s="198">
        <v>0</v>
      </c>
      <c r="R302" s="198">
        <v>0</v>
      </c>
      <c r="S302" s="198">
        <v>0</v>
      </c>
      <c r="T302" s="198">
        <v>0</v>
      </c>
      <c r="U302" s="198">
        <v>0</v>
      </c>
      <c r="V302" s="198">
        <v>0</v>
      </c>
      <c r="W302" s="198">
        <v>0</v>
      </c>
      <c r="X302" s="198">
        <v>0</v>
      </c>
      <c r="Y302" s="198">
        <v>0</v>
      </c>
      <c r="Z302" s="198">
        <v>0</v>
      </c>
      <c r="AA302" s="198">
        <v>0</v>
      </c>
      <c r="AB302" s="198">
        <v>0</v>
      </c>
      <c r="AC302" s="198">
        <v>0</v>
      </c>
      <c r="AD302" s="198">
        <v>0</v>
      </c>
      <c r="AE302" s="198">
        <v>0</v>
      </c>
      <c r="AF302" s="198">
        <v>0</v>
      </c>
      <c r="AG302" s="198">
        <v>0</v>
      </c>
      <c r="AH302" s="198">
        <v>0</v>
      </c>
      <c r="AI302" s="198">
        <v>0</v>
      </c>
      <c r="AJ302" s="198">
        <v>0</v>
      </c>
      <c r="AK302" s="198">
        <v>0</v>
      </c>
      <c r="AL302" s="198">
        <v>0</v>
      </c>
      <c r="AM302" s="198">
        <v>0</v>
      </c>
      <c r="AN302" s="198">
        <v>0</v>
      </c>
      <c r="AO302" s="198">
        <v>0</v>
      </c>
      <c r="AP302" s="198">
        <v>0</v>
      </c>
      <c r="AQ302" s="198">
        <v>0</v>
      </c>
      <c r="AR302" s="198">
        <v>0</v>
      </c>
      <c r="AS302" s="198">
        <v>0</v>
      </c>
      <c r="AT302" s="198">
        <v>0</v>
      </c>
      <c r="AU302" s="198">
        <v>0</v>
      </c>
      <c r="AV302" s="198">
        <v>0</v>
      </c>
      <c r="AW302" s="198">
        <v>0</v>
      </c>
      <c r="AX302" s="198">
        <v>0</v>
      </c>
      <c r="AY302" s="198">
        <v>0</v>
      </c>
      <c r="AZ302" s="198">
        <v>0</v>
      </c>
      <c r="BA302" s="198">
        <v>0</v>
      </c>
      <c r="BB302" s="198">
        <v>0</v>
      </c>
      <c r="BC302" s="198">
        <v>0</v>
      </c>
      <c r="BD302" s="198">
        <v>8167.4</v>
      </c>
      <c r="BE302" s="198">
        <v>0</v>
      </c>
      <c r="BF302" s="198">
        <v>0</v>
      </c>
      <c r="BG302" s="198">
        <v>571.9</v>
      </c>
      <c r="BH302" s="198">
        <v>0</v>
      </c>
      <c r="BI302" s="198">
        <v>0</v>
      </c>
      <c r="BJ302" s="198">
        <v>0</v>
      </c>
      <c r="BK302" s="198">
        <v>0</v>
      </c>
      <c r="BL302" s="198">
        <v>0</v>
      </c>
      <c r="BM302" s="198">
        <v>0</v>
      </c>
      <c r="BN302" s="198">
        <v>0</v>
      </c>
      <c r="BO302" s="198">
        <v>0</v>
      </c>
      <c r="BP302" s="198">
        <v>0</v>
      </c>
      <c r="BQ302" s="198">
        <v>0</v>
      </c>
      <c r="BR302" s="198">
        <v>0</v>
      </c>
      <c r="BS302" s="198">
        <v>0</v>
      </c>
      <c r="BT302" s="198">
        <v>0</v>
      </c>
      <c r="BU302" s="198">
        <v>0</v>
      </c>
      <c r="BV302" s="198">
        <v>0</v>
      </c>
      <c r="BW302" s="198">
        <v>0</v>
      </c>
      <c r="BX302" s="198">
        <v>0</v>
      </c>
      <c r="BY302" s="198">
        <v>0</v>
      </c>
      <c r="BZ302" s="198">
        <v>0</v>
      </c>
      <c r="CA302" s="198">
        <v>0</v>
      </c>
      <c r="CB302" s="198">
        <v>0</v>
      </c>
      <c r="CC302" s="198">
        <v>0</v>
      </c>
      <c r="CD302" s="198">
        <v>0</v>
      </c>
      <c r="CE302" s="198">
        <v>0</v>
      </c>
      <c r="CF302" s="198">
        <v>0</v>
      </c>
      <c r="CG302" s="198">
        <v>0</v>
      </c>
      <c r="CH302" s="198">
        <v>0</v>
      </c>
      <c r="CI302" s="198">
        <v>0</v>
      </c>
      <c r="CJ302" s="198">
        <v>0</v>
      </c>
      <c r="CK302" s="88"/>
    </row>
    <row r="303" spans="1:89" x14ac:dyDescent="0.3">
      <c r="A303" s="173"/>
      <c r="B303" s="197" t="s">
        <v>368</v>
      </c>
      <c r="C303" s="198">
        <v>0</v>
      </c>
      <c r="D303" s="198">
        <v>0</v>
      </c>
      <c r="E303" s="198">
        <v>0</v>
      </c>
      <c r="F303" s="198">
        <v>0</v>
      </c>
      <c r="G303" s="198">
        <v>0</v>
      </c>
      <c r="H303" s="198">
        <v>0</v>
      </c>
      <c r="I303" s="198">
        <v>0</v>
      </c>
      <c r="J303" s="198">
        <v>0</v>
      </c>
      <c r="K303" s="198">
        <v>0</v>
      </c>
      <c r="L303" s="198">
        <v>0</v>
      </c>
      <c r="M303" s="198">
        <v>0</v>
      </c>
      <c r="N303" s="198">
        <v>0</v>
      </c>
      <c r="O303" s="198">
        <v>0</v>
      </c>
      <c r="P303" s="198">
        <v>0</v>
      </c>
      <c r="Q303" s="198">
        <v>0</v>
      </c>
      <c r="R303" s="198">
        <v>0</v>
      </c>
      <c r="S303" s="198">
        <v>0</v>
      </c>
      <c r="T303" s="198">
        <v>0</v>
      </c>
      <c r="U303" s="198">
        <v>0</v>
      </c>
      <c r="V303" s="198">
        <v>0</v>
      </c>
      <c r="W303" s="198">
        <v>0</v>
      </c>
      <c r="X303" s="198">
        <v>0</v>
      </c>
      <c r="Y303" s="198">
        <v>0</v>
      </c>
      <c r="Z303" s="198">
        <v>0</v>
      </c>
      <c r="AA303" s="198">
        <v>0</v>
      </c>
      <c r="AB303" s="198">
        <v>0</v>
      </c>
      <c r="AC303" s="198">
        <v>0</v>
      </c>
      <c r="AD303" s="198">
        <v>0</v>
      </c>
      <c r="AE303" s="198">
        <v>0</v>
      </c>
      <c r="AF303" s="198">
        <v>0</v>
      </c>
      <c r="AG303" s="198">
        <v>0</v>
      </c>
      <c r="AH303" s="198">
        <v>0</v>
      </c>
      <c r="AI303" s="198">
        <v>0</v>
      </c>
      <c r="AJ303" s="198">
        <v>0</v>
      </c>
      <c r="AK303" s="198">
        <v>0</v>
      </c>
      <c r="AL303" s="198">
        <v>0</v>
      </c>
      <c r="AM303" s="198">
        <v>0</v>
      </c>
      <c r="AN303" s="198">
        <v>0</v>
      </c>
      <c r="AO303" s="198">
        <v>0</v>
      </c>
      <c r="AP303" s="198">
        <v>0</v>
      </c>
      <c r="AQ303" s="198">
        <v>0</v>
      </c>
      <c r="AR303" s="198">
        <v>0</v>
      </c>
      <c r="AS303" s="198">
        <v>0</v>
      </c>
      <c r="AT303" s="198">
        <v>0</v>
      </c>
      <c r="AU303" s="198">
        <v>0</v>
      </c>
      <c r="AV303" s="198">
        <v>0</v>
      </c>
      <c r="AW303" s="198">
        <v>0</v>
      </c>
      <c r="AX303" s="198">
        <v>0</v>
      </c>
      <c r="AY303" s="198">
        <v>0</v>
      </c>
      <c r="AZ303" s="198">
        <v>0</v>
      </c>
      <c r="BA303" s="198">
        <v>0</v>
      </c>
      <c r="BB303" s="198">
        <v>0</v>
      </c>
      <c r="BC303" s="198">
        <v>0</v>
      </c>
      <c r="BD303" s="198">
        <v>0</v>
      </c>
      <c r="BE303" s="198">
        <v>0</v>
      </c>
      <c r="BF303" s="198">
        <v>0</v>
      </c>
      <c r="BG303" s="198">
        <v>0</v>
      </c>
      <c r="BH303" s="198">
        <v>0</v>
      </c>
      <c r="BI303" s="198">
        <v>0</v>
      </c>
      <c r="BJ303" s="198">
        <v>0</v>
      </c>
      <c r="BK303" s="198">
        <v>0</v>
      </c>
      <c r="BL303" s="198">
        <v>0</v>
      </c>
      <c r="BM303" s="198">
        <v>10914.1</v>
      </c>
      <c r="BN303" s="198">
        <v>0</v>
      </c>
      <c r="BO303" s="198">
        <v>0</v>
      </c>
      <c r="BP303" s="198">
        <v>0</v>
      </c>
      <c r="BQ303" s="198">
        <v>0</v>
      </c>
      <c r="BR303" s="198">
        <v>0</v>
      </c>
      <c r="BS303" s="198">
        <v>0</v>
      </c>
      <c r="BT303" s="198">
        <v>0</v>
      </c>
      <c r="BU303" s="198">
        <v>144.4</v>
      </c>
      <c r="BV303" s="198">
        <v>0</v>
      </c>
      <c r="BW303" s="198">
        <v>0</v>
      </c>
      <c r="BX303" s="198">
        <v>0</v>
      </c>
      <c r="BY303" s="198">
        <v>0</v>
      </c>
      <c r="BZ303" s="198">
        <v>0</v>
      </c>
      <c r="CA303" s="198">
        <v>0</v>
      </c>
      <c r="CB303" s="198">
        <v>0</v>
      </c>
      <c r="CC303" s="198">
        <v>0</v>
      </c>
      <c r="CD303" s="198">
        <v>0</v>
      </c>
      <c r="CE303" s="198">
        <v>0</v>
      </c>
      <c r="CF303" s="198">
        <v>0</v>
      </c>
      <c r="CG303" s="198">
        <v>0</v>
      </c>
      <c r="CH303" s="198">
        <v>0</v>
      </c>
      <c r="CI303" s="198">
        <v>0</v>
      </c>
      <c r="CJ303" s="198">
        <v>0</v>
      </c>
      <c r="CK303" s="88"/>
    </row>
    <row r="304" spans="1:89" x14ac:dyDescent="0.3">
      <c r="A304" s="173"/>
      <c r="B304" s="197" t="s">
        <v>347</v>
      </c>
      <c r="C304" s="198">
        <v>0</v>
      </c>
      <c r="D304" s="198">
        <v>0</v>
      </c>
      <c r="E304" s="198">
        <v>0</v>
      </c>
      <c r="F304" s="198">
        <v>0</v>
      </c>
      <c r="G304" s="198">
        <v>0</v>
      </c>
      <c r="H304" s="198">
        <v>0</v>
      </c>
      <c r="I304" s="198">
        <v>0</v>
      </c>
      <c r="J304" s="198">
        <v>0</v>
      </c>
      <c r="K304" s="198">
        <v>0</v>
      </c>
      <c r="L304" s="198">
        <v>0</v>
      </c>
      <c r="M304" s="198">
        <v>0</v>
      </c>
      <c r="N304" s="198">
        <v>0</v>
      </c>
      <c r="O304" s="198">
        <v>0</v>
      </c>
      <c r="P304" s="198">
        <v>0</v>
      </c>
      <c r="Q304" s="198">
        <v>0</v>
      </c>
      <c r="R304" s="198">
        <v>0</v>
      </c>
      <c r="S304" s="198">
        <v>0</v>
      </c>
      <c r="T304" s="198">
        <v>0</v>
      </c>
      <c r="U304" s="198">
        <v>0</v>
      </c>
      <c r="V304" s="198">
        <v>0</v>
      </c>
      <c r="W304" s="198">
        <v>0</v>
      </c>
      <c r="X304" s="198">
        <v>0</v>
      </c>
      <c r="Y304" s="198">
        <v>0</v>
      </c>
      <c r="Z304" s="198">
        <v>0</v>
      </c>
      <c r="AA304" s="198">
        <v>0</v>
      </c>
      <c r="AB304" s="198">
        <v>0</v>
      </c>
      <c r="AC304" s="198">
        <v>0</v>
      </c>
      <c r="AD304" s="198">
        <v>0</v>
      </c>
      <c r="AE304" s="198">
        <v>0</v>
      </c>
      <c r="AF304" s="198">
        <v>0</v>
      </c>
      <c r="AG304" s="198">
        <v>0</v>
      </c>
      <c r="AH304" s="198">
        <v>0</v>
      </c>
      <c r="AI304" s="198">
        <v>0</v>
      </c>
      <c r="AJ304" s="198">
        <v>0</v>
      </c>
      <c r="AK304" s="198">
        <v>0</v>
      </c>
      <c r="AL304" s="198">
        <v>0</v>
      </c>
      <c r="AM304" s="198">
        <v>0</v>
      </c>
      <c r="AN304" s="198">
        <v>0</v>
      </c>
      <c r="AO304" s="198">
        <v>0</v>
      </c>
      <c r="AP304" s="198">
        <v>0</v>
      </c>
      <c r="AQ304" s="198">
        <v>0</v>
      </c>
      <c r="AR304" s="198">
        <v>0</v>
      </c>
      <c r="AS304" s="198">
        <v>0</v>
      </c>
      <c r="AT304" s="198">
        <v>0</v>
      </c>
      <c r="AU304" s="198">
        <v>0</v>
      </c>
      <c r="AV304" s="198">
        <v>0</v>
      </c>
      <c r="AW304" s="198">
        <v>0</v>
      </c>
      <c r="AX304" s="198">
        <v>0</v>
      </c>
      <c r="AY304" s="198">
        <v>0</v>
      </c>
      <c r="AZ304" s="198">
        <v>0</v>
      </c>
      <c r="BA304" s="198">
        <v>0</v>
      </c>
      <c r="BB304" s="198">
        <v>0</v>
      </c>
      <c r="BC304" s="198">
        <v>0</v>
      </c>
      <c r="BD304" s="198">
        <v>0</v>
      </c>
      <c r="BE304" s="198">
        <v>0</v>
      </c>
      <c r="BF304" s="198">
        <v>0</v>
      </c>
      <c r="BG304" s="198">
        <v>0</v>
      </c>
      <c r="BH304" s="198">
        <v>0</v>
      </c>
      <c r="BI304" s="198">
        <v>0</v>
      </c>
      <c r="BJ304" s="198">
        <v>0</v>
      </c>
      <c r="BK304" s="198">
        <v>0</v>
      </c>
      <c r="BL304" s="198">
        <v>0</v>
      </c>
      <c r="BM304" s="198">
        <v>2885.6</v>
      </c>
      <c r="BN304" s="198">
        <v>753.5</v>
      </c>
      <c r="BO304" s="198">
        <v>0</v>
      </c>
      <c r="BP304" s="198">
        <v>0</v>
      </c>
      <c r="BQ304" s="198">
        <v>0</v>
      </c>
      <c r="BR304" s="198">
        <v>0</v>
      </c>
      <c r="BS304" s="198">
        <v>0</v>
      </c>
      <c r="BT304" s="198">
        <v>0</v>
      </c>
      <c r="BU304" s="198">
        <v>0</v>
      </c>
      <c r="BV304" s="198">
        <v>0</v>
      </c>
      <c r="BW304" s="198">
        <v>0</v>
      </c>
      <c r="BX304" s="198">
        <v>0</v>
      </c>
      <c r="BY304" s="198">
        <v>0</v>
      </c>
      <c r="BZ304" s="198">
        <v>0</v>
      </c>
      <c r="CA304" s="198">
        <v>0</v>
      </c>
      <c r="CB304" s="198">
        <v>0</v>
      </c>
      <c r="CC304" s="198">
        <v>0</v>
      </c>
      <c r="CD304" s="198">
        <v>0</v>
      </c>
      <c r="CE304" s="198">
        <v>0</v>
      </c>
      <c r="CF304" s="198">
        <v>0</v>
      </c>
      <c r="CG304" s="198">
        <v>0</v>
      </c>
      <c r="CH304" s="198">
        <v>0</v>
      </c>
      <c r="CI304" s="198">
        <v>0</v>
      </c>
      <c r="CJ304" s="198">
        <v>0</v>
      </c>
      <c r="CK304" s="88"/>
    </row>
    <row r="305" spans="1:89" x14ac:dyDescent="0.3">
      <c r="A305" s="173"/>
      <c r="B305" s="197" t="s">
        <v>373</v>
      </c>
      <c r="C305" s="198">
        <v>0</v>
      </c>
      <c r="D305" s="198">
        <v>0</v>
      </c>
      <c r="E305" s="198">
        <v>0</v>
      </c>
      <c r="F305" s="198">
        <v>0</v>
      </c>
      <c r="G305" s="198">
        <v>0</v>
      </c>
      <c r="H305" s="198">
        <v>0</v>
      </c>
      <c r="I305" s="198">
        <v>0</v>
      </c>
      <c r="J305" s="198">
        <v>0</v>
      </c>
      <c r="K305" s="198">
        <v>0</v>
      </c>
      <c r="L305" s="198">
        <v>0</v>
      </c>
      <c r="M305" s="198">
        <v>0</v>
      </c>
      <c r="N305" s="198">
        <v>0</v>
      </c>
      <c r="O305" s="198">
        <v>0</v>
      </c>
      <c r="P305" s="198">
        <v>0</v>
      </c>
      <c r="Q305" s="198">
        <v>0</v>
      </c>
      <c r="R305" s="198">
        <v>0</v>
      </c>
      <c r="S305" s="198">
        <v>0</v>
      </c>
      <c r="T305" s="198">
        <v>0</v>
      </c>
      <c r="U305" s="198">
        <v>0</v>
      </c>
      <c r="V305" s="198">
        <v>0</v>
      </c>
      <c r="W305" s="198">
        <v>0</v>
      </c>
      <c r="X305" s="198">
        <v>0</v>
      </c>
      <c r="Y305" s="198">
        <v>0</v>
      </c>
      <c r="Z305" s="198">
        <v>0</v>
      </c>
      <c r="AA305" s="198">
        <v>0</v>
      </c>
      <c r="AB305" s="198">
        <v>0</v>
      </c>
      <c r="AC305" s="198">
        <v>0</v>
      </c>
      <c r="AD305" s="198">
        <v>0</v>
      </c>
      <c r="AE305" s="198">
        <v>0</v>
      </c>
      <c r="AF305" s="198">
        <v>0</v>
      </c>
      <c r="AG305" s="198">
        <v>0</v>
      </c>
      <c r="AH305" s="198">
        <v>0</v>
      </c>
      <c r="AI305" s="198">
        <v>0</v>
      </c>
      <c r="AJ305" s="198">
        <v>0</v>
      </c>
      <c r="AK305" s="198">
        <v>0</v>
      </c>
      <c r="AL305" s="198">
        <v>0</v>
      </c>
      <c r="AM305" s="198">
        <v>0</v>
      </c>
      <c r="AN305" s="198">
        <v>0</v>
      </c>
      <c r="AO305" s="198">
        <v>0</v>
      </c>
      <c r="AP305" s="198">
        <v>0</v>
      </c>
      <c r="AQ305" s="198">
        <v>0</v>
      </c>
      <c r="AR305" s="198">
        <v>0</v>
      </c>
      <c r="AS305" s="198">
        <v>0</v>
      </c>
      <c r="AT305" s="198">
        <v>0</v>
      </c>
      <c r="AU305" s="198">
        <v>0</v>
      </c>
      <c r="AV305" s="198">
        <v>0</v>
      </c>
      <c r="AW305" s="198">
        <v>0</v>
      </c>
      <c r="AX305" s="198">
        <v>0</v>
      </c>
      <c r="AY305" s="198">
        <v>0</v>
      </c>
      <c r="AZ305" s="198">
        <v>0</v>
      </c>
      <c r="BA305" s="198">
        <v>0</v>
      </c>
      <c r="BB305" s="198">
        <v>0</v>
      </c>
      <c r="BC305" s="198">
        <v>0</v>
      </c>
      <c r="BD305" s="198">
        <v>0</v>
      </c>
      <c r="BE305" s="198">
        <v>0</v>
      </c>
      <c r="BF305" s="198">
        <v>0</v>
      </c>
      <c r="BG305" s="198">
        <v>0</v>
      </c>
      <c r="BH305" s="198">
        <v>0</v>
      </c>
      <c r="BI305" s="198">
        <v>0</v>
      </c>
      <c r="BJ305" s="198">
        <v>0</v>
      </c>
      <c r="BK305" s="198">
        <v>0</v>
      </c>
      <c r="BL305" s="198">
        <v>0</v>
      </c>
      <c r="BM305" s="198">
        <v>2703.2</v>
      </c>
      <c r="BN305" s="198">
        <v>0</v>
      </c>
      <c r="BO305" s="198">
        <v>0</v>
      </c>
      <c r="BP305" s="198">
        <v>293.60000000000002</v>
      </c>
      <c r="BQ305" s="198">
        <v>2372.3000000000002</v>
      </c>
      <c r="BR305" s="198">
        <v>0</v>
      </c>
      <c r="BS305" s="198">
        <v>0</v>
      </c>
      <c r="BT305" s="198">
        <v>0</v>
      </c>
      <c r="BU305" s="198">
        <v>0</v>
      </c>
      <c r="BV305" s="198">
        <v>0</v>
      </c>
      <c r="BW305" s="198">
        <v>0</v>
      </c>
      <c r="BX305" s="198">
        <v>0</v>
      </c>
      <c r="BY305" s="198">
        <v>0</v>
      </c>
      <c r="BZ305" s="198">
        <v>0</v>
      </c>
      <c r="CA305" s="198">
        <v>0</v>
      </c>
      <c r="CB305" s="198">
        <v>0</v>
      </c>
      <c r="CC305" s="198">
        <v>0</v>
      </c>
      <c r="CD305" s="198">
        <v>0</v>
      </c>
      <c r="CE305" s="198">
        <v>0</v>
      </c>
      <c r="CF305" s="198">
        <v>0</v>
      </c>
      <c r="CG305" s="198">
        <v>0</v>
      </c>
      <c r="CH305" s="198">
        <v>0</v>
      </c>
      <c r="CI305" s="198">
        <v>0</v>
      </c>
      <c r="CJ305" s="198">
        <v>0</v>
      </c>
      <c r="CK305" s="88"/>
    </row>
    <row r="306" spans="1:89" x14ac:dyDescent="0.3">
      <c r="A306" s="173"/>
      <c r="B306" s="197" t="s">
        <v>367</v>
      </c>
      <c r="C306" s="198">
        <v>0</v>
      </c>
      <c r="D306" s="198">
        <v>0</v>
      </c>
      <c r="E306" s="198">
        <v>0</v>
      </c>
      <c r="F306" s="198">
        <v>0</v>
      </c>
      <c r="G306" s="198">
        <v>0</v>
      </c>
      <c r="H306" s="198">
        <v>0</v>
      </c>
      <c r="I306" s="198">
        <v>0</v>
      </c>
      <c r="J306" s="198">
        <v>0</v>
      </c>
      <c r="K306" s="198">
        <v>0</v>
      </c>
      <c r="L306" s="198">
        <v>0</v>
      </c>
      <c r="M306" s="198">
        <v>0</v>
      </c>
      <c r="N306" s="198">
        <v>0</v>
      </c>
      <c r="O306" s="198">
        <v>0</v>
      </c>
      <c r="P306" s="198">
        <v>0</v>
      </c>
      <c r="Q306" s="198">
        <v>0</v>
      </c>
      <c r="R306" s="198">
        <v>0</v>
      </c>
      <c r="S306" s="198">
        <v>0</v>
      </c>
      <c r="T306" s="198">
        <v>0</v>
      </c>
      <c r="U306" s="198">
        <v>0</v>
      </c>
      <c r="V306" s="198">
        <v>0</v>
      </c>
      <c r="W306" s="198">
        <v>0</v>
      </c>
      <c r="X306" s="198">
        <v>0</v>
      </c>
      <c r="Y306" s="198">
        <v>0</v>
      </c>
      <c r="Z306" s="198">
        <v>0</v>
      </c>
      <c r="AA306" s="198">
        <v>0</v>
      </c>
      <c r="AB306" s="198">
        <v>0</v>
      </c>
      <c r="AC306" s="198">
        <v>0</v>
      </c>
      <c r="AD306" s="198">
        <v>0</v>
      </c>
      <c r="AE306" s="198">
        <v>0</v>
      </c>
      <c r="AF306" s="198">
        <v>0</v>
      </c>
      <c r="AG306" s="198">
        <v>0</v>
      </c>
      <c r="AH306" s="198">
        <v>0</v>
      </c>
      <c r="AI306" s="198">
        <v>0</v>
      </c>
      <c r="AJ306" s="198">
        <v>0</v>
      </c>
      <c r="AK306" s="198">
        <v>0</v>
      </c>
      <c r="AL306" s="198">
        <v>0</v>
      </c>
      <c r="AM306" s="198">
        <v>0</v>
      </c>
      <c r="AN306" s="198">
        <v>0</v>
      </c>
      <c r="AO306" s="198">
        <v>0</v>
      </c>
      <c r="AP306" s="198">
        <v>0</v>
      </c>
      <c r="AQ306" s="198">
        <v>0</v>
      </c>
      <c r="AR306" s="198">
        <v>0</v>
      </c>
      <c r="AS306" s="198">
        <v>0</v>
      </c>
      <c r="AT306" s="198">
        <v>0</v>
      </c>
      <c r="AU306" s="198">
        <v>0</v>
      </c>
      <c r="AV306" s="198">
        <v>0</v>
      </c>
      <c r="AW306" s="198">
        <v>0</v>
      </c>
      <c r="AX306" s="198">
        <v>0</v>
      </c>
      <c r="AY306" s="198">
        <v>0</v>
      </c>
      <c r="AZ306" s="198">
        <v>0</v>
      </c>
      <c r="BA306" s="198">
        <v>0</v>
      </c>
      <c r="BB306" s="198">
        <v>0</v>
      </c>
      <c r="BC306" s="198">
        <v>0</v>
      </c>
      <c r="BD306" s="198">
        <v>0</v>
      </c>
      <c r="BE306" s="198">
        <v>0</v>
      </c>
      <c r="BF306" s="198">
        <v>0</v>
      </c>
      <c r="BG306" s="198">
        <v>0</v>
      </c>
      <c r="BH306" s="198">
        <v>0</v>
      </c>
      <c r="BI306" s="198">
        <v>0</v>
      </c>
      <c r="BJ306" s="198">
        <v>0</v>
      </c>
      <c r="BK306" s="198">
        <v>0</v>
      </c>
      <c r="BL306" s="198">
        <v>0</v>
      </c>
      <c r="BM306" s="198">
        <v>5329</v>
      </c>
      <c r="BN306" s="198">
        <v>0</v>
      </c>
      <c r="BO306" s="198">
        <v>0</v>
      </c>
      <c r="BP306" s="198">
        <v>0</v>
      </c>
      <c r="BQ306" s="198">
        <v>0</v>
      </c>
      <c r="BR306" s="198">
        <v>1546.3</v>
      </c>
      <c r="BS306" s="198">
        <v>0</v>
      </c>
      <c r="BT306" s="198">
        <v>0</v>
      </c>
      <c r="BU306" s="198">
        <v>0</v>
      </c>
      <c r="BV306" s="198">
        <v>0</v>
      </c>
      <c r="BW306" s="198">
        <v>0</v>
      </c>
      <c r="BX306" s="198">
        <v>0</v>
      </c>
      <c r="BY306" s="198">
        <v>0</v>
      </c>
      <c r="BZ306" s="198">
        <v>0</v>
      </c>
      <c r="CA306" s="198">
        <v>0</v>
      </c>
      <c r="CB306" s="198">
        <v>0</v>
      </c>
      <c r="CC306" s="198">
        <v>0</v>
      </c>
      <c r="CD306" s="198">
        <v>0</v>
      </c>
      <c r="CE306" s="198">
        <v>0</v>
      </c>
      <c r="CF306" s="198">
        <v>0</v>
      </c>
      <c r="CG306" s="198">
        <v>0</v>
      </c>
      <c r="CH306" s="198">
        <v>0</v>
      </c>
      <c r="CI306" s="198">
        <v>0</v>
      </c>
      <c r="CJ306" s="198">
        <v>0</v>
      </c>
      <c r="CK306" s="88"/>
    </row>
    <row r="307" spans="1:89" x14ac:dyDescent="0.3">
      <c r="A307" s="173"/>
      <c r="B307" s="197" t="s">
        <v>404</v>
      </c>
      <c r="C307" s="198">
        <v>0</v>
      </c>
      <c r="D307" s="198">
        <v>0</v>
      </c>
      <c r="E307" s="198">
        <v>0</v>
      </c>
      <c r="F307" s="198">
        <v>0</v>
      </c>
      <c r="G307" s="198">
        <v>0</v>
      </c>
      <c r="H307" s="198">
        <v>0</v>
      </c>
      <c r="I307" s="198">
        <v>0</v>
      </c>
      <c r="J307" s="198">
        <v>0</v>
      </c>
      <c r="K307" s="198">
        <v>0</v>
      </c>
      <c r="L307" s="198">
        <v>0</v>
      </c>
      <c r="M307" s="198">
        <v>0</v>
      </c>
      <c r="N307" s="198">
        <v>0</v>
      </c>
      <c r="O307" s="198">
        <v>0</v>
      </c>
      <c r="P307" s="198">
        <v>0</v>
      </c>
      <c r="Q307" s="198">
        <v>0</v>
      </c>
      <c r="R307" s="198">
        <v>0</v>
      </c>
      <c r="S307" s="198">
        <v>0</v>
      </c>
      <c r="T307" s="198">
        <v>0</v>
      </c>
      <c r="U307" s="198">
        <v>0</v>
      </c>
      <c r="V307" s="198">
        <v>0</v>
      </c>
      <c r="W307" s="198">
        <v>0</v>
      </c>
      <c r="X307" s="198">
        <v>0</v>
      </c>
      <c r="Y307" s="198">
        <v>0</v>
      </c>
      <c r="Z307" s="198">
        <v>0</v>
      </c>
      <c r="AA307" s="198">
        <v>0</v>
      </c>
      <c r="AB307" s="198">
        <v>0</v>
      </c>
      <c r="AC307" s="198">
        <v>0</v>
      </c>
      <c r="AD307" s="198">
        <v>0</v>
      </c>
      <c r="AE307" s="198">
        <v>0</v>
      </c>
      <c r="AF307" s="198">
        <v>0</v>
      </c>
      <c r="AG307" s="198">
        <v>0</v>
      </c>
      <c r="AH307" s="198">
        <v>0</v>
      </c>
      <c r="AI307" s="198">
        <v>0</v>
      </c>
      <c r="AJ307" s="198">
        <v>0</v>
      </c>
      <c r="AK307" s="198">
        <v>0</v>
      </c>
      <c r="AL307" s="198">
        <v>0</v>
      </c>
      <c r="AM307" s="198">
        <v>0</v>
      </c>
      <c r="AN307" s="198">
        <v>0</v>
      </c>
      <c r="AO307" s="198">
        <v>0</v>
      </c>
      <c r="AP307" s="198">
        <v>0</v>
      </c>
      <c r="AQ307" s="198">
        <v>0</v>
      </c>
      <c r="AR307" s="198">
        <v>0</v>
      </c>
      <c r="AS307" s="198">
        <v>0</v>
      </c>
      <c r="AT307" s="198">
        <v>0</v>
      </c>
      <c r="AU307" s="198">
        <v>0</v>
      </c>
      <c r="AV307" s="198">
        <v>0</v>
      </c>
      <c r="AW307" s="198">
        <v>0</v>
      </c>
      <c r="AX307" s="198">
        <v>0</v>
      </c>
      <c r="AY307" s="198">
        <v>0</v>
      </c>
      <c r="AZ307" s="198">
        <v>0</v>
      </c>
      <c r="BA307" s="198">
        <v>0</v>
      </c>
      <c r="BB307" s="198">
        <v>0</v>
      </c>
      <c r="BC307" s="198">
        <v>0</v>
      </c>
      <c r="BD307" s="198">
        <v>0</v>
      </c>
      <c r="BE307" s="198">
        <v>0</v>
      </c>
      <c r="BF307" s="198">
        <v>0</v>
      </c>
      <c r="BG307" s="198">
        <v>0</v>
      </c>
      <c r="BH307" s="198">
        <v>0</v>
      </c>
      <c r="BI307" s="198">
        <v>0</v>
      </c>
      <c r="BJ307" s="198">
        <v>0</v>
      </c>
      <c r="BK307" s="198">
        <v>0</v>
      </c>
      <c r="BL307" s="198">
        <v>0</v>
      </c>
      <c r="BM307" s="198">
        <v>0</v>
      </c>
      <c r="BN307" s="198">
        <v>0</v>
      </c>
      <c r="BO307" s="198">
        <v>0</v>
      </c>
      <c r="BP307" s="198">
        <v>0</v>
      </c>
      <c r="BQ307" s="198">
        <v>0</v>
      </c>
      <c r="BR307" s="198">
        <v>0</v>
      </c>
      <c r="BS307" s="198">
        <v>0</v>
      </c>
      <c r="BT307" s="198">
        <v>0</v>
      </c>
      <c r="BU307" s="198">
        <v>0</v>
      </c>
      <c r="BV307" s="198">
        <v>0</v>
      </c>
      <c r="BW307" s="198">
        <v>0</v>
      </c>
      <c r="BX307" s="198">
        <v>0</v>
      </c>
      <c r="BY307" s="198">
        <v>0</v>
      </c>
      <c r="BZ307" s="198">
        <v>0</v>
      </c>
      <c r="CA307" s="198">
        <v>0</v>
      </c>
      <c r="CB307" s="198">
        <v>0</v>
      </c>
      <c r="CC307" s="198">
        <v>0</v>
      </c>
      <c r="CD307" s="198">
        <v>0</v>
      </c>
      <c r="CE307" s="198">
        <v>4.9000000000000004</v>
      </c>
      <c r="CF307" s="198">
        <v>0</v>
      </c>
      <c r="CG307" s="198">
        <v>0</v>
      </c>
      <c r="CH307" s="198">
        <v>0</v>
      </c>
      <c r="CI307" s="198">
        <v>0</v>
      </c>
      <c r="CJ307" s="198">
        <v>0</v>
      </c>
      <c r="CK307" s="88"/>
    </row>
    <row r="308" spans="1:89" x14ac:dyDescent="0.3">
      <c r="A308" s="173"/>
      <c r="B308" s="197" t="s">
        <v>405</v>
      </c>
      <c r="C308" s="198">
        <v>0</v>
      </c>
      <c r="D308" s="198">
        <v>0</v>
      </c>
      <c r="E308" s="198">
        <v>0</v>
      </c>
      <c r="F308" s="198">
        <v>0</v>
      </c>
      <c r="G308" s="198">
        <v>0</v>
      </c>
      <c r="H308" s="198">
        <v>0</v>
      </c>
      <c r="I308" s="198">
        <v>0</v>
      </c>
      <c r="J308" s="198">
        <v>0</v>
      </c>
      <c r="K308" s="198">
        <v>0</v>
      </c>
      <c r="L308" s="198">
        <v>0</v>
      </c>
      <c r="M308" s="198">
        <v>0</v>
      </c>
      <c r="N308" s="198">
        <v>0</v>
      </c>
      <c r="O308" s="198">
        <v>0</v>
      </c>
      <c r="P308" s="198">
        <v>0</v>
      </c>
      <c r="Q308" s="198">
        <v>0</v>
      </c>
      <c r="R308" s="198">
        <v>0</v>
      </c>
      <c r="S308" s="198">
        <v>0</v>
      </c>
      <c r="T308" s="198">
        <v>0</v>
      </c>
      <c r="U308" s="198">
        <v>0</v>
      </c>
      <c r="V308" s="198">
        <v>0</v>
      </c>
      <c r="W308" s="198">
        <v>0</v>
      </c>
      <c r="X308" s="198">
        <v>0</v>
      </c>
      <c r="Y308" s="198">
        <v>0</v>
      </c>
      <c r="Z308" s="198">
        <v>0</v>
      </c>
      <c r="AA308" s="198">
        <v>0</v>
      </c>
      <c r="AB308" s="198">
        <v>0</v>
      </c>
      <c r="AC308" s="198">
        <v>0</v>
      </c>
      <c r="AD308" s="198">
        <v>0</v>
      </c>
      <c r="AE308" s="198">
        <v>0</v>
      </c>
      <c r="AF308" s="198">
        <v>0</v>
      </c>
      <c r="AG308" s="198">
        <v>0</v>
      </c>
      <c r="AH308" s="198">
        <v>0</v>
      </c>
      <c r="AI308" s="198">
        <v>0</v>
      </c>
      <c r="AJ308" s="198">
        <v>0</v>
      </c>
      <c r="AK308" s="198">
        <v>0</v>
      </c>
      <c r="AL308" s="198">
        <v>0</v>
      </c>
      <c r="AM308" s="198">
        <v>0</v>
      </c>
      <c r="AN308" s="198">
        <v>0</v>
      </c>
      <c r="AO308" s="198">
        <v>0</v>
      </c>
      <c r="AP308" s="198">
        <v>0</v>
      </c>
      <c r="AQ308" s="198">
        <v>0</v>
      </c>
      <c r="AR308" s="198">
        <v>0</v>
      </c>
      <c r="AS308" s="198">
        <v>0</v>
      </c>
      <c r="AT308" s="198">
        <v>0</v>
      </c>
      <c r="AU308" s="198">
        <v>0</v>
      </c>
      <c r="AV308" s="198">
        <v>0</v>
      </c>
      <c r="AW308" s="198">
        <v>0</v>
      </c>
      <c r="AX308" s="198">
        <v>0</v>
      </c>
      <c r="AY308" s="198">
        <v>0</v>
      </c>
      <c r="AZ308" s="198">
        <v>0</v>
      </c>
      <c r="BA308" s="198">
        <v>0</v>
      </c>
      <c r="BB308" s="198">
        <v>0</v>
      </c>
      <c r="BC308" s="198">
        <v>0</v>
      </c>
      <c r="BD308" s="198">
        <v>0</v>
      </c>
      <c r="BE308" s="198">
        <v>0</v>
      </c>
      <c r="BF308" s="198">
        <v>0</v>
      </c>
      <c r="BG308" s="198">
        <v>0</v>
      </c>
      <c r="BH308" s="198">
        <v>0</v>
      </c>
      <c r="BI308" s="198">
        <v>0</v>
      </c>
      <c r="BJ308" s="198">
        <v>0</v>
      </c>
      <c r="BK308" s="198">
        <v>0</v>
      </c>
      <c r="BL308" s="198">
        <v>0</v>
      </c>
      <c r="BM308" s="198">
        <v>0</v>
      </c>
      <c r="BN308" s="198">
        <v>0</v>
      </c>
      <c r="BO308" s="198">
        <v>0</v>
      </c>
      <c r="BP308" s="198">
        <v>0</v>
      </c>
      <c r="BQ308" s="198">
        <v>0</v>
      </c>
      <c r="BR308" s="198">
        <v>0</v>
      </c>
      <c r="BS308" s="198">
        <v>0</v>
      </c>
      <c r="BT308" s="198">
        <v>0</v>
      </c>
      <c r="BU308" s="198">
        <v>0</v>
      </c>
      <c r="BV308" s="198">
        <v>0</v>
      </c>
      <c r="BW308" s="198">
        <v>0</v>
      </c>
      <c r="BX308" s="198">
        <v>0</v>
      </c>
      <c r="BY308" s="198">
        <v>0</v>
      </c>
      <c r="BZ308" s="198">
        <v>0</v>
      </c>
      <c r="CA308" s="198">
        <v>0</v>
      </c>
      <c r="CB308" s="198">
        <v>0</v>
      </c>
      <c r="CC308" s="198">
        <v>0</v>
      </c>
      <c r="CD308" s="198">
        <v>0</v>
      </c>
      <c r="CE308" s="198">
        <v>4.9000000000000004</v>
      </c>
      <c r="CF308" s="198">
        <v>0</v>
      </c>
      <c r="CG308" s="198">
        <v>0</v>
      </c>
      <c r="CH308" s="198">
        <v>0</v>
      </c>
      <c r="CI308" s="198">
        <v>0</v>
      </c>
      <c r="CJ308" s="198">
        <v>0</v>
      </c>
      <c r="CK308" s="88"/>
    </row>
    <row r="309" spans="1:89" x14ac:dyDescent="0.3">
      <c r="A309" s="173"/>
      <c r="B309" s="197" t="s">
        <v>406</v>
      </c>
      <c r="C309" s="198">
        <v>0</v>
      </c>
      <c r="D309" s="198">
        <v>0</v>
      </c>
      <c r="E309" s="198">
        <v>0</v>
      </c>
      <c r="F309" s="198">
        <v>0</v>
      </c>
      <c r="G309" s="198">
        <v>0</v>
      </c>
      <c r="H309" s="198">
        <v>0</v>
      </c>
      <c r="I309" s="198">
        <v>0</v>
      </c>
      <c r="J309" s="198">
        <v>0</v>
      </c>
      <c r="K309" s="198">
        <v>0</v>
      </c>
      <c r="L309" s="198">
        <v>0</v>
      </c>
      <c r="M309" s="198">
        <v>0</v>
      </c>
      <c r="N309" s="198">
        <v>0</v>
      </c>
      <c r="O309" s="198">
        <v>0</v>
      </c>
      <c r="P309" s="198">
        <v>0</v>
      </c>
      <c r="Q309" s="198">
        <v>0</v>
      </c>
      <c r="R309" s="198">
        <v>0</v>
      </c>
      <c r="S309" s="198">
        <v>0</v>
      </c>
      <c r="T309" s="198">
        <v>0</v>
      </c>
      <c r="U309" s="198">
        <v>0</v>
      </c>
      <c r="V309" s="198">
        <v>0</v>
      </c>
      <c r="W309" s="198">
        <v>0</v>
      </c>
      <c r="X309" s="198">
        <v>0</v>
      </c>
      <c r="Y309" s="198">
        <v>0</v>
      </c>
      <c r="Z309" s="198">
        <v>0</v>
      </c>
      <c r="AA309" s="198">
        <v>0</v>
      </c>
      <c r="AB309" s="198">
        <v>0</v>
      </c>
      <c r="AC309" s="198">
        <v>0</v>
      </c>
      <c r="AD309" s="198">
        <v>0</v>
      </c>
      <c r="AE309" s="198">
        <v>0</v>
      </c>
      <c r="AF309" s="198">
        <v>0</v>
      </c>
      <c r="AG309" s="198">
        <v>0</v>
      </c>
      <c r="AH309" s="198">
        <v>0</v>
      </c>
      <c r="AI309" s="198">
        <v>0</v>
      </c>
      <c r="AJ309" s="198">
        <v>0</v>
      </c>
      <c r="AK309" s="198">
        <v>0</v>
      </c>
      <c r="AL309" s="198">
        <v>0</v>
      </c>
      <c r="AM309" s="198">
        <v>0</v>
      </c>
      <c r="AN309" s="198">
        <v>0</v>
      </c>
      <c r="AO309" s="198">
        <v>0</v>
      </c>
      <c r="AP309" s="198">
        <v>0</v>
      </c>
      <c r="AQ309" s="198">
        <v>0</v>
      </c>
      <c r="AR309" s="198">
        <v>0</v>
      </c>
      <c r="AS309" s="198">
        <v>0</v>
      </c>
      <c r="AT309" s="198">
        <v>0</v>
      </c>
      <c r="AU309" s="198">
        <v>0</v>
      </c>
      <c r="AV309" s="198">
        <v>0</v>
      </c>
      <c r="AW309" s="198">
        <v>0</v>
      </c>
      <c r="AX309" s="198">
        <v>0</v>
      </c>
      <c r="AY309" s="198">
        <v>0</v>
      </c>
      <c r="AZ309" s="198">
        <v>0</v>
      </c>
      <c r="BA309" s="198">
        <v>0</v>
      </c>
      <c r="BB309" s="198">
        <v>0</v>
      </c>
      <c r="BC309" s="198">
        <v>0</v>
      </c>
      <c r="BD309" s="198">
        <v>0</v>
      </c>
      <c r="BE309" s="198">
        <v>0</v>
      </c>
      <c r="BF309" s="198">
        <v>0</v>
      </c>
      <c r="BG309" s="198">
        <v>0</v>
      </c>
      <c r="BH309" s="198">
        <v>0</v>
      </c>
      <c r="BI309" s="198">
        <v>0</v>
      </c>
      <c r="BJ309" s="198">
        <v>0</v>
      </c>
      <c r="BK309" s="198">
        <v>0</v>
      </c>
      <c r="BL309" s="198">
        <v>0</v>
      </c>
      <c r="BM309" s="198">
        <v>0</v>
      </c>
      <c r="BN309" s="198">
        <v>0</v>
      </c>
      <c r="BO309" s="198">
        <v>0</v>
      </c>
      <c r="BP309" s="198">
        <v>0</v>
      </c>
      <c r="BQ309" s="198">
        <v>0</v>
      </c>
      <c r="BR309" s="198">
        <v>0</v>
      </c>
      <c r="BS309" s="198">
        <v>0</v>
      </c>
      <c r="BT309" s="198">
        <v>0</v>
      </c>
      <c r="BU309" s="198">
        <v>0</v>
      </c>
      <c r="BV309" s="198">
        <v>0</v>
      </c>
      <c r="BW309" s="198">
        <v>0</v>
      </c>
      <c r="BX309" s="198">
        <v>0</v>
      </c>
      <c r="BY309" s="198">
        <v>0</v>
      </c>
      <c r="BZ309" s="198">
        <v>0</v>
      </c>
      <c r="CA309" s="198">
        <v>0</v>
      </c>
      <c r="CB309" s="198">
        <v>0</v>
      </c>
      <c r="CC309" s="198">
        <v>0</v>
      </c>
      <c r="CD309" s="198">
        <v>0</v>
      </c>
      <c r="CE309" s="198">
        <v>4.9000000000000004</v>
      </c>
      <c r="CF309" s="198">
        <v>0</v>
      </c>
      <c r="CG309" s="198">
        <v>0</v>
      </c>
      <c r="CH309" s="198">
        <v>0</v>
      </c>
      <c r="CI309" s="198">
        <v>0</v>
      </c>
      <c r="CJ309" s="198">
        <v>0</v>
      </c>
      <c r="CK309" s="88"/>
    </row>
    <row r="310" spans="1:89" x14ac:dyDescent="0.3">
      <c r="A310" s="173"/>
      <c r="B310" s="197" t="s">
        <v>407</v>
      </c>
      <c r="C310" s="198">
        <v>0</v>
      </c>
      <c r="D310" s="198">
        <v>0</v>
      </c>
      <c r="E310" s="198">
        <v>0</v>
      </c>
      <c r="F310" s="198">
        <v>0</v>
      </c>
      <c r="G310" s="198">
        <v>0</v>
      </c>
      <c r="H310" s="198">
        <v>0</v>
      </c>
      <c r="I310" s="198">
        <v>0</v>
      </c>
      <c r="J310" s="198">
        <v>0</v>
      </c>
      <c r="K310" s="198">
        <v>0</v>
      </c>
      <c r="L310" s="198">
        <v>0</v>
      </c>
      <c r="M310" s="198">
        <v>0</v>
      </c>
      <c r="N310" s="198">
        <v>0</v>
      </c>
      <c r="O310" s="198">
        <v>0</v>
      </c>
      <c r="P310" s="198">
        <v>0</v>
      </c>
      <c r="Q310" s="198">
        <v>0</v>
      </c>
      <c r="R310" s="198">
        <v>0</v>
      </c>
      <c r="S310" s="198">
        <v>0</v>
      </c>
      <c r="T310" s="198">
        <v>0</v>
      </c>
      <c r="U310" s="198">
        <v>0</v>
      </c>
      <c r="V310" s="198">
        <v>0</v>
      </c>
      <c r="W310" s="198">
        <v>0</v>
      </c>
      <c r="X310" s="198">
        <v>0</v>
      </c>
      <c r="Y310" s="198">
        <v>0</v>
      </c>
      <c r="Z310" s="198">
        <v>0</v>
      </c>
      <c r="AA310" s="198">
        <v>0</v>
      </c>
      <c r="AB310" s="198">
        <v>0</v>
      </c>
      <c r="AC310" s="198">
        <v>0</v>
      </c>
      <c r="AD310" s="198">
        <v>0</v>
      </c>
      <c r="AE310" s="198">
        <v>0</v>
      </c>
      <c r="AF310" s="198">
        <v>0</v>
      </c>
      <c r="AG310" s="198">
        <v>0</v>
      </c>
      <c r="AH310" s="198">
        <v>0</v>
      </c>
      <c r="AI310" s="198">
        <v>0</v>
      </c>
      <c r="AJ310" s="198">
        <v>0</v>
      </c>
      <c r="AK310" s="198">
        <v>0</v>
      </c>
      <c r="AL310" s="198">
        <v>0</v>
      </c>
      <c r="AM310" s="198">
        <v>0</v>
      </c>
      <c r="AN310" s="198">
        <v>0</v>
      </c>
      <c r="AO310" s="198">
        <v>0</v>
      </c>
      <c r="AP310" s="198">
        <v>0</v>
      </c>
      <c r="AQ310" s="198">
        <v>0</v>
      </c>
      <c r="AR310" s="198">
        <v>0</v>
      </c>
      <c r="AS310" s="198">
        <v>0</v>
      </c>
      <c r="AT310" s="198">
        <v>0</v>
      </c>
      <c r="AU310" s="198">
        <v>0</v>
      </c>
      <c r="AV310" s="198">
        <v>0</v>
      </c>
      <c r="AW310" s="198">
        <v>0</v>
      </c>
      <c r="AX310" s="198">
        <v>0</v>
      </c>
      <c r="AY310" s="198">
        <v>0</v>
      </c>
      <c r="AZ310" s="198">
        <v>0</v>
      </c>
      <c r="BA310" s="198">
        <v>0</v>
      </c>
      <c r="BB310" s="198">
        <v>0</v>
      </c>
      <c r="BC310" s="198">
        <v>0</v>
      </c>
      <c r="BD310" s="198">
        <v>0</v>
      </c>
      <c r="BE310" s="198">
        <v>0</v>
      </c>
      <c r="BF310" s="198">
        <v>0</v>
      </c>
      <c r="BG310" s="198">
        <v>0</v>
      </c>
      <c r="BH310" s="198">
        <v>0</v>
      </c>
      <c r="BI310" s="198">
        <v>0</v>
      </c>
      <c r="BJ310" s="198">
        <v>0</v>
      </c>
      <c r="BK310" s="198">
        <v>0</v>
      </c>
      <c r="BL310" s="198">
        <v>0</v>
      </c>
      <c r="BM310" s="198">
        <v>0</v>
      </c>
      <c r="BN310" s="198">
        <v>0</v>
      </c>
      <c r="BO310" s="198">
        <v>0</v>
      </c>
      <c r="BP310" s="198">
        <v>0</v>
      </c>
      <c r="BQ310" s="198">
        <v>0</v>
      </c>
      <c r="BR310" s="198">
        <v>0</v>
      </c>
      <c r="BS310" s="198">
        <v>0</v>
      </c>
      <c r="BT310" s="198">
        <v>0</v>
      </c>
      <c r="BU310" s="198">
        <v>0</v>
      </c>
      <c r="BV310" s="198">
        <v>0</v>
      </c>
      <c r="BW310" s="198">
        <v>0</v>
      </c>
      <c r="BX310" s="198">
        <v>0</v>
      </c>
      <c r="BY310" s="198">
        <v>0</v>
      </c>
      <c r="BZ310" s="198">
        <v>0</v>
      </c>
      <c r="CA310" s="198">
        <v>0</v>
      </c>
      <c r="CB310" s="198">
        <v>0</v>
      </c>
      <c r="CC310" s="198">
        <v>0</v>
      </c>
      <c r="CD310" s="198">
        <v>0</v>
      </c>
      <c r="CE310" s="198">
        <v>4.9000000000000004</v>
      </c>
      <c r="CF310" s="198">
        <v>0</v>
      </c>
      <c r="CG310" s="198">
        <v>0</v>
      </c>
      <c r="CH310" s="198">
        <v>0</v>
      </c>
      <c r="CI310" s="198">
        <v>0</v>
      </c>
      <c r="CJ310" s="198">
        <v>0</v>
      </c>
      <c r="CK310" s="88"/>
    </row>
    <row r="311" spans="1:89" x14ac:dyDescent="0.3">
      <c r="A311" s="173"/>
      <c r="B311" s="197" t="s">
        <v>401</v>
      </c>
      <c r="C311" s="198">
        <v>0</v>
      </c>
      <c r="D311" s="198">
        <v>0</v>
      </c>
      <c r="E311" s="198">
        <v>0</v>
      </c>
      <c r="F311" s="198">
        <v>0</v>
      </c>
      <c r="G311" s="198">
        <v>0</v>
      </c>
      <c r="H311" s="198">
        <v>0</v>
      </c>
      <c r="I311" s="198">
        <v>0</v>
      </c>
      <c r="J311" s="198">
        <v>0</v>
      </c>
      <c r="K311" s="198">
        <v>0</v>
      </c>
      <c r="L311" s="198">
        <v>0</v>
      </c>
      <c r="M311" s="198">
        <v>0</v>
      </c>
      <c r="N311" s="198">
        <v>0</v>
      </c>
      <c r="O311" s="198">
        <v>0</v>
      </c>
      <c r="P311" s="198">
        <v>0</v>
      </c>
      <c r="Q311" s="198">
        <v>0</v>
      </c>
      <c r="R311" s="198">
        <v>0</v>
      </c>
      <c r="S311" s="198">
        <v>0</v>
      </c>
      <c r="T311" s="198">
        <v>0</v>
      </c>
      <c r="U311" s="198">
        <v>0</v>
      </c>
      <c r="V311" s="198">
        <v>0</v>
      </c>
      <c r="W311" s="198">
        <v>0</v>
      </c>
      <c r="X311" s="198">
        <v>0</v>
      </c>
      <c r="Y311" s="198">
        <v>0</v>
      </c>
      <c r="Z311" s="198">
        <v>0</v>
      </c>
      <c r="AA311" s="198">
        <v>0</v>
      </c>
      <c r="AB311" s="198">
        <v>0</v>
      </c>
      <c r="AC311" s="198">
        <v>0</v>
      </c>
      <c r="AD311" s="198">
        <v>0</v>
      </c>
      <c r="AE311" s="198">
        <v>0</v>
      </c>
      <c r="AF311" s="198">
        <v>0</v>
      </c>
      <c r="AG311" s="198">
        <v>0</v>
      </c>
      <c r="AH311" s="198">
        <v>0</v>
      </c>
      <c r="AI311" s="198">
        <v>0</v>
      </c>
      <c r="AJ311" s="198">
        <v>0</v>
      </c>
      <c r="AK311" s="198">
        <v>0</v>
      </c>
      <c r="AL311" s="198">
        <v>0</v>
      </c>
      <c r="AM311" s="198">
        <v>0</v>
      </c>
      <c r="AN311" s="198">
        <v>0</v>
      </c>
      <c r="AO311" s="198">
        <v>0</v>
      </c>
      <c r="AP311" s="198">
        <v>0</v>
      </c>
      <c r="AQ311" s="198">
        <v>0</v>
      </c>
      <c r="AR311" s="198">
        <v>0</v>
      </c>
      <c r="AS311" s="198">
        <v>0</v>
      </c>
      <c r="AT311" s="198">
        <v>0</v>
      </c>
      <c r="AU311" s="198">
        <v>0</v>
      </c>
      <c r="AV311" s="198">
        <v>0</v>
      </c>
      <c r="AW311" s="198">
        <v>0</v>
      </c>
      <c r="AX311" s="198">
        <v>0</v>
      </c>
      <c r="AY311" s="198">
        <v>0</v>
      </c>
      <c r="AZ311" s="198">
        <v>0</v>
      </c>
      <c r="BA311" s="198">
        <v>0</v>
      </c>
      <c r="BB311" s="198">
        <v>0</v>
      </c>
      <c r="BC311" s="198">
        <v>0</v>
      </c>
      <c r="BD311" s="198">
        <v>0</v>
      </c>
      <c r="BE311" s="198">
        <v>0</v>
      </c>
      <c r="BF311" s="198">
        <v>0</v>
      </c>
      <c r="BG311" s="198">
        <v>0</v>
      </c>
      <c r="BH311" s="198">
        <v>0</v>
      </c>
      <c r="BI311" s="198">
        <v>0</v>
      </c>
      <c r="BJ311" s="198">
        <v>0</v>
      </c>
      <c r="BK311" s="198">
        <v>0</v>
      </c>
      <c r="BL311" s="198">
        <v>0</v>
      </c>
      <c r="BM311" s="198">
        <v>0</v>
      </c>
      <c r="BN311" s="198">
        <v>0</v>
      </c>
      <c r="BO311" s="198">
        <v>0</v>
      </c>
      <c r="BP311" s="198">
        <v>0</v>
      </c>
      <c r="BQ311" s="198">
        <v>0</v>
      </c>
      <c r="BR311" s="198">
        <v>0</v>
      </c>
      <c r="BS311" s="198">
        <v>0</v>
      </c>
      <c r="BT311" s="198">
        <v>0</v>
      </c>
      <c r="BU311" s="198">
        <v>0</v>
      </c>
      <c r="BV311" s="198">
        <v>0</v>
      </c>
      <c r="BW311" s="198">
        <v>0</v>
      </c>
      <c r="BX311" s="198">
        <v>0</v>
      </c>
      <c r="BY311" s="198">
        <v>0</v>
      </c>
      <c r="BZ311" s="198">
        <v>0</v>
      </c>
      <c r="CA311" s="198">
        <v>0</v>
      </c>
      <c r="CB311" s="198">
        <v>0</v>
      </c>
      <c r="CC311" s="198">
        <v>0</v>
      </c>
      <c r="CD311" s="198">
        <v>0</v>
      </c>
      <c r="CE311" s="198">
        <v>0</v>
      </c>
      <c r="CF311" s="198">
        <v>688.8</v>
      </c>
      <c r="CG311" s="198">
        <v>0</v>
      </c>
      <c r="CH311" s="198">
        <v>0</v>
      </c>
      <c r="CI311" s="198">
        <v>4821.3</v>
      </c>
      <c r="CJ311" s="198">
        <v>0</v>
      </c>
      <c r="CK311" s="88"/>
    </row>
    <row r="312" spans="1:89" x14ac:dyDescent="0.3">
      <c r="A312" s="173"/>
      <c r="B312" s="197" t="s">
        <v>400</v>
      </c>
      <c r="C312" s="198">
        <v>0</v>
      </c>
      <c r="D312" s="198">
        <v>0</v>
      </c>
      <c r="E312" s="198">
        <v>0</v>
      </c>
      <c r="F312" s="198">
        <v>0</v>
      </c>
      <c r="G312" s="198">
        <v>0</v>
      </c>
      <c r="H312" s="198">
        <v>0</v>
      </c>
      <c r="I312" s="198">
        <v>0</v>
      </c>
      <c r="J312" s="198">
        <v>0</v>
      </c>
      <c r="K312" s="198">
        <v>0</v>
      </c>
      <c r="L312" s="198">
        <v>0</v>
      </c>
      <c r="M312" s="198">
        <v>0</v>
      </c>
      <c r="N312" s="198">
        <v>0</v>
      </c>
      <c r="O312" s="198">
        <v>0</v>
      </c>
      <c r="P312" s="198">
        <v>0</v>
      </c>
      <c r="Q312" s="198">
        <v>0</v>
      </c>
      <c r="R312" s="198">
        <v>0</v>
      </c>
      <c r="S312" s="198">
        <v>0</v>
      </c>
      <c r="T312" s="198">
        <v>0</v>
      </c>
      <c r="U312" s="198">
        <v>0</v>
      </c>
      <c r="V312" s="198">
        <v>0</v>
      </c>
      <c r="W312" s="198">
        <v>0</v>
      </c>
      <c r="X312" s="198">
        <v>0</v>
      </c>
      <c r="Y312" s="198">
        <v>0</v>
      </c>
      <c r="Z312" s="198">
        <v>0</v>
      </c>
      <c r="AA312" s="198">
        <v>0</v>
      </c>
      <c r="AB312" s="198">
        <v>0</v>
      </c>
      <c r="AC312" s="198">
        <v>0</v>
      </c>
      <c r="AD312" s="198">
        <v>0</v>
      </c>
      <c r="AE312" s="198">
        <v>0</v>
      </c>
      <c r="AF312" s="198">
        <v>0</v>
      </c>
      <c r="AG312" s="198">
        <v>0</v>
      </c>
      <c r="AH312" s="198">
        <v>0</v>
      </c>
      <c r="AI312" s="198">
        <v>0</v>
      </c>
      <c r="AJ312" s="198">
        <v>0</v>
      </c>
      <c r="AK312" s="198">
        <v>0</v>
      </c>
      <c r="AL312" s="198">
        <v>0</v>
      </c>
      <c r="AM312" s="198">
        <v>0</v>
      </c>
      <c r="AN312" s="198">
        <v>0</v>
      </c>
      <c r="AO312" s="198">
        <v>0</v>
      </c>
      <c r="AP312" s="198">
        <v>0</v>
      </c>
      <c r="AQ312" s="198">
        <v>0</v>
      </c>
      <c r="AR312" s="198">
        <v>0</v>
      </c>
      <c r="AS312" s="198">
        <v>0</v>
      </c>
      <c r="AT312" s="198">
        <v>0</v>
      </c>
      <c r="AU312" s="198">
        <v>0</v>
      </c>
      <c r="AV312" s="198">
        <v>0</v>
      </c>
      <c r="AW312" s="198">
        <v>0</v>
      </c>
      <c r="AX312" s="198">
        <v>0</v>
      </c>
      <c r="AY312" s="198">
        <v>0</v>
      </c>
      <c r="AZ312" s="198">
        <v>0</v>
      </c>
      <c r="BA312" s="198">
        <v>0</v>
      </c>
      <c r="BB312" s="198">
        <v>0</v>
      </c>
      <c r="BC312" s="198">
        <v>0</v>
      </c>
      <c r="BD312" s="198">
        <v>0</v>
      </c>
      <c r="BE312" s="198">
        <v>0</v>
      </c>
      <c r="BF312" s="198">
        <v>0</v>
      </c>
      <c r="BG312" s="198">
        <v>0</v>
      </c>
      <c r="BH312" s="198">
        <v>0</v>
      </c>
      <c r="BI312" s="198">
        <v>0</v>
      </c>
      <c r="BJ312" s="198">
        <v>0</v>
      </c>
      <c r="BK312" s="198">
        <v>0</v>
      </c>
      <c r="BL312" s="198">
        <v>0</v>
      </c>
      <c r="BM312" s="198">
        <v>0</v>
      </c>
      <c r="BN312" s="198">
        <v>0</v>
      </c>
      <c r="BO312" s="198">
        <v>0</v>
      </c>
      <c r="BP312" s="198">
        <v>0</v>
      </c>
      <c r="BQ312" s="198">
        <v>0</v>
      </c>
      <c r="BR312" s="198">
        <v>0</v>
      </c>
      <c r="BS312" s="198">
        <v>0</v>
      </c>
      <c r="BT312" s="198">
        <v>0</v>
      </c>
      <c r="BU312" s="198">
        <v>0</v>
      </c>
      <c r="BV312" s="198">
        <v>0</v>
      </c>
      <c r="BW312" s="198">
        <v>0</v>
      </c>
      <c r="BX312" s="198">
        <v>0</v>
      </c>
      <c r="BY312" s="198">
        <v>0</v>
      </c>
      <c r="BZ312" s="198">
        <v>0</v>
      </c>
      <c r="CA312" s="198">
        <v>0</v>
      </c>
      <c r="CB312" s="198">
        <v>0</v>
      </c>
      <c r="CC312" s="198">
        <v>0</v>
      </c>
      <c r="CD312" s="198">
        <v>0</v>
      </c>
      <c r="CE312" s="198">
        <v>0</v>
      </c>
      <c r="CF312" s="198">
        <v>292.60000000000002</v>
      </c>
      <c r="CG312" s="198">
        <v>0</v>
      </c>
      <c r="CH312" s="198">
        <v>0</v>
      </c>
      <c r="CI312" s="198">
        <v>0</v>
      </c>
      <c r="CJ312" s="198">
        <v>6618.5</v>
      </c>
      <c r="CK312" s="88"/>
    </row>
    <row r="313" spans="1:89" x14ac:dyDescent="0.3">
      <c r="A313" s="173"/>
      <c r="B313" s="197" t="s">
        <v>399</v>
      </c>
      <c r="C313" s="198">
        <v>0</v>
      </c>
      <c r="D313" s="198">
        <v>0</v>
      </c>
      <c r="E313" s="198">
        <v>0</v>
      </c>
      <c r="F313" s="198">
        <v>0</v>
      </c>
      <c r="G313" s="198">
        <v>0</v>
      </c>
      <c r="H313" s="198">
        <v>0</v>
      </c>
      <c r="I313" s="198">
        <v>0</v>
      </c>
      <c r="J313" s="198">
        <v>0</v>
      </c>
      <c r="K313" s="198">
        <v>0</v>
      </c>
      <c r="L313" s="198">
        <v>0</v>
      </c>
      <c r="M313" s="198">
        <v>0</v>
      </c>
      <c r="N313" s="198">
        <v>0</v>
      </c>
      <c r="O313" s="198">
        <v>0</v>
      </c>
      <c r="P313" s="198">
        <v>0</v>
      </c>
      <c r="Q313" s="198">
        <v>0</v>
      </c>
      <c r="R313" s="198">
        <v>0</v>
      </c>
      <c r="S313" s="198">
        <v>0</v>
      </c>
      <c r="T313" s="198">
        <v>0</v>
      </c>
      <c r="U313" s="198">
        <v>0</v>
      </c>
      <c r="V313" s="198">
        <v>0</v>
      </c>
      <c r="W313" s="198">
        <v>0</v>
      </c>
      <c r="X313" s="198">
        <v>0</v>
      </c>
      <c r="Y313" s="198">
        <v>0</v>
      </c>
      <c r="Z313" s="198">
        <v>0</v>
      </c>
      <c r="AA313" s="198">
        <v>0</v>
      </c>
      <c r="AB313" s="198">
        <v>0</v>
      </c>
      <c r="AC313" s="198">
        <v>0</v>
      </c>
      <c r="AD313" s="198">
        <v>0</v>
      </c>
      <c r="AE313" s="198">
        <v>0</v>
      </c>
      <c r="AF313" s="198">
        <v>0</v>
      </c>
      <c r="AG313" s="198">
        <v>0</v>
      </c>
      <c r="AH313" s="198">
        <v>0</v>
      </c>
      <c r="AI313" s="198">
        <v>0</v>
      </c>
      <c r="AJ313" s="198">
        <v>0</v>
      </c>
      <c r="AK313" s="198">
        <v>0</v>
      </c>
      <c r="AL313" s="198">
        <v>0</v>
      </c>
      <c r="AM313" s="198">
        <v>0</v>
      </c>
      <c r="AN313" s="198">
        <v>0</v>
      </c>
      <c r="AO313" s="198">
        <v>0</v>
      </c>
      <c r="AP313" s="198">
        <v>0</v>
      </c>
      <c r="AQ313" s="198">
        <v>0</v>
      </c>
      <c r="AR313" s="198">
        <v>0</v>
      </c>
      <c r="AS313" s="198">
        <v>0</v>
      </c>
      <c r="AT313" s="198">
        <v>0</v>
      </c>
      <c r="AU313" s="198">
        <v>0</v>
      </c>
      <c r="AV313" s="198">
        <v>0</v>
      </c>
      <c r="AW313" s="198">
        <v>0</v>
      </c>
      <c r="AX313" s="198">
        <v>0</v>
      </c>
      <c r="AY313" s="198">
        <v>0</v>
      </c>
      <c r="AZ313" s="198">
        <v>0</v>
      </c>
      <c r="BA313" s="198">
        <v>0</v>
      </c>
      <c r="BB313" s="198">
        <v>0</v>
      </c>
      <c r="BC313" s="198">
        <v>0</v>
      </c>
      <c r="BD313" s="198">
        <v>0</v>
      </c>
      <c r="BE313" s="198">
        <v>0</v>
      </c>
      <c r="BF313" s="198">
        <v>0</v>
      </c>
      <c r="BG313" s="198">
        <v>0</v>
      </c>
      <c r="BH313" s="198">
        <v>0</v>
      </c>
      <c r="BI313" s="198">
        <v>0</v>
      </c>
      <c r="BJ313" s="198">
        <v>0</v>
      </c>
      <c r="BK313" s="198">
        <v>0</v>
      </c>
      <c r="BL313" s="198">
        <v>0</v>
      </c>
      <c r="BM313" s="198">
        <v>0</v>
      </c>
      <c r="BN313" s="198">
        <v>0</v>
      </c>
      <c r="BO313" s="198">
        <v>0</v>
      </c>
      <c r="BP313" s="198">
        <v>0</v>
      </c>
      <c r="BQ313" s="198">
        <v>0</v>
      </c>
      <c r="BR313" s="198">
        <v>0</v>
      </c>
      <c r="BS313" s="198">
        <v>0</v>
      </c>
      <c r="BT313" s="198">
        <v>0</v>
      </c>
      <c r="BU313" s="198">
        <v>0</v>
      </c>
      <c r="BV313" s="198">
        <v>0</v>
      </c>
      <c r="BW313" s="198">
        <v>0</v>
      </c>
      <c r="BX313" s="198">
        <v>0</v>
      </c>
      <c r="BY313" s="198">
        <v>0</v>
      </c>
      <c r="BZ313" s="198">
        <v>0</v>
      </c>
      <c r="CA313" s="198">
        <v>0</v>
      </c>
      <c r="CB313" s="198">
        <v>0</v>
      </c>
      <c r="CC313" s="198">
        <v>0</v>
      </c>
      <c r="CD313" s="198">
        <v>0</v>
      </c>
      <c r="CE313" s="198">
        <v>0</v>
      </c>
      <c r="CF313" s="198">
        <v>0</v>
      </c>
      <c r="CG313" s="198">
        <v>0</v>
      </c>
      <c r="CH313" s="198">
        <v>11880.3</v>
      </c>
      <c r="CI313" s="198">
        <v>0</v>
      </c>
      <c r="CJ313" s="198">
        <v>0</v>
      </c>
      <c r="CK313" s="88"/>
    </row>
    <row r="314" spans="1:89" x14ac:dyDescent="0.3">
      <c r="A314" s="173"/>
      <c r="B314" s="197" t="s">
        <v>396</v>
      </c>
      <c r="C314" s="198">
        <v>0</v>
      </c>
      <c r="D314" s="198">
        <v>0</v>
      </c>
      <c r="E314" s="198">
        <v>0</v>
      </c>
      <c r="F314" s="198">
        <v>0</v>
      </c>
      <c r="G314" s="198">
        <v>0</v>
      </c>
      <c r="H314" s="198">
        <v>0</v>
      </c>
      <c r="I314" s="198">
        <v>0</v>
      </c>
      <c r="J314" s="198">
        <v>0</v>
      </c>
      <c r="K314" s="198">
        <v>0</v>
      </c>
      <c r="L314" s="198">
        <v>0</v>
      </c>
      <c r="M314" s="198">
        <v>0</v>
      </c>
      <c r="N314" s="198">
        <v>0</v>
      </c>
      <c r="O314" s="198">
        <v>0</v>
      </c>
      <c r="P314" s="198">
        <v>0</v>
      </c>
      <c r="Q314" s="198">
        <v>0</v>
      </c>
      <c r="R314" s="198">
        <v>0</v>
      </c>
      <c r="S314" s="198">
        <v>0</v>
      </c>
      <c r="T314" s="198">
        <v>0</v>
      </c>
      <c r="U314" s="198">
        <v>0</v>
      </c>
      <c r="V314" s="198">
        <v>0</v>
      </c>
      <c r="W314" s="198">
        <v>0</v>
      </c>
      <c r="X314" s="198">
        <v>0</v>
      </c>
      <c r="Y314" s="198">
        <v>0</v>
      </c>
      <c r="Z314" s="198">
        <v>0</v>
      </c>
      <c r="AA314" s="198">
        <v>0</v>
      </c>
      <c r="AB314" s="198">
        <v>0</v>
      </c>
      <c r="AC314" s="198">
        <v>0</v>
      </c>
      <c r="AD314" s="198">
        <v>0</v>
      </c>
      <c r="AE314" s="198">
        <v>0</v>
      </c>
      <c r="AF314" s="198">
        <v>0</v>
      </c>
      <c r="AG314" s="198">
        <v>0</v>
      </c>
      <c r="AH314" s="198">
        <v>0</v>
      </c>
      <c r="AI314" s="198">
        <v>0</v>
      </c>
      <c r="AJ314" s="198">
        <v>0</v>
      </c>
      <c r="AK314" s="198">
        <v>0</v>
      </c>
      <c r="AL314" s="198">
        <v>0</v>
      </c>
      <c r="AM314" s="198">
        <v>0</v>
      </c>
      <c r="AN314" s="198">
        <v>0</v>
      </c>
      <c r="AO314" s="198">
        <v>0</v>
      </c>
      <c r="AP314" s="198">
        <v>0</v>
      </c>
      <c r="AQ314" s="198">
        <v>0</v>
      </c>
      <c r="AR314" s="198">
        <v>0</v>
      </c>
      <c r="AS314" s="198">
        <v>0</v>
      </c>
      <c r="AT314" s="198">
        <v>0</v>
      </c>
      <c r="AU314" s="198">
        <v>0</v>
      </c>
      <c r="AV314" s="198">
        <v>0</v>
      </c>
      <c r="AW314" s="198">
        <v>0</v>
      </c>
      <c r="AX314" s="198">
        <v>0</v>
      </c>
      <c r="AY314" s="198">
        <v>0</v>
      </c>
      <c r="AZ314" s="198">
        <v>0</v>
      </c>
      <c r="BA314" s="198">
        <v>0</v>
      </c>
      <c r="BB314" s="198">
        <v>0</v>
      </c>
      <c r="BC314" s="198">
        <v>0</v>
      </c>
      <c r="BD314" s="198">
        <v>0</v>
      </c>
      <c r="BE314" s="198">
        <v>0</v>
      </c>
      <c r="BF314" s="198">
        <v>0</v>
      </c>
      <c r="BG314" s="198">
        <v>0</v>
      </c>
      <c r="BH314" s="198">
        <v>0</v>
      </c>
      <c r="BI314" s="198">
        <v>0</v>
      </c>
      <c r="BJ314" s="198">
        <v>0</v>
      </c>
      <c r="BK314" s="198">
        <v>0</v>
      </c>
      <c r="BL314" s="198">
        <v>0</v>
      </c>
      <c r="BM314" s="198">
        <v>0</v>
      </c>
      <c r="BN314" s="198">
        <v>0</v>
      </c>
      <c r="BO314" s="198">
        <v>0</v>
      </c>
      <c r="BP314" s="198">
        <v>0</v>
      </c>
      <c r="BQ314" s="198">
        <v>0</v>
      </c>
      <c r="BR314" s="198">
        <v>0</v>
      </c>
      <c r="BS314" s="198">
        <v>0</v>
      </c>
      <c r="BT314" s="198">
        <v>0</v>
      </c>
      <c r="BU314" s="198">
        <v>0</v>
      </c>
      <c r="BV314" s="198">
        <v>0</v>
      </c>
      <c r="BW314" s="198">
        <v>0</v>
      </c>
      <c r="BX314" s="198">
        <v>0</v>
      </c>
      <c r="BY314" s="198">
        <v>0</v>
      </c>
      <c r="BZ314" s="198">
        <v>0</v>
      </c>
      <c r="CA314" s="198">
        <v>0</v>
      </c>
      <c r="CB314" s="198">
        <v>0</v>
      </c>
      <c r="CC314" s="198">
        <v>0</v>
      </c>
      <c r="CD314" s="198">
        <v>0</v>
      </c>
      <c r="CE314" s="198">
        <v>0</v>
      </c>
      <c r="CF314" s="198">
        <v>625.6</v>
      </c>
      <c r="CG314" s="198">
        <v>0</v>
      </c>
      <c r="CH314" s="198">
        <v>0</v>
      </c>
      <c r="CI314" s="198">
        <v>0</v>
      </c>
      <c r="CJ314" s="198">
        <v>0</v>
      </c>
      <c r="CK314" s="88"/>
    </row>
    <row r="315" spans="1:89" x14ac:dyDescent="0.3">
      <c r="A315" s="173"/>
      <c r="B315" s="197" t="s">
        <v>393</v>
      </c>
      <c r="C315" s="198">
        <v>0</v>
      </c>
      <c r="D315" s="198">
        <v>0</v>
      </c>
      <c r="E315" s="198">
        <v>0</v>
      </c>
      <c r="F315" s="198">
        <v>0</v>
      </c>
      <c r="G315" s="198">
        <v>0</v>
      </c>
      <c r="H315" s="198">
        <v>0</v>
      </c>
      <c r="I315" s="198">
        <v>0</v>
      </c>
      <c r="J315" s="198">
        <v>0</v>
      </c>
      <c r="K315" s="198">
        <v>0</v>
      </c>
      <c r="L315" s="198">
        <v>0</v>
      </c>
      <c r="M315" s="198">
        <v>0</v>
      </c>
      <c r="N315" s="198">
        <v>0</v>
      </c>
      <c r="O315" s="198">
        <v>0</v>
      </c>
      <c r="P315" s="198">
        <v>0</v>
      </c>
      <c r="Q315" s="198">
        <v>0</v>
      </c>
      <c r="R315" s="198">
        <v>0</v>
      </c>
      <c r="S315" s="198">
        <v>0</v>
      </c>
      <c r="T315" s="198">
        <v>0</v>
      </c>
      <c r="U315" s="198">
        <v>0</v>
      </c>
      <c r="V315" s="198">
        <v>0</v>
      </c>
      <c r="W315" s="198">
        <v>0</v>
      </c>
      <c r="X315" s="198">
        <v>0</v>
      </c>
      <c r="Y315" s="198">
        <v>0</v>
      </c>
      <c r="Z315" s="198">
        <v>0</v>
      </c>
      <c r="AA315" s="198">
        <v>0</v>
      </c>
      <c r="AB315" s="198">
        <v>0</v>
      </c>
      <c r="AC315" s="198">
        <v>0</v>
      </c>
      <c r="AD315" s="198">
        <v>0</v>
      </c>
      <c r="AE315" s="198">
        <v>0</v>
      </c>
      <c r="AF315" s="198">
        <v>0</v>
      </c>
      <c r="AG315" s="198">
        <v>0</v>
      </c>
      <c r="AH315" s="198">
        <v>0</v>
      </c>
      <c r="AI315" s="198">
        <v>0</v>
      </c>
      <c r="AJ315" s="198">
        <v>0</v>
      </c>
      <c r="AK315" s="198">
        <v>0</v>
      </c>
      <c r="AL315" s="198">
        <v>0</v>
      </c>
      <c r="AM315" s="198">
        <v>0</v>
      </c>
      <c r="AN315" s="198">
        <v>0</v>
      </c>
      <c r="AO315" s="198">
        <v>0</v>
      </c>
      <c r="AP315" s="198">
        <v>0</v>
      </c>
      <c r="AQ315" s="198">
        <v>0</v>
      </c>
      <c r="AR315" s="198">
        <v>0</v>
      </c>
      <c r="AS315" s="198">
        <v>0</v>
      </c>
      <c r="AT315" s="198">
        <v>0</v>
      </c>
      <c r="AU315" s="198">
        <v>0</v>
      </c>
      <c r="AV315" s="198">
        <v>0</v>
      </c>
      <c r="AW315" s="198">
        <v>0</v>
      </c>
      <c r="AX315" s="198">
        <v>0</v>
      </c>
      <c r="AY315" s="198">
        <v>0</v>
      </c>
      <c r="AZ315" s="198">
        <v>0</v>
      </c>
      <c r="BA315" s="198">
        <v>0</v>
      </c>
      <c r="BB315" s="198">
        <v>0</v>
      </c>
      <c r="BC315" s="198">
        <v>0</v>
      </c>
      <c r="BD315" s="198">
        <v>0</v>
      </c>
      <c r="BE315" s="198">
        <v>0</v>
      </c>
      <c r="BF315" s="198">
        <v>0</v>
      </c>
      <c r="BG315" s="198">
        <v>0</v>
      </c>
      <c r="BH315" s="198">
        <v>0</v>
      </c>
      <c r="BI315" s="198">
        <v>0</v>
      </c>
      <c r="BJ315" s="198">
        <v>0</v>
      </c>
      <c r="BK315" s="198">
        <v>0</v>
      </c>
      <c r="BL315" s="198">
        <v>0</v>
      </c>
      <c r="BM315" s="198">
        <v>0</v>
      </c>
      <c r="BN315" s="198">
        <v>0</v>
      </c>
      <c r="BO315" s="198">
        <v>0</v>
      </c>
      <c r="BP315" s="198">
        <v>0</v>
      </c>
      <c r="BQ315" s="198">
        <v>0</v>
      </c>
      <c r="BR315" s="198">
        <v>0</v>
      </c>
      <c r="BS315" s="198">
        <v>0</v>
      </c>
      <c r="BT315" s="198">
        <v>0</v>
      </c>
      <c r="BU315" s="198">
        <v>793.3</v>
      </c>
      <c r="BV315" s="198">
        <v>0</v>
      </c>
      <c r="BW315" s="198">
        <v>0</v>
      </c>
      <c r="BX315" s="198">
        <v>808.8</v>
      </c>
      <c r="BY315" s="198">
        <v>0</v>
      </c>
      <c r="BZ315" s="198">
        <v>0</v>
      </c>
      <c r="CA315" s="198">
        <v>784.9</v>
      </c>
      <c r="CB315" s="198">
        <v>0</v>
      </c>
      <c r="CC315" s="198">
        <v>0</v>
      </c>
      <c r="CD315" s="198">
        <v>729</v>
      </c>
      <c r="CE315" s="198">
        <v>0</v>
      </c>
      <c r="CF315" s="198">
        <v>0</v>
      </c>
      <c r="CG315" s="198">
        <v>0</v>
      </c>
      <c r="CH315" s="198">
        <v>0</v>
      </c>
      <c r="CI315" s="198">
        <v>0</v>
      </c>
      <c r="CJ315" s="198">
        <v>0</v>
      </c>
      <c r="CK315" s="88"/>
    </row>
    <row r="316" spans="1:89" x14ac:dyDescent="0.3">
      <c r="A316" s="204"/>
      <c r="B316" s="197" t="s">
        <v>381</v>
      </c>
      <c r="C316" s="198">
        <v>0</v>
      </c>
      <c r="D316" s="198">
        <v>0</v>
      </c>
      <c r="E316" s="198">
        <v>0</v>
      </c>
      <c r="F316" s="198">
        <v>0</v>
      </c>
      <c r="G316" s="198">
        <v>0</v>
      </c>
      <c r="H316" s="198">
        <v>0</v>
      </c>
      <c r="I316" s="198">
        <v>0</v>
      </c>
      <c r="J316" s="198">
        <v>0</v>
      </c>
      <c r="K316" s="198">
        <v>0</v>
      </c>
      <c r="L316" s="198">
        <v>0</v>
      </c>
      <c r="M316" s="198">
        <v>0</v>
      </c>
      <c r="N316" s="198">
        <v>0</v>
      </c>
      <c r="O316" s="198">
        <v>0</v>
      </c>
      <c r="P316" s="198">
        <v>0</v>
      </c>
      <c r="Q316" s="198">
        <v>0</v>
      </c>
      <c r="R316" s="198">
        <v>0</v>
      </c>
      <c r="S316" s="198">
        <v>0</v>
      </c>
      <c r="T316" s="198">
        <v>0</v>
      </c>
      <c r="U316" s="198">
        <v>0</v>
      </c>
      <c r="V316" s="198">
        <v>0</v>
      </c>
      <c r="W316" s="198">
        <v>0</v>
      </c>
      <c r="X316" s="198">
        <v>0</v>
      </c>
      <c r="Y316" s="198">
        <v>0</v>
      </c>
      <c r="Z316" s="198">
        <v>0</v>
      </c>
      <c r="AA316" s="198">
        <v>0</v>
      </c>
      <c r="AB316" s="198">
        <v>0</v>
      </c>
      <c r="AC316" s="198">
        <v>0</v>
      </c>
      <c r="AD316" s="198">
        <v>0</v>
      </c>
      <c r="AE316" s="198">
        <v>0</v>
      </c>
      <c r="AF316" s="198">
        <v>0</v>
      </c>
      <c r="AG316" s="198">
        <v>0</v>
      </c>
      <c r="AH316" s="198">
        <v>0</v>
      </c>
      <c r="AI316" s="198">
        <v>0</v>
      </c>
      <c r="AJ316" s="198">
        <v>0</v>
      </c>
      <c r="AK316" s="198">
        <v>0</v>
      </c>
      <c r="AL316" s="198">
        <v>0</v>
      </c>
      <c r="AM316" s="198">
        <v>0</v>
      </c>
      <c r="AN316" s="198">
        <v>0</v>
      </c>
      <c r="AO316" s="198">
        <v>0</v>
      </c>
      <c r="AP316" s="198">
        <v>0</v>
      </c>
      <c r="AQ316" s="198">
        <v>0</v>
      </c>
      <c r="AR316" s="198">
        <v>0</v>
      </c>
      <c r="AS316" s="198">
        <v>0</v>
      </c>
      <c r="AT316" s="198">
        <v>0</v>
      </c>
      <c r="AU316" s="198">
        <v>0</v>
      </c>
      <c r="AV316" s="198">
        <v>0</v>
      </c>
      <c r="AW316" s="198">
        <v>0</v>
      </c>
      <c r="AX316" s="198">
        <v>0</v>
      </c>
      <c r="AY316" s="198">
        <v>0</v>
      </c>
      <c r="AZ316" s="198">
        <v>0</v>
      </c>
      <c r="BA316" s="198">
        <v>0</v>
      </c>
      <c r="BB316" s="198">
        <v>0</v>
      </c>
      <c r="BC316" s="198">
        <v>0</v>
      </c>
      <c r="BD316" s="198">
        <v>0</v>
      </c>
      <c r="BE316" s="198">
        <v>0</v>
      </c>
      <c r="BF316" s="198">
        <v>0</v>
      </c>
      <c r="BG316" s="198">
        <v>0</v>
      </c>
      <c r="BH316" s="198">
        <v>0</v>
      </c>
      <c r="BI316" s="198">
        <v>0</v>
      </c>
      <c r="BJ316" s="198">
        <v>0</v>
      </c>
      <c r="BK316" s="198">
        <v>0</v>
      </c>
      <c r="BL316" s="198">
        <v>0</v>
      </c>
      <c r="BM316" s="198">
        <v>0</v>
      </c>
      <c r="BN316" s="198">
        <v>0</v>
      </c>
      <c r="BO316" s="198">
        <v>0</v>
      </c>
      <c r="BP316" s="198">
        <v>0</v>
      </c>
      <c r="BQ316" s="198">
        <v>276.60000000000002</v>
      </c>
      <c r="BR316" s="198">
        <v>0</v>
      </c>
      <c r="BS316" s="198">
        <v>0</v>
      </c>
      <c r="BT316" s="198">
        <v>0</v>
      </c>
      <c r="BU316" s="198">
        <v>0</v>
      </c>
      <c r="BV316" s="198">
        <v>0</v>
      </c>
      <c r="BW316" s="198">
        <v>1921.2</v>
      </c>
      <c r="BX316" s="198">
        <v>0</v>
      </c>
      <c r="BY316" s="198">
        <v>0</v>
      </c>
      <c r="BZ316" s="198">
        <v>0</v>
      </c>
      <c r="CA316" s="198">
        <v>0</v>
      </c>
      <c r="CB316" s="198">
        <v>1478.6</v>
      </c>
      <c r="CC316" s="198">
        <v>0</v>
      </c>
      <c r="CD316" s="198">
        <v>0</v>
      </c>
      <c r="CE316" s="198">
        <v>0</v>
      </c>
      <c r="CF316" s="198">
        <v>0</v>
      </c>
      <c r="CG316" s="198">
        <v>0</v>
      </c>
      <c r="CH316" s="198">
        <v>0</v>
      </c>
      <c r="CI316" s="198">
        <v>0</v>
      </c>
      <c r="CJ316" s="198">
        <v>0</v>
      </c>
      <c r="CK316" s="88"/>
    </row>
    <row r="317" spans="1:89" x14ac:dyDescent="0.3">
      <c r="A317" s="173"/>
      <c r="B317" s="197" t="s">
        <v>384</v>
      </c>
      <c r="C317" s="198">
        <v>0</v>
      </c>
      <c r="D317" s="198">
        <v>0</v>
      </c>
      <c r="E317" s="198">
        <v>0</v>
      </c>
      <c r="F317" s="198">
        <v>0</v>
      </c>
      <c r="G317" s="198">
        <v>0</v>
      </c>
      <c r="H317" s="198">
        <v>0</v>
      </c>
      <c r="I317" s="198">
        <v>0</v>
      </c>
      <c r="J317" s="198">
        <v>0</v>
      </c>
      <c r="K317" s="198">
        <v>0</v>
      </c>
      <c r="L317" s="198">
        <v>0</v>
      </c>
      <c r="M317" s="198">
        <v>0</v>
      </c>
      <c r="N317" s="198">
        <v>0</v>
      </c>
      <c r="O317" s="198">
        <v>0</v>
      </c>
      <c r="P317" s="198">
        <v>0</v>
      </c>
      <c r="Q317" s="198">
        <v>0</v>
      </c>
      <c r="R317" s="198">
        <v>0</v>
      </c>
      <c r="S317" s="198">
        <v>0</v>
      </c>
      <c r="T317" s="198">
        <v>0</v>
      </c>
      <c r="U317" s="198">
        <v>0</v>
      </c>
      <c r="V317" s="198">
        <v>0</v>
      </c>
      <c r="W317" s="198">
        <v>0</v>
      </c>
      <c r="X317" s="198">
        <v>0</v>
      </c>
      <c r="Y317" s="198">
        <v>0</v>
      </c>
      <c r="Z317" s="198">
        <v>0</v>
      </c>
      <c r="AA317" s="198">
        <v>0</v>
      </c>
      <c r="AB317" s="198">
        <v>0</v>
      </c>
      <c r="AC317" s="198">
        <v>0</v>
      </c>
      <c r="AD317" s="198">
        <v>0</v>
      </c>
      <c r="AE317" s="198">
        <v>0</v>
      </c>
      <c r="AF317" s="198">
        <v>0</v>
      </c>
      <c r="AG317" s="198">
        <v>0</v>
      </c>
      <c r="AH317" s="198">
        <v>0</v>
      </c>
      <c r="AI317" s="198">
        <v>0</v>
      </c>
      <c r="AJ317" s="198">
        <v>0</v>
      </c>
      <c r="AK317" s="198">
        <v>0</v>
      </c>
      <c r="AL317" s="198">
        <v>0</v>
      </c>
      <c r="AM317" s="198">
        <v>0</v>
      </c>
      <c r="AN317" s="198">
        <v>0</v>
      </c>
      <c r="AO317" s="198">
        <v>0</v>
      </c>
      <c r="AP317" s="198">
        <v>0</v>
      </c>
      <c r="AQ317" s="198">
        <v>0</v>
      </c>
      <c r="AR317" s="198">
        <v>0</v>
      </c>
      <c r="AS317" s="198">
        <v>0</v>
      </c>
      <c r="AT317" s="198">
        <v>0</v>
      </c>
      <c r="AU317" s="198">
        <v>0</v>
      </c>
      <c r="AV317" s="198">
        <v>0</v>
      </c>
      <c r="AW317" s="198">
        <v>0</v>
      </c>
      <c r="AX317" s="198">
        <v>0</v>
      </c>
      <c r="AY317" s="198">
        <v>0</v>
      </c>
      <c r="AZ317" s="198">
        <v>0</v>
      </c>
      <c r="BA317" s="198">
        <v>0</v>
      </c>
      <c r="BB317" s="198">
        <v>0</v>
      </c>
      <c r="BC317" s="198">
        <v>0</v>
      </c>
      <c r="BD317" s="198">
        <v>0</v>
      </c>
      <c r="BE317" s="198">
        <v>0</v>
      </c>
      <c r="BF317" s="198">
        <v>0</v>
      </c>
      <c r="BG317" s="198">
        <v>0</v>
      </c>
      <c r="BH317" s="198">
        <v>0</v>
      </c>
      <c r="BI317" s="198">
        <v>0</v>
      </c>
      <c r="BJ317" s="198">
        <v>0</v>
      </c>
      <c r="BK317" s="198">
        <v>0</v>
      </c>
      <c r="BL317" s="198">
        <v>0</v>
      </c>
      <c r="BM317" s="198">
        <v>0</v>
      </c>
      <c r="BN317" s="198">
        <v>0</v>
      </c>
      <c r="BO317" s="198">
        <v>0</v>
      </c>
      <c r="BP317" s="198">
        <v>0</v>
      </c>
      <c r="BQ317" s="198">
        <v>11768.3</v>
      </c>
      <c r="BR317" s="198">
        <v>277.7</v>
      </c>
      <c r="BS317" s="198">
        <v>0</v>
      </c>
      <c r="BT317" s="198">
        <v>0</v>
      </c>
      <c r="BU317" s="198">
        <v>0</v>
      </c>
      <c r="BV317" s="198">
        <v>0</v>
      </c>
      <c r="BW317" s="198">
        <v>0</v>
      </c>
      <c r="BX317" s="198">
        <v>0</v>
      </c>
      <c r="BY317" s="198">
        <v>0</v>
      </c>
      <c r="BZ317" s="198">
        <v>0</v>
      </c>
      <c r="CA317" s="198">
        <v>0</v>
      </c>
      <c r="CB317" s="198">
        <v>5.3</v>
      </c>
      <c r="CC317" s="198">
        <v>0</v>
      </c>
      <c r="CD317" s="198">
        <v>0</v>
      </c>
      <c r="CE317" s="198">
        <v>0</v>
      </c>
      <c r="CF317" s="198">
        <v>0</v>
      </c>
      <c r="CG317" s="198">
        <v>0</v>
      </c>
      <c r="CH317" s="198">
        <v>11650.2</v>
      </c>
      <c r="CI317" s="198">
        <v>0</v>
      </c>
      <c r="CJ317" s="198">
        <v>0</v>
      </c>
      <c r="CK317" s="88"/>
    </row>
    <row r="318" spans="1:89" x14ac:dyDescent="0.3">
      <c r="A318" s="173"/>
      <c r="B318" s="197" t="s">
        <v>395</v>
      </c>
      <c r="C318" s="198">
        <v>0</v>
      </c>
      <c r="D318" s="198">
        <v>0</v>
      </c>
      <c r="E318" s="198">
        <v>0</v>
      </c>
      <c r="F318" s="198">
        <v>0</v>
      </c>
      <c r="G318" s="198">
        <v>0</v>
      </c>
      <c r="H318" s="198">
        <v>0</v>
      </c>
      <c r="I318" s="198">
        <v>0</v>
      </c>
      <c r="J318" s="198">
        <v>0</v>
      </c>
      <c r="K318" s="198">
        <v>0</v>
      </c>
      <c r="L318" s="198">
        <v>0</v>
      </c>
      <c r="M318" s="198">
        <v>0</v>
      </c>
      <c r="N318" s="198">
        <v>0</v>
      </c>
      <c r="O318" s="198">
        <v>0</v>
      </c>
      <c r="P318" s="198">
        <v>0</v>
      </c>
      <c r="Q318" s="198">
        <v>0</v>
      </c>
      <c r="R318" s="198">
        <v>0</v>
      </c>
      <c r="S318" s="198">
        <v>0</v>
      </c>
      <c r="T318" s="198">
        <v>0</v>
      </c>
      <c r="U318" s="198">
        <v>0</v>
      </c>
      <c r="V318" s="198">
        <v>0</v>
      </c>
      <c r="W318" s="198">
        <v>0</v>
      </c>
      <c r="X318" s="198">
        <v>0</v>
      </c>
      <c r="Y318" s="198">
        <v>0</v>
      </c>
      <c r="Z318" s="198">
        <v>0</v>
      </c>
      <c r="AA318" s="198">
        <v>0</v>
      </c>
      <c r="AB318" s="198">
        <v>0</v>
      </c>
      <c r="AC318" s="198">
        <v>0</v>
      </c>
      <c r="AD318" s="198">
        <v>0</v>
      </c>
      <c r="AE318" s="198">
        <v>0</v>
      </c>
      <c r="AF318" s="198">
        <v>0</v>
      </c>
      <c r="AG318" s="198">
        <v>0</v>
      </c>
      <c r="AH318" s="198">
        <v>0</v>
      </c>
      <c r="AI318" s="198">
        <v>0</v>
      </c>
      <c r="AJ318" s="198">
        <v>0</v>
      </c>
      <c r="AK318" s="198">
        <v>0</v>
      </c>
      <c r="AL318" s="198">
        <v>0</v>
      </c>
      <c r="AM318" s="198">
        <v>0</v>
      </c>
      <c r="AN318" s="198">
        <v>0</v>
      </c>
      <c r="AO318" s="198">
        <v>0</v>
      </c>
      <c r="AP318" s="198">
        <v>0</v>
      </c>
      <c r="AQ318" s="198">
        <v>0</v>
      </c>
      <c r="AR318" s="198">
        <v>0</v>
      </c>
      <c r="AS318" s="198">
        <v>0</v>
      </c>
      <c r="AT318" s="198">
        <v>0</v>
      </c>
      <c r="AU318" s="198">
        <v>0</v>
      </c>
      <c r="AV318" s="198">
        <v>0</v>
      </c>
      <c r="AW318" s="198">
        <v>0</v>
      </c>
      <c r="AX318" s="198">
        <v>0</v>
      </c>
      <c r="AY318" s="198">
        <v>0</v>
      </c>
      <c r="AZ318" s="198">
        <v>0</v>
      </c>
      <c r="BA318" s="198">
        <v>0</v>
      </c>
      <c r="BB318" s="198">
        <v>0</v>
      </c>
      <c r="BC318" s="198">
        <v>0</v>
      </c>
      <c r="BD318" s="198">
        <v>0</v>
      </c>
      <c r="BE318" s="198">
        <v>0</v>
      </c>
      <c r="BF318" s="198">
        <v>0</v>
      </c>
      <c r="BG318" s="198">
        <v>0</v>
      </c>
      <c r="BH318" s="198">
        <v>0</v>
      </c>
      <c r="BI318" s="198">
        <v>0</v>
      </c>
      <c r="BJ318" s="198">
        <v>0</v>
      </c>
      <c r="BK318" s="198">
        <v>0</v>
      </c>
      <c r="BL318" s="198">
        <v>0</v>
      </c>
      <c r="BM318" s="198">
        <v>0</v>
      </c>
      <c r="BN318" s="198">
        <v>0</v>
      </c>
      <c r="BO318" s="198">
        <v>0</v>
      </c>
      <c r="BP318" s="198">
        <v>0</v>
      </c>
      <c r="BQ318" s="198">
        <v>0</v>
      </c>
      <c r="BR318" s="198">
        <v>0</v>
      </c>
      <c r="BS318" s="198">
        <v>0</v>
      </c>
      <c r="BT318" s="198">
        <v>0</v>
      </c>
      <c r="BU318" s="198">
        <v>0</v>
      </c>
      <c r="BV318" s="198">
        <v>0</v>
      </c>
      <c r="BW318" s="198">
        <v>0</v>
      </c>
      <c r="BX318" s="198">
        <v>0</v>
      </c>
      <c r="BY318" s="198">
        <v>0</v>
      </c>
      <c r="BZ318" s="198">
        <v>0</v>
      </c>
      <c r="CA318" s="198">
        <v>1375.1</v>
      </c>
      <c r="CB318" s="198">
        <v>0</v>
      </c>
      <c r="CC318" s="198">
        <v>0</v>
      </c>
      <c r="CD318" s="198">
        <v>0</v>
      </c>
      <c r="CE318" s="198">
        <v>0</v>
      </c>
      <c r="CF318" s="198">
        <v>0</v>
      </c>
      <c r="CG318" s="198">
        <v>0</v>
      </c>
      <c r="CH318" s="198">
        <v>0</v>
      </c>
      <c r="CI318" s="198">
        <v>0</v>
      </c>
      <c r="CJ318" s="198">
        <v>0</v>
      </c>
      <c r="CK318" s="88"/>
    </row>
    <row r="319" spans="1:89" x14ac:dyDescent="0.3">
      <c r="A319" s="173"/>
      <c r="B319" s="197" t="s">
        <v>196</v>
      </c>
      <c r="C319" s="198">
        <v>0</v>
      </c>
      <c r="D319" s="198">
        <v>0</v>
      </c>
      <c r="E319" s="198">
        <v>0</v>
      </c>
      <c r="F319" s="198">
        <v>0</v>
      </c>
      <c r="G319" s="198">
        <v>0</v>
      </c>
      <c r="H319" s="198">
        <v>0</v>
      </c>
      <c r="I319" s="198">
        <v>0</v>
      </c>
      <c r="J319" s="198">
        <v>0</v>
      </c>
      <c r="K319" s="198">
        <v>0</v>
      </c>
      <c r="L319" s="198">
        <v>0</v>
      </c>
      <c r="M319" s="198">
        <v>0</v>
      </c>
      <c r="N319" s="198">
        <v>0</v>
      </c>
      <c r="O319" s="198">
        <v>0</v>
      </c>
      <c r="P319" s="198">
        <v>0</v>
      </c>
      <c r="Q319" s="198">
        <v>0</v>
      </c>
      <c r="R319" s="198">
        <v>0</v>
      </c>
      <c r="S319" s="198">
        <v>0</v>
      </c>
      <c r="T319" s="198">
        <v>0</v>
      </c>
      <c r="U319" s="198">
        <v>0</v>
      </c>
      <c r="V319" s="198">
        <v>0</v>
      </c>
      <c r="W319" s="198">
        <v>0</v>
      </c>
      <c r="X319" s="198">
        <v>0</v>
      </c>
      <c r="Y319" s="198">
        <v>0</v>
      </c>
      <c r="Z319" s="198">
        <v>0</v>
      </c>
      <c r="AA319" s="198">
        <v>0</v>
      </c>
      <c r="AB319" s="198">
        <v>0</v>
      </c>
      <c r="AC319" s="198">
        <v>0</v>
      </c>
      <c r="AD319" s="198">
        <v>0</v>
      </c>
      <c r="AE319" s="198">
        <v>0</v>
      </c>
      <c r="AF319" s="198">
        <v>0</v>
      </c>
      <c r="AG319" s="198">
        <v>2195.9</v>
      </c>
      <c r="AH319" s="198">
        <v>1671</v>
      </c>
      <c r="AI319" s="198">
        <v>0</v>
      </c>
      <c r="AJ319" s="198">
        <v>0</v>
      </c>
      <c r="AK319" s="198">
        <v>0</v>
      </c>
      <c r="AL319" s="198">
        <v>0</v>
      </c>
      <c r="AM319" s="198">
        <v>0</v>
      </c>
      <c r="AN319" s="198">
        <v>0</v>
      </c>
      <c r="AO319" s="198">
        <v>0</v>
      </c>
      <c r="AP319" s="198">
        <v>0</v>
      </c>
      <c r="AQ319" s="198">
        <v>0</v>
      </c>
      <c r="AR319" s="198">
        <v>0</v>
      </c>
      <c r="AS319" s="198">
        <v>0</v>
      </c>
      <c r="AT319" s="198">
        <v>0</v>
      </c>
      <c r="AU319" s="198">
        <v>0</v>
      </c>
      <c r="AV319" s="198">
        <v>0</v>
      </c>
      <c r="AW319" s="198">
        <v>0</v>
      </c>
      <c r="AX319" s="198">
        <v>0</v>
      </c>
      <c r="AY319" s="198">
        <v>0</v>
      </c>
      <c r="AZ319" s="198">
        <v>0</v>
      </c>
      <c r="BA319" s="198">
        <v>0</v>
      </c>
      <c r="BB319" s="198">
        <v>0</v>
      </c>
      <c r="BC319" s="198">
        <v>0</v>
      </c>
      <c r="BD319" s="198">
        <v>0</v>
      </c>
      <c r="BE319" s="198">
        <v>0</v>
      </c>
      <c r="BF319" s="198">
        <v>0</v>
      </c>
      <c r="BG319" s="198">
        <v>0</v>
      </c>
      <c r="BH319" s="198">
        <v>0</v>
      </c>
      <c r="BI319" s="198">
        <v>0</v>
      </c>
      <c r="BJ319" s="198">
        <v>0</v>
      </c>
      <c r="BK319" s="198">
        <v>0</v>
      </c>
      <c r="BL319" s="198">
        <v>0</v>
      </c>
      <c r="BM319" s="198">
        <v>0</v>
      </c>
      <c r="BN319" s="198">
        <v>0</v>
      </c>
      <c r="BO319" s="198">
        <v>0</v>
      </c>
      <c r="BP319" s="198">
        <v>0</v>
      </c>
      <c r="BQ319" s="198">
        <v>0</v>
      </c>
      <c r="BR319" s="198">
        <v>0</v>
      </c>
      <c r="BS319" s="198">
        <v>0</v>
      </c>
      <c r="BT319" s="198">
        <v>0</v>
      </c>
      <c r="BU319" s="198">
        <v>0</v>
      </c>
      <c r="BV319" s="198">
        <v>0</v>
      </c>
      <c r="BW319" s="198">
        <v>0</v>
      </c>
      <c r="BX319" s="198">
        <v>0</v>
      </c>
      <c r="BY319" s="198">
        <v>0</v>
      </c>
      <c r="BZ319" s="198">
        <v>0</v>
      </c>
      <c r="CA319" s="198">
        <v>0</v>
      </c>
      <c r="CB319" s="198">
        <v>0</v>
      </c>
      <c r="CC319" s="198">
        <v>0</v>
      </c>
      <c r="CD319" s="198">
        <v>0</v>
      </c>
      <c r="CE319" s="198">
        <v>0</v>
      </c>
      <c r="CF319" s="198">
        <v>0</v>
      </c>
      <c r="CG319" s="198">
        <v>0</v>
      </c>
      <c r="CH319" s="198">
        <v>0</v>
      </c>
      <c r="CI319" s="198">
        <v>0</v>
      </c>
      <c r="CJ319" s="198">
        <v>0</v>
      </c>
      <c r="CK319" s="88"/>
    </row>
    <row r="320" spans="1:89" x14ac:dyDescent="0.3">
      <c r="A320" s="173"/>
      <c r="B320" s="197" t="s">
        <v>212</v>
      </c>
      <c r="C320" s="198">
        <v>0</v>
      </c>
      <c r="D320" s="198">
        <v>0</v>
      </c>
      <c r="E320" s="198">
        <v>0</v>
      </c>
      <c r="F320" s="198">
        <v>0</v>
      </c>
      <c r="G320" s="198">
        <v>0</v>
      </c>
      <c r="H320" s="198">
        <v>0</v>
      </c>
      <c r="I320" s="198">
        <v>0</v>
      </c>
      <c r="J320" s="198">
        <v>0</v>
      </c>
      <c r="K320" s="198">
        <v>0</v>
      </c>
      <c r="L320" s="198">
        <v>0</v>
      </c>
      <c r="M320" s="198">
        <v>0</v>
      </c>
      <c r="N320" s="198">
        <v>0</v>
      </c>
      <c r="O320" s="198">
        <v>0</v>
      </c>
      <c r="P320" s="198">
        <v>0</v>
      </c>
      <c r="Q320" s="198">
        <v>0</v>
      </c>
      <c r="R320" s="198">
        <v>0</v>
      </c>
      <c r="S320" s="198">
        <v>0</v>
      </c>
      <c r="T320" s="198">
        <v>0</v>
      </c>
      <c r="U320" s="198">
        <v>0</v>
      </c>
      <c r="V320" s="198">
        <v>0</v>
      </c>
      <c r="W320" s="198">
        <v>0</v>
      </c>
      <c r="X320" s="198">
        <v>0</v>
      </c>
      <c r="Y320" s="198">
        <v>0</v>
      </c>
      <c r="Z320" s="198">
        <v>71.2</v>
      </c>
      <c r="AA320" s="198">
        <v>0</v>
      </c>
      <c r="AB320" s="198">
        <v>0</v>
      </c>
      <c r="AC320" s="198">
        <v>0</v>
      </c>
      <c r="AD320" s="198">
        <v>2915.1</v>
      </c>
      <c r="AE320" s="198">
        <v>0</v>
      </c>
      <c r="AF320" s="198">
        <v>0</v>
      </c>
      <c r="AG320" s="198">
        <v>0</v>
      </c>
      <c r="AH320" s="198">
        <v>0</v>
      </c>
      <c r="AI320" s="198">
        <v>0</v>
      </c>
      <c r="AJ320" s="198">
        <v>0</v>
      </c>
      <c r="AK320" s="198">
        <v>0</v>
      </c>
      <c r="AL320" s="198">
        <v>0</v>
      </c>
      <c r="AM320" s="198">
        <v>0</v>
      </c>
      <c r="AN320" s="198">
        <v>0</v>
      </c>
      <c r="AO320" s="198">
        <v>0</v>
      </c>
      <c r="AP320" s="198">
        <v>0</v>
      </c>
      <c r="AQ320" s="198">
        <v>0</v>
      </c>
      <c r="AR320" s="198">
        <v>0</v>
      </c>
      <c r="AS320" s="198">
        <v>0</v>
      </c>
      <c r="AT320" s="198">
        <v>0</v>
      </c>
      <c r="AU320" s="198">
        <v>0</v>
      </c>
      <c r="AV320" s="198">
        <v>0</v>
      </c>
      <c r="AW320" s="198">
        <v>0</v>
      </c>
      <c r="AX320" s="198">
        <v>0</v>
      </c>
      <c r="AY320" s="198">
        <v>0</v>
      </c>
      <c r="AZ320" s="198">
        <v>0</v>
      </c>
      <c r="BA320" s="198">
        <v>0</v>
      </c>
      <c r="BB320" s="198">
        <v>0</v>
      </c>
      <c r="BC320" s="198">
        <v>0</v>
      </c>
      <c r="BD320" s="198">
        <v>0</v>
      </c>
      <c r="BE320" s="198">
        <v>0</v>
      </c>
      <c r="BF320" s="198">
        <v>0</v>
      </c>
      <c r="BG320" s="198">
        <v>0</v>
      </c>
      <c r="BH320" s="198">
        <v>0</v>
      </c>
      <c r="BI320" s="198">
        <v>0</v>
      </c>
      <c r="BJ320" s="198">
        <v>0</v>
      </c>
      <c r="BK320" s="198">
        <v>0</v>
      </c>
      <c r="BL320" s="198">
        <v>0</v>
      </c>
      <c r="BM320" s="198">
        <v>0</v>
      </c>
      <c r="BN320" s="198">
        <v>0</v>
      </c>
      <c r="BO320" s="198">
        <v>0</v>
      </c>
      <c r="BP320" s="198">
        <v>0</v>
      </c>
      <c r="BQ320" s="198">
        <v>0</v>
      </c>
      <c r="BR320" s="198">
        <v>0</v>
      </c>
      <c r="BS320" s="198">
        <v>0</v>
      </c>
      <c r="BT320" s="198">
        <v>0</v>
      </c>
      <c r="BU320" s="198">
        <v>0</v>
      </c>
      <c r="BV320" s="198">
        <v>0</v>
      </c>
      <c r="BW320" s="198">
        <v>0</v>
      </c>
      <c r="BX320" s="198">
        <v>0</v>
      </c>
      <c r="BY320" s="198">
        <v>0</v>
      </c>
      <c r="BZ320" s="198">
        <v>0</v>
      </c>
      <c r="CA320" s="198">
        <v>0</v>
      </c>
      <c r="CB320" s="198">
        <v>0</v>
      </c>
      <c r="CC320" s="198">
        <v>0</v>
      </c>
      <c r="CD320" s="198">
        <v>0</v>
      </c>
      <c r="CE320" s="198">
        <v>0</v>
      </c>
      <c r="CF320" s="198">
        <v>0</v>
      </c>
      <c r="CG320" s="198">
        <v>0</v>
      </c>
      <c r="CH320" s="198">
        <v>0</v>
      </c>
      <c r="CI320" s="198">
        <v>0</v>
      </c>
      <c r="CJ320" s="198">
        <v>0</v>
      </c>
      <c r="CK320" s="88"/>
    </row>
    <row r="321" spans="1:89" x14ac:dyDescent="0.3">
      <c r="A321" s="173"/>
      <c r="B321" s="197" t="s">
        <v>202</v>
      </c>
      <c r="C321" s="198">
        <v>0</v>
      </c>
      <c r="D321" s="198">
        <v>0</v>
      </c>
      <c r="E321" s="198">
        <v>0</v>
      </c>
      <c r="F321" s="198">
        <v>0</v>
      </c>
      <c r="G321" s="198">
        <v>0</v>
      </c>
      <c r="H321" s="198">
        <v>0</v>
      </c>
      <c r="I321" s="198">
        <v>0</v>
      </c>
      <c r="J321" s="198">
        <v>0</v>
      </c>
      <c r="K321" s="198">
        <v>0</v>
      </c>
      <c r="L321" s="198">
        <v>0</v>
      </c>
      <c r="M321" s="198">
        <v>0</v>
      </c>
      <c r="N321" s="198">
        <v>0</v>
      </c>
      <c r="O321" s="198">
        <v>0</v>
      </c>
      <c r="P321" s="198">
        <v>0</v>
      </c>
      <c r="Q321" s="198">
        <v>0</v>
      </c>
      <c r="R321" s="198">
        <v>0</v>
      </c>
      <c r="S321" s="198">
        <v>0</v>
      </c>
      <c r="T321" s="198">
        <v>0</v>
      </c>
      <c r="U321" s="198">
        <v>0</v>
      </c>
      <c r="V321" s="198">
        <v>0</v>
      </c>
      <c r="W321" s="198">
        <v>0</v>
      </c>
      <c r="X321" s="198">
        <v>0</v>
      </c>
      <c r="Y321" s="198">
        <v>0</v>
      </c>
      <c r="Z321" s="198">
        <v>0</v>
      </c>
      <c r="AA321" s="198">
        <v>0</v>
      </c>
      <c r="AB321" s="198">
        <v>0</v>
      </c>
      <c r="AC321" s="198">
        <v>0</v>
      </c>
      <c r="AD321" s="198">
        <v>0</v>
      </c>
      <c r="AE321" s="198">
        <v>0</v>
      </c>
      <c r="AF321" s="198">
        <v>0</v>
      </c>
      <c r="AG321" s="198">
        <v>0</v>
      </c>
      <c r="AH321" s="198">
        <v>0</v>
      </c>
      <c r="AI321" s="198">
        <v>0</v>
      </c>
      <c r="AJ321" s="198">
        <v>0</v>
      </c>
      <c r="AK321" s="198">
        <v>0</v>
      </c>
      <c r="AL321" s="198">
        <v>0</v>
      </c>
      <c r="AM321" s="198">
        <v>0</v>
      </c>
      <c r="AN321" s="198">
        <v>0</v>
      </c>
      <c r="AO321" s="198">
        <v>4984.5</v>
      </c>
      <c r="AP321" s="198">
        <v>0</v>
      </c>
      <c r="AQ321" s="198">
        <v>0</v>
      </c>
      <c r="AR321" s="198">
        <v>0</v>
      </c>
      <c r="AS321" s="198">
        <v>0</v>
      </c>
      <c r="AT321" s="198">
        <v>0</v>
      </c>
      <c r="AU321" s="198">
        <v>0</v>
      </c>
      <c r="AV321" s="198">
        <v>0</v>
      </c>
      <c r="AW321" s="198">
        <v>0</v>
      </c>
      <c r="AX321" s="198">
        <v>0</v>
      </c>
      <c r="AY321" s="198">
        <v>0</v>
      </c>
      <c r="AZ321" s="198">
        <v>0</v>
      </c>
      <c r="BA321" s="198">
        <v>0</v>
      </c>
      <c r="BB321" s="198">
        <v>0</v>
      </c>
      <c r="BC321" s="198">
        <v>0</v>
      </c>
      <c r="BD321" s="198">
        <v>0</v>
      </c>
      <c r="BE321" s="198">
        <v>0</v>
      </c>
      <c r="BF321" s="198">
        <v>0</v>
      </c>
      <c r="BG321" s="198">
        <v>0</v>
      </c>
      <c r="BH321" s="198">
        <v>0</v>
      </c>
      <c r="BI321" s="198">
        <v>0</v>
      </c>
      <c r="BJ321" s="198">
        <v>0</v>
      </c>
      <c r="BK321" s="198">
        <v>0</v>
      </c>
      <c r="BL321" s="198">
        <v>0</v>
      </c>
      <c r="BM321" s="198">
        <v>0</v>
      </c>
      <c r="BN321" s="198">
        <v>0</v>
      </c>
      <c r="BO321" s="198">
        <v>0</v>
      </c>
      <c r="BP321" s="198">
        <v>0</v>
      </c>
      <c r="BQ321" s="198">
        <v>0</v>
      </c>
      <c r="BR321" s="198">
        <v>0</v>
      </c>
      <c r="BS321" s="198">
        <v>0</v>
      </c>
      <c r="BT321" s="198">
        <v>0</v>
      </c>
      <c r="BU321" s="198">
        <v>0</v>
      </c>
      <c r="BV321" s="198">
        <v>0</v>
      </c>
      <c r="BW321" s="198">
        <v>0</v>
      </c>
      <c r="BX321" s="198">
        <v>0</v>
      </c>
      <c r="BY321" s="198">
        <v>0</v>
      </c>
      <c r="BZ321" s="198">
        <v>0</v>
      </c>
      <c r="CA321" s="198">
        <v>0</v>
      </c>
      <c r="CB321" s="198">
        <v>0</v>
      </c>
      <c r="CC321" s="198">
        <v>0</v>
      </c>
      <c r="CD321" s="198">
        <v>0</v>
      </c>
      <c r="CE321" s="198">
        <v>0</v>
      </c>
      <c r="CF321" s="198">
        <v>0</v>
      </c>
      <c r="CG321" s="198">
        <v>0</v>
      </c>
      <c r="CH321" s="198">
        <v>0</v>
      </c>
      <c r="CI321" s="198">
        <v>0</v>
      </c>
      <c r="CJ321" s="198">
        <v>0</v>
      </c>
      <c r="CK321" s="88"/>
    </row>
    <row r="322" spans="1:89" x14ac:dyDescent="0.3">
      <c r="A322" s="173"/>
      <c r="B322" s="197" t="s">
        <v>216</v>
      </c>
      <c r="C322" s="198">
        <v>0</v>
      </c>
      <c r="D322" s="198">
        <v>0</v>
      </c>
      <c r="E322" s="198">
        <v>0</v>
      </c>
      <c r="F322" s="198">
        <v>0</v>
      </c>
      <c r="G322" s="198">
        <v>0</v>
      </c>
      <c r="H322" s="198">
        <v>0</v>
      </c>
      <c r="I322" s="198">
        <v>0</v>
      </c>
      <c r="J322" s="198">
        <v>0</v>
      </c>
      <c r="K322" s="198">
        <v>0</v>
      </c>
      <c r="L322" s="198">
        <v>0</v>
      </c>
      <c r="M322" s="198">
        <v>0</v>
      </c>
      <c r="N322" s="198">
        <v>0</v>
      </c>
      <c r="O322" s="198">
        <v>0</v>
      </c>
      <c r="P322" s="198">
        <v>0</v>
      </c>
      <c r="Q322" s="198">
        <v>0</v>
      </c>
      <c r="R322" s="198">
        <v>0</v>
      </c>
      <c r="S322" s="198">
        <v>0</v>
      </c>
      <c r="T322" s="198">
        <v>0</v>
      </c>
      <c r="U322" s="198">
        <v>0</v>
      </c>
      <c r="V322" s="198">
        <v>0</v>
      </c>
      <c r="W322" s="198">
        <v>0</v>
      </c>
      <c r="X322" s="198">
        <v>0</v>
      </c>
      <c r="Y322" s="198">
        <v>0</v>
      </c>
      <c r="Z322" s="198">
        <v>0</v>
      </c>
      <c r="AA322" s="198">
        <v>0</v>
      </c>
      <c r="AB322" s="198">
        <v>0</v>
      </c>
      <c r="AC322" s="198">
        <v>0</v>
      </c>
      <c r="AD322" s="198">
        <v>0</v>
      </c>
      <c r="AE322" s="198">
        <v>0</v>
      </c>
      <c r="AF322" s="198">
        <v>0</v>
      </c>
      <c r="AG322" s="198">
        <v>0</v>
      </c>
      <c r="AH322" s="198">
        <v>0</v>
      </c>
      <c r="AI322" s="198">
        <v>0</v>
      </c>
      <c r="AJ322" s="198">
        <v>0</v>
      </c>
      <c r="AK322" s="198">
        <v>0</v>
      </c>
      <c r="AL322" s="198">
        <v>0</v>
      </c>
      <c r="AM322" s="198">
        <v>0</v>
      </c>
      <c r="AN322" s="198">
        <v>0</v>
      </c>
      <c r="AO322" s="198">
        <v>0</v>
      </c>
      <c r="AP322" s="198">
        <v>0</v>
      </c>
      <c r="AQ322" s="198">
        <v>0</v>
      </c>
      <c r="AR322" s="198">
        <v>0</v>
      </c>
      <c r="AS322" s="198">
        <v>0</v>
      </c>
      <c r="AT322" s="198">
        <v>6201.4</v>
      </c>
      <c r="AU322" s="198">
        <v>842.9</v>
      </c>
      <c r="AV322" s="198">
        <v>0</v>
      </c>
      <c r="AW322" s="198">
        <v>0</v>
      </c>
      <c r="AX322" s="198">
        <v>0</v>
      </c>
      <c r="AY322" s="198">
        <v>0</v>
      </c>
      <c r="AZ322" s="198">
        <v>0</v>
      </c>
      <c r="BA322" s="198">
        <v>0</v>
      </c>
      <c r="BB322" s="198">
        <v>0</v>
      </c>
      <c r="BC322" s="198">
        <v>0</v>
      </c>
      <c r="BD322" s="198">
        <v>0</v>
      </c>
      <c r="BE322" s="198">
        <v>0</v>
      </c>
      <c r="BF322" s="198">
        <v>0</v>
      </c>
      <c r="BG322" s="198">
        <v>0</v>
      </c>
      <c r="BH322" s="198">
        <v>0</v>
      </c>
      <c r="BI322" s="198">
        <v>0</v>
      </c>
      <c r="BJ322" s="198">
        <v>0</v>
      </c>
      <c r="BK322" s="198">
        <v>0</v>
      </c>
      <c r="BL322" s="198">
        <v>0</v>
      </c>
      <c r="BM322" s="198">
        <v>0</v>
      </c>
      <c r="BN322" s="198">
        <v>0</v>
      </c>
      <c r="BO322" s="198">
        <v>0</v>
      </c>
      <c r="BP322" s="198">
        <v>0</v>
      </c>
      <c r="BQ322" s="198">
        <v>0</v>
      </c>
      <c r="BR322" s="198">
        <v>0</v>
      </c>
      <c r="BS322" s="198">
        <v>0</v>
      </c>
      <c r="BT322" s="198">
        <v>0</v>
      </c>
      <c r="BU322" s="198">
        <v>0</v>
      </c>
      <c r="BV322" s="198">
        <v>0</v>
      </c>
      <c r="BW322" s="198">
        <v>0</v>
      </c>
      <c r="BX322" s="198">
        <v>0</v>
      </c>
      <c r="BY322" s="198">
        <v>0</v>
      </c>
      <c r="BZ322" s="198">
        <v>0</v>
      </c>
      <c r="CA322" s="198">
        <v>0</v>
      </c>
      <c r="CB322" s="198">
        <v>0</v>
      </c>
      <c r="CC322" s="198">
        <v>0</v>
      </c>
      <c r="CD322" s="198">
        <v>0</v>
      </c>
      <c r="CE322" s="198">
        <v>0</v>
      </c>
      <c r="CF322" s="198">
        <v>0</v>
      </c>
      <c r="CG322" s="198">
        <v>0</v>
      </c>
      <c r="CH322" s="198">
        <v>0</v>
      </c>
      <c r="CI322" s="198">
        <v>0</v>
      </c>
      <c r="CJ322" s="198">
        <v>0</v>
      </c>
      <c r="CK322" s="88"/>
    </row>
    <row r="323" spans="1:89" x14ac:dyDescent="0.3">
      <c r="A323" s="173"/>
      <c r="B323" s="197" t="s">
        <v>203</v>
      </c>
      <c r="C323" s="198">
        <v>0</v>
      </c>
      <c r="D323" s="198">
        <v>0</v>
      </c>
      <c r="E323" s="198">
        <v>0</v>
      </c>
      <c r="F323" s="198">
        <v>0</v>
      </c>
      <c r="G323" s="198">
        <v>0</v>
      </c>
      <c r="H323" s="198">
        <v>0</v>
      </c>
      <c r="I323" s="198">
        <v>0</v>
      </c>
      <c r="J323" s="198">
        <v>0</v>
      </c>
      <c r="K323" s="198">
        <v>0</v>
      </c>
      <c r="L323" s="198">
        <v>0</v>
      </c>
      <c r="M323" s="198">
        <v>0</v>
      </c>
      <c r="N323" s="198">
        <v>0</v>
      </c>
      <c r="O323" s="198">
        <v>0</v>
      </c>
      <c r="P323" s="198">
        <v>0</v>
      </c>
      <c r="Q323" s="198">
        <v>0</v>
      </c>
      <c r="R323" s="198">
        <v>0</v>
      </c>
      <c r="S323" s="198">
        <v>0</v>
      </c>
      <c r="T323" s="198">
        <v>0</v>
      </c>
      <c r="U323" s="198">
        <v>0</v>
      </c>
      <c r="V323" s="198">
        <v>0</v>
      </c>
      <c r="W323" s="198">
        <v>0</v>
      </c>
      <c r="X323" s="198">
        <v>0</v>
      </c>
      <c r="Y323" s="198">
        <v>0</v>
      </c>
      <c r="Z323" s="198">
        <v>0</v>
      </c>
      <c r="AA323" s="198">
        <v>0</v>
      </c>
      <c r="AB323" s="198">
        <v>0</v>
      </c>
      <c r="AC323" s="198">
        <v>0</v>
      </c>
      <c r="AD323" s="198">
        <v>0</v>
      </c>
      <c r="AE323" s="198">
        <v>0</v>
      </c>
      <c r="AF323" s="198">
        <v>0</v>
      </c>
      <c r="AG323" s="198">
        <v>0</v>
      </c>
      <c r="AH323" s="198">
        <v>0</v>
      </c>
      <c r="AI323" s="198">
        <v>0</v>
      </c>
      <c r="AJ323" s="198">
        <v>0</v>
      </c>
      <c r="AK323" s="198">
        <v>0</v>
      </c>
      <c r="AL323" s="198">
        <v>0</v>
      </c>
      <c r="AM323" s="198">
        <v>0</v>
      </c>
      <c r="AN323" s="198">
        <v>0</v>
      </c>
      <c r="AO323" s="198">
        <v>0</v>
      </c>
      <c r="AP323" s="198">
        <v>0</v>
      </c>
      <c r="AQ323" s="198">
        <v>0</v>
      </c>
      <c r="AR323" s="198">
        <v>0</v>
      </c>
      <c r="AS323" s="198">
        <v>0</v>
      </c>
      <c r="AT323" s="198">
        <v>0</v>
      </c>
      <c r="AU323" s="198">
        <v>0</v>
      </c>
      <c r="AV323" s="198">
        <v>0</v>
      </c>
      <c r="AW323" s="198">
        <v>0</v>
      </c>
      <c r="AX323" s="198">
        <v>0</v>
      </c>
      <c r="AY323" s="198">
        <v>4611.3999999999996</v>
      </c>
      <c r="AZ323" s="198">
        <v>0</v>
      </c>
      <c r="BA323" s="198">
        <v>1649.1</v>
      </c>
      <c r="BB323" s="198">
        <v>0</v>
      </c>
      <c r="BC323" s="198">
        <v>0</v>
      </c>
      <c r="BD323" s="198">
        <v>0</v>
      </c>
      <c r="BE323" s="198">
        <v>0</v>
      </c>
      <c r="BF323" s="198">
        <v>0</v>
      </c>
      <c r="BG323" s="198">
        <v>0</v>
      </c>
      <c r="BH323" s="198">
        <v>0</v>
      </c>
      <c r="BI323" s="198">
        <v>0</v>
      </c>
      <c r="BJ323" s="198">
        <v>0</v>
      </c>
      <c r="BK323" s="198">
        <v>0</v>
      </c>
      <c r="BL323" s="198">
        <v>0</v>
      </c>
      <c r="BM323" s="198">
        <v>0</v>
      </c>
      <c r="BN323" s="198">
        <v>0</v>
      </c>
      <c r="BO323" s="198">
        <v>0</v>
      </c>
      <c r="BP323" s="198">
        <v>0</v>
      </c>
      <c r="BQ323" s="198">
        <v>0</v>
      </c>
      <c r="BR323" s="198">
        <v>0</v>
      </c>
      <c r="BS323" s="198">
        <v>0</v>
      </c>
      <c r="BT323" s="198">
        <v>0</v>
      </c>
      <c r="BU323" s="198">
        <v>0</v>
      </c>
      <c r="BV323" s="198">
        <v>0</v>
      </c>
      <c r="BW323" s="198">
        <v>0</v>
      </c>
      <c r="BX323" s="198">
        <v>0</v>
      </c>
      <c r="BY323" s="198">
        <v>0</v>
      </c>
      <c r="BZ323" s="198">
        <v>0</v>
      </c>
      <c r="CA323" s="198">
        <v>0</v>
      </c>
      <c r="CB323" s="198">
        <v>0</v>
      </c>
      <c r="CC323" s="198">
        <v>0</v>
      </c>
      <c r="CD323" s="198">
        <v>0</v>
      </c>
      <c r="CE323" s="198">
        <v>0</v>
      </c>
      <c r="CF323" s="198">
        <v>0</v>
      </c>
      <c r="CG323" s="198">
        <v>0</v>
      </c>
      <c r="CH323" s="198">
        <v>0</v>
      </c>
      <c r="CI323" s="198">
        <v>0</v>
      </c>
      <c r="CJ323" s="198">
        <v>0</v>
      </c>
      <c r="CK323" s="88"/>
    </row>
    <row r="324" spans="1:89" x14ac:dyDescent="0.3">
      <c r="A324" s="173"/>
      <c r="B324" s="197" t="s">
        <v>227</v>
      </c>
      <c r="C324" s="198">
        <v>0</v>
      </c>
      <c r="D324" s="198">
        <v>0</v>
      </c>
      <c r="E324" s="198">
        <v>0</v>
      </c>
      <c r="F324" s="198">
        <v>0</v>
      </c>
      <c r="G324" s="198">
        <v>0</v>
      </c>
      <c r="H324" s="198">
        <v>0</v>
      </c>
      <c r="I324" s="198">
        <v>0</v>
      </c>
      <c r="J324" s="198">
        <v>0</v>
      </c>
      <c r="K324" s="198">
        <v>0</v>
      </c>
      <c r="L324" s="198">
        <v>0</v>
      </c>
      <c r="M324" s="198">
        <v>0</v>
      </c>
      <c r="N324" s="198">
        <v>0</v>
      </c>
      <c r="O324" s="198">
        <v>0</v>
      </c>
      <c r="P324" s="198">
        <v>0</v>
      </c>
      <c r="Q324" s="198">
        <v>0</v>
      </c>
      <c r="R324" s="198">
        <v>0</v>
      </c>
      <c r="S324" s="198">
        <v>0</v>
      </c>
      <c r="T324" s="198">
        <v>0</v>
      </c>
      <c r="U324" s="198">
        <v>0</v>
      </c>
      <c r="V324" s="198">
        <v>0</v>
      </c>
      <c r="W324" s="198">
        <v>0</v>
      </c>
      <c r="X324" s="198">
        <v>0</v>
      </c>
      <c r="Y324" s="198">
        <v>0</v>
      </c>
      <c r="Z324" s="198">
        <v>0</v>
      </c>
      <c r="AA324" s="198">
        <v>0</v>
      </c>
      <c r="AB324" s="198">
        <v>0</v>
      </c>
      <c r="AC324" s="198">
        <v>0</v>
      </c>
      <c r="AD324" s="198">
        <v>0</v>
      </c>
      <c r="AE324" s="198">
        <v>0</v>
      </c>
      <c r="AF324" s="198">
        <v>0</v>
      </c>
      <c r="AG324" s="198">
        <v>0</v>
      </c>
      <c r="AH324" s="198">
        <v>0</v>
      </c>
      <c r="AI324" s="198">
        <v>0</v>
      </c>
      <c r="AJ324" s="198">
        <v>0</v>
      </c>
      <c r="AK324" s="198">
        <v>0</v>
      </c>
      <c r="AL324" s="198">
        <v>0</v>
      </c>
      <c r="AM324" s="198">
        <v>0</v>
      </c>
      <c r="AN324" s="198">
        <v>0</v>
      </c>
      <c r="AO324" s="198">
        <v>0</v>
      </c>
      <c r="AP324" s="198">
        <v>0</v>
      </c>
      <c r="AQ324" s="198">
        <v>0</v>
      </c>
      <c r="AR324" s="198">
        <v>0</v>
      </c>
      <c r="AS324" s="198">
        <v>0</v>
      </c>
      <c r="AT324" s="198">
        <v>0</v>
      </c>
      <c r="AU324" s="198">
        <v>0</v>
      </c>
      <c r="AV324" s="198">
        <v>0</v>
      </c>
      <c r="AW324" s="198">
        <v>0</v>
      </c>
      <c r="AX324" s="198">
        <v>0</v>
      </c>
      <c r="AY324" s="198">
        <v>0</v>
      </c>
      <c r="AZ324" s="198">
        <v>0</v>
      </c>
      <c r="BA324" s="198">
        <v>0</v>
      </c>
      <c r="BB324" s="198">
        <v>0</v>
      </c>
      <c r="BC324" s="198">
        <v>0</v>
      </c>
      <c r="BD324" s="198">
        <v>7018.6</v>
      </c>
      <c r="BE324" s="198">
        <v>0</v>
      </c>
      <c r="BF324" s="198">
        <v>2415.3000000000002</v>
      </c>
      <c r="BG324" s="198">
        <v>0</v>
      </c>
      <c r="BH324" s="198">
        <v>0</v>
      </c>
      <c r="BI324" s="198">
        <v>0</v>
      </c>
      <c r="BJ324" s="198">
        <v>0</v>
      </c>
      <c r="BK324" s="198">
        <v>0</v>
      </c>
      <c r="BL324" s="198">
        <v>0</v>
      </c>
      <c r="BM324" s="198">
        <v>0</v>
      </c>
      <c r="BN324" s="198">
        <v>0</v>
      </c>
      <c r="BO324" s="198">
        <v>0</v>
      </c>
      <c r="BP324" s="198">
        <v>0</v>
      </c>
      <c r="BQ324" s="198">
        <v>0</v>
      </c>
      <c r="BR324" s="198">
        <v>0</v>
      </c>
      <c r="BS324" s="198">
        <v>0</v>
      </c>
      <c r="BT324" s="198">
        <v>0</v>
      </c>
      <c r="BU324" s="198">
        <v>0</v>
      </c>
      <c r="BV324" s="198">
        <v>0</v>
      </c>
      <c r="BW324" s="198">
        <v>0</v>
      </c>
      <c r="BX324" s="198">
        <v>0</v>
      </c>
      <c r="BY324" s="198">
        <v>0</v>
      </c>
      <c r="BZ324" s="198">
        <v>0</v>
      </c>
      <c r="CA324" s="198">
        <v>0</v>
      </c>
      <c r="CB324" s="198">
        <v>0</v>
      </c>
      <c r="CC324" s="198">
        <v>0</v>
      </c>
      <c r="CD324" s="198">
        <v>0</v>
      </c>
      <c r="CE324" s="198">
        <v>0</v>
      </c>
      <c r="CF324" s="198">
        <v>0</v>
      </c>
      <c r="CG324" s="198">
        <v>0</v>
      </c>
      <c r="CH324" s="198">
        <v>0</v>
      </c>
      <c r="CI324" s="198">
        <v>0</v>
      </c>
      <c r="CJ324" s="198">
        <v>0</v>
      </c>
      <c r="CK324" s="88"/>
    </row>
    <row r="325" spans="1:89" x14ac:dyDescent="0.3">
      <c r="A325" s="173"/>
      <c r="B325" s="197" t="s">
        <v>324</v>
      </c>
      <c r="C325" s="198">
        <v>0</v>
      </c>
      <c r="D325" s="198">
        <v>0</v>
      </c>
      <c r="E325" s="198">
        <v>0</v>
      </c>
      <c r="F325" s="198">
        <v>0</v>
      </c>
      <c r="G325" s="198">
        <v>0</v>
      </c>
      <c r="H325" s="198">
        <v>0</v>
      </c>
      <c r="I325" s="198">
        <v>0</v>
      </c>
      <c r="J325" s="198">
        <v>0</v>
      </c>
      <c r="K325" s="198">
        <v>0</v>
      </c>
      <c r="L325" s="198">
        <v>0</v>
      </c>
      <c r="M325" s="198">
        <v>0</v>
      </c>
      <c r="N325" s="198">
        <v>0</v>
      </c>
      <c r="O325" s="198">
        <v>0</v>
      </c>
      <c r="P325" s="198">
        <v>0</v>
      </c>
      <c r="Q325" s="198">
        <v>0</v>
      </c>
      <c r="R325" s="198">
        <v>0</v>
      </c>
      <c r="S325" s="198">
        <v>0</v>
      </c>
      <c r="T325" s="198">
        <v>0</v>
      </c>
      <c r="U325" s="198">
        <v>0</v>
      </c>
      <c r="V325" s="198">
        <v>0</v>
      </c>
      <c r="W325" s="198">
        <v>0</v>
      </c>
      <c r="X325" s="198">
        <v>0</v>
      </c>
      <c r="Y325" s="198">
        <v>0</v>
      </c>
      <c r="Z325" s="198">
        <v>0</v>
      </c>
      <c r="AA325" s="198">
        <v>0</v>
      </c>
      <c r="AB325" s="198">
        <v>0</v>
      </c>
      <c r="AC325" s="198">
        <v>0</v>
      </c>
      <c r="AD325" s="198">
        <v>0</v>
      </c>
      <c r="AE325" s="198">
        <v>0</v>
      </c>
      <c r="AF325" s="198">
        <v>0</v>
      </c>
      <c r="AG325" s="198">
        <v>0</v>
      </c>
      <c r="AH325" s="198">
        <v>0</v>
      </c>
      <c r="AI325" s="198">
        <v>0</v>
      </c>
      <c r="AJ325" s="198">
        <v>0</v>
      </c>
      <c r="AK325" s="198">
        <v>0</v>
      </c>
      <c r="AL325" s="198">
        <v>0</v>
      </c>
      <c r="AM325" s="198">
        <v>0</v>
      </c>
      <c r="AN325" s="198">
        <v>0</v>
      </c>
      <c r="AO325" s="198">
        <v>0</v>
      </c>
      <c r="AP325" s="198">
        <v>0</v>
      </c>
      <c r="AQ325" s="198">
        <v>0</v>
      </c>
      <c r="AR325" s="198">
        <v>0</v>
      </c>
      <c r="AS325" s="198">
        <v>0</v>
      </c>
      <c r="AT325" s="198">
        <v>0</v>
      </c>
      <c r="AU325" s="198">
        <v>0</v>
      </c>
      <c r="AV325" s="198">
        <v>0</v>
      </c>
      <c r="AW325" s="198">
        <v>0</v>
      </c>
      <c r="AX325" s="198">
        <v>0</v>
      </c>
      <c r="AY325" s="198">
        <v>0</v>
      </c>
      <c r="AZ325" s="198">
        <v>0</v>
      </c>
      <c r="BA325" s="198">
        <v>0</v>
      </c>
      <c r="BB325" s="198">
        <v>0</v>
      </c>
      <c r="BC325" s="198">
        <v>0</v>
      </c>
      <c r="BD325" s="198">
        <v>0</v>
      </c>
      <c r="BE325" s="198">
        <v>0</v>
      </c>
      <c r="BF325" s="198">
        <v>0</v>
      </c>
      <c r="BG325" s="198">
        <v>0</v>
      </c>
      <c r="BH325" s="198">
        <v>0</v>
      </c>
      <c r="BI325" s="198">
        <v>0</v>
      </c>
      <c r="BJ325" s="198">
        <v>0</v>
      </c>
      <c r="BK325" s="198">
        <v>0</v>
      </c>
      <c r="BL325" s="198">
        <v>0</v>
      </c>
      <c r="BM325" s="198">
        <v>0</v>
      </c>
      <c r="BN325" s="198">
        <v>0</v>
      </c>
      <c r="BO325" s="198">
        <v>0</v>
      </c>
      <c r="BP325" s="198">
        <v>0</v>
      </c>
      <c r="BQ325" s="198">
        <v>1403.1</v>
      </c>
      <c r="BR325" s="198">
        <v>666.6</v>
      </c>
      <c r="BS325" s="198">
        <v>0</v>
      </c>
      <c r="BT325" s="198">
        <v>0</v>
      </c>
      <c r="BU325" s="198">
        <v>0</v>
      </c>
      <c r="BV325" s="198">
        <v>0</v>
      </c>
      <c r="BW325" s="198">
        <v>2910.5</v>
      </c>
      <c r="BX325" s="198">
        <v>0</v>
      </c>
      <c r="BY325" s="198">
        <v>0</v>
      </c>
      <c r="BZ325" s="198">
        <v>0</v>
      </c>
      <c r="CA325" s="198">
        <v>0</v>
      </c>
      <c r="CB325" s="198">
        <v>0</v>
      </c>
      <c r="CC325" s="198">
        <v>0</v>
      </c>
      <c r="CD325" s="198">
        <v>0</v>
      </c>
      <c r="CE325" s="198">
        <v>0</v>
      </c>
      <c r="CF325" s="198">
        <v>0</v>
      </c>
      <c r="CG325" s="198">
        <v>82.1</v>
      </c>
      <c r="CH325" s="198">
        <v>0</v>
      </c>
      <c r="CI325" s="198">
        <v>0</v>
      </c>
      <c r="CJ325" s="198">
        <v>0</v>
      </c>
      <c r="CK325" s="88"/>
    </row>
    <row r="326" spans="1:89" x14ac:dyDescent="0.3">
      <c r="A326" s="173"/>
      <c r="B326" s="197" t="s">
        <v>232</v>
      </c>
      <c r="C326" s="198">
        <v>0</v>
      </c>
      <c r="D326" s="198">
        <v>0</v>
      </c>
      <c r="E326" s="198">
        <v>0</v>
      </c>
      <c r="F326" s="198">
        <v>0</v>
      </c>
      <c r="G326" s="198">
        <v>0</v>
      </c>
      <c r="H326" s="198">
        <v>0</v>
      </c>
      <c r="I326" s="198">
        <v>0</v>
      </c>
      <c r="J326" s="198">
        <v>0</v>
      </c>
      <c r="K326" s="198">
        <v>0</v>
      </c>
      <c r="L326" s="198">
        <v>0</v>
      </c>
      <c r="M326" s="198">
        <v>0</v>
      </c>
      <c r="N326" s="198">
        <v>0</v>
      </c>
      <c r="O326" s="198">
        <v>0</v>
      </c>
      <c r="P326" s="198">
        <v>0</v>
      </c>
      <c r="Q326" s="198">
        <v>0</v>
      </c>
      <c r="R326" s="198">
        <v>0</v>
      </c>
      <c r="S326" s="198">
        <v>0</v>
      </c>
      <c r="T326" s="198">
        <v>0</v>
      </c>
      <c r="U326" s="198">
        <v>0</v>
      </c>
      <c r="V326" s="198">
        <v>0</v>
      </c>
      <c r="W326" s="198">
        <v>0</v>
      </c>
      <c r="X326" s="198">
        <v>0</v>
      </c>
      <c r="Y326" s="198">
        <v>0</v>
      </c>
      <c r="Z326" s="198">
        <v>0</v>
      </c>
      <c r="AA326" s="198">
        <v>0</v>
      </c>
      <c r="AB326" s="198">
        <v>0</v>
      </c>
      <c r="AC326" s="198">
        <v>0</v>
      </c>
      <c r="AD326" s="198">
        <v>0</v>
      </c>
      <c r="AE326" s="198">
        <v>0</v>
      </c>
      <c r="AF326" s="198">
        <v>0</v>
      </c>
      <c r="AG326" s="198">
        <v>0</v>
      </c>
      <c r="AH326" s="198">
        <v>0</v>
      </c>
      <c r="AI326" s="198">
        <v>0</v>
      </c>
      <c r="AJ326" s="198">
        <v>0</v>
      </c>
      <c r="AK326" s="198">
        <v>0</v>
      </c>
      <c r="AL326" s="198">
        <v>0</v>
      </c>
      <c r="AM326" s="198">
        <v>0</v>
      </c>
      <c r="AN326" s="198">
        <v>0</v>
      </c>
      <c r="AO326" s="198">
        <v>0</v>
      </c>
      <c r="AP326" s="198">
        <v>0</v>
      </c>
      <c r="AQ326" s="198">
        <v>0</v>
      </c>
      <c r="AR326" s="198">
        <v>0</v>
      </c>
      <c r="AS326" s="198">
        <v>0</v>
      </c>
      <c r="AT326" s="198">
        <v>0</v>
      </c>
      <c r="AU326" s="198">
        <v>0</v>
      </c>
      <c r="AV326" s="198">
        <v>0</v>
      </c>
      <c r="AW326" s="198">
        <v>0</v>
      </c>
      <c r="AX326" s="198">
        <v>0</v>
      </c>
      <c r="AY326" s="198">
        <v>0</v>
      </c>
      <c r="AZ326" s="198">
        <v>0</v>
      </c>
      <c r="BA326" s="198">
        <v>0</v>
      </c>
      <c r="BB326" s="198">
        <v>0</v>
      </c>
      <c r="BC326" s="198">
        <v>0</v>
      </c>
      <c r="BD326" s="198">
        <v>0</v>
      </c>
      <c r="BE326" s="198">
        <v>0</v>
      </c>
      <c r="BF326" s="198">
        <v>0</v>
      </c>
      <c r="BG326" s="198">
        <v>0</v>
      </c>
      <c r="BH326" s="198">
        <v>0</v>
      </c>
      <c r="BI326" s="198">
        <v>0</v>
      </c>
      <c r="BJ326" s="198">
        <v>0</v>
      </c>
      <c r="BK326" s="198">
        <v>0</v>
      </c>
      <c r="BL326" s="198">
        <v>0</v>
      </c>
      <c r="BM326" s="198">
        <v>0</v>
      </c>
      <c r="BN326" s="198">
        <v>0</v>
      </c>
      <c r="BO326" s="198">
        <v>0</v>
      </c>
      <c r="BP326" s="198">
        <v>0</v>
      </c>
      <c r="BQ326" s="198">
        <v>2271.1</v>
      </c>
      <c r="BR326" s="198">
        <v>0</v>
      </c>
      <c r="BS326" s="198">
        <v>0</v>
      </c>
      <c r="BT326" s="198">
        <v>0</v>
      </c>
      <c r="BU326" s="198">
        <v>961.8</v>
      </c>
      <c r="BV326" s="198">
        <v>0</v>
      </c>
      <c r="BW326" s="198">
        <v>0</v>
      </c>
      <c r="BX326" s="198">
        <v>0</v>
      </c>
      <c r="BY326" s="198">
        <v>0</v>
      </c>
      <c r="BZ326" s="198">
        <v>0</v>
      </c>
      <c r="CA326" s="198">
        <v>951.5</v>
      </c>
      <c r="CB326" s="198">
        <v>0</v>
      </c>
      <c r="CC326" s="198">
        <v>0</v>
      </c>
      <c r="CD326" s="198">
        <v>0</v>
      </c>
      <c r="CE326" s="198">
        <v>0</v>
      </c>
      <c r="CF326" s="198">
        <v>0</v>
      </c>
      <c r="CG326" s="198">
        <v>875.7</v>
      </c>
      <c r="CH326" s="198">
        <v>0</v>
      </c>
      <c r="CI326" s="198">
        <v>0</v>
      </c>
      <c r="CJ326" s="198">
        <v>0</v>
      </c>
      <c r="CK326" s="88"/>
    </row>
    <row r="327" spans="1:89" x14ac:dyDescent="0.3">
      <c r="A327" s="173"/>
      <c r="B327" s="197" t="s">
        <v>75</v>
      </c>
      <c r="C327" s="198">
        <v>65.7</v>
      </c>
      <c r="D327" s="198">
        <v>0</v>
      </c>
      <c r="E327" s="198">
        <v>0</v>
      </c>
      <c r="F327" s="198">
        <v>0</v>
      </c>
      <c r="G327" s="198">
        <v>0</v>
      </c>
      <c r="H327" s="198">
        <v>0</v>
      </c>
      <c r="I327" s="198">
        <v>0</v>
      </c>
      <c r="J327" s="198">
        <v>0</v>
      </c>
      <c r="K327" s="198">
        <v>0</v>
      </c>
      <c r="L327" s="198">
        <v>0</v>
      </c>
      <c r="M327" s="198">
        <v>0</v>
      </c>
      <c r="N327" s="198">
        <v>0</v>
      </c>
      <c r="O327" s="198">
        <v>0</v>
      </c>
      <c r="P327" s="198">
        <v>0</v>
      </c>
      <c r="Q327" s="198">
        <v>0</v>
      </c>
      <c r="R327" s="198">
        <v>5326.5</v>
      </c>
      <c r="S327" s="198">
        <v>0</v>
      </c>
      <c r="T327" s="198">
        <v>0</v>
      </c>
      <c r="U327" s="198">
        <v>0</v>
      </c>
      <c r="V327" s="198">
        <v>0</v>
      </c>
      <c r="W327" s="198">
        <v>0</v>
      </c>
      <c r="X327" s="198">
        <v>0</v>
      </c>
      <c r="Y327" s="198">
        <v>0</v>
      </c>
      <c r="Z327" s="198">
        <v>0</v>
      </c>
      <c r="AA327" s="198">
        <v>0</v>
      </c>
      <c r="AB327" s="198">
        <v>0</v>
      </c>
      <c r="AC327" s="198">
        <v>0</v>
      </c>
      <c r="AD327" s="198">
        <v>0</v>
      </c>
      <c r="AE327" s="198">
        <v>0</v>
      </c>
      <c r="AF327" s="198">
        <v>0</v>
      </c>
      <c r="AG327" s="198">
        <v>0</v>
      </c>
      <c r="AH327" s="198">
        <v>0</v>
      </c>
      <c r="AI327" s="198">
        <v>0</v>
      </c>
      <c r="AJ327" s="198">
        <v>0</v>
      </c>
      <c r="AK327" s="198">
        <v>0</v>
      </c>
      <c r="AL327" s="198">
        <v>0</v>
      </c>
      <c r="AM327" s="198">
        <v>0</v>
      </c>
      <c r="AN327" s="198">
        <v>0</v>
      </c>
      <c r="AO327" s="198">
        <v>0</v>
      </c>
      <c r="AP327" s="198">
        <v>0</v>
      </c>
      <c r="AQ327" s="198">
        <v>0</v>
      </c>
      <c r="AR327" s="198">
        <v>0</v>
      </c>
      <c r="AS327" s="198">
        <v>0</v>
      </c>
      <c r="AT327" s="198">
        <v>0</v>
      </c>
      <c r="AU327" s="198">
        <v>0</v>
      </c>
      <c r="AV327" s="198">
        <v>0</v>
      </c>
      <c r="AW327" s="198">
        <v>0</v>
      </c>
      <c r="AX327" s="198">
        <v>0</v>
      </c>
      <c r="AY327" s="198">
        <v>0</v>
      </c>
      <c r="AZ327" s="198">
        <v>0</v>
      </c>
      <c r="BA327" s="198">
        <v>0</v>
      </c>
      <c r="BB327" s="198">
        <v>0</v>
      </c>
      <c r="BC327" s="198">
        <v>0</v>
      </c>
      <c r="BD327" s="198">
        <v>0</v>
      </c>
      <c r="BE327" s="198">
        <v>0</v>
      </c>
      <c r="BF327" s="198">
        <v>0</v>
      </c>
      <c r="BG327" s="198">
        <v>0</v>
      </c>
      <c r="BH327" s="198">
        <v>0</v>
      </c>
      <c r="BI327" s="198">
        <v>0</v>
      </c>
      <c r="BJ327" s="198">
        <v>0</v>
      </c>
      <c r="BK327" s="198">
        <v>0</v>
      </c>
      <c r="BL327" s="198">
        <v>0</v>
      </c>
      <c r="BM327" s="198">
        <v>0</v>
      </c>
      <c r="BN327" s="198">
        <v>0</v>
      </c>
      <c r="BO327" s="198">
        <v>0</v>
      </c>
      <c r="BP327" s="198">
        <v>0</v>
      </c>
      <c r="BQ327" s="198">
        <v>0</v>
      </c>
      <c r="BR327" s="198">
        <v>0</v>
      </c>
      <c r="BS327" s="198">
        <v>0</v>
      </c>
      <c r="BT327" s="198">
        <v>0</v>
      </c>
      <c r="BU327" s="198">
        <v>0</v>
      </c>
      <c r="BV327" s="198">
        <v>0</v>
      </c>
      <c r="BW327" s="198">
        <v>0</v>
      </c>
      <c r="BX327" s="198">
        <v>0</v>
      </c>
      <c r="BY327" s="198">
        <v>0</v>
      </c>
      <c r="BZ327" s="198">
        <v>0</v>
      </c>
      <c r="CA327" s="198">
        <v>0</v>
      </c>
      <c r="CB327" s="198">
        <v>0</v>
      </c>
      <c r="CC327" s="198">
        <v>0</v>
      </c>
      <c r="CD327" s="198">
        <v>0</v>
      </c>
      <c r="CE327" s="198">
        <v>0</v>
      </c>
      <c r="CF327" s="198">
        <v>0</v>
      </c>
      <c r="CG327" s="198">
        <v>0</v>
      </c>
      <c r="CH327" s="198">
        <v>0</v>
      </c>
      <c r="CI327" s="198">
        <v>0</v>
      </c>
      <c r="CJ327" s="198">
        <v>0</v>
      </c>
      <c r="CK327" s="88"/>
    </row>
    <row r="328" spans="1:89" x14ac:dyDescent="0.3">
      <c r="A328" s="173"/>
      <c r="B328" s="197" t="s">
        <v>231</v>
      </c>
      <c r="C328" s="198">
        <v>0</v>
      </c>
      <c r="D328" s="198">
        <v>0</v>
      </c>
      <c r="E328" s="198">
        <v>0</v>
      </c>
      <c r="F328" s="198">
        <v>0</v>
      </c>
      <c r="G328" s="198">
        <v>0</v>
      </c>
      <c r="H328" s="198">
        <v>0</v>
      </c>
      <c r="I328" s="198">
        <v>0</v>
      </c>
      <c r="J328" s="198">
        <v>0</v>
      </c>
      <c r="K328" s="198">
        <v>0</v>
      </c>
      <c r="L328" s="198">
        <v>0</v>
      </c>
      <c r="M328" s="198">
        <v>0</v>
      </c>
      <c r="N328" s="198">
        <v>0</v>
      </c>
      <c r="O328" s="198">
        <v>0</v>
      </c>
      <c r="P328" s="198">
        <v>0</v>
      </c>
      <c r="Q328" s="198">
        <v>0</v>
      </c>
      <c r="R328" s="198">
        <v>0</v>
      </c>
      <c r="S328" s="198">
        <v>0</v>
      </c>
      <c r="T328" s="198">
        <v>0</v>
      </c>
      <c r="U328" s="198">
        <v>0</v>
      </c>
      <c r="V328" s="198">
        <v>0</v>
      </c>
      <c r="W328" s="198">
        <v>0</v>
      </c>
      <c r="X328" s="198">
        <v>0</v>
      </c>
      <c r="Y328" s="198">
        <v>0</v>
      </c>
      <c r="Z328" s="198">
        <v>0</v>
      </c>
      <c r="AA328" s="198">
        <v>0</v>
      </c>
      <c r="AB328" s="198">
        <v>0</v>
      </c>
      <c r="AC328" s="198">
        <v>0</v>
      </c>
      <c r="AD328" s="198">
        <v>0</v>
      </c>
      <c r="AE328" s="198">
        <v>0</v>
      </c>
      <c r="AF328" s="198">
        <v>0</v>
      </c>
      <c r="AG328" s="198">
        <v>0</v>
      </c>
      <c r="AH328" s="198">
        <v>0</v>
      </c>
      <c r="AI328" s="198">
        <v>0</v>
      </c>
      <c r="AJ328" s="198">
        <v>0</v>
      </c>
      <c r="AK328" s="198">
        <v>0</v>
      </c>
      <c r="AL328" s="198">
        <v>0</v>
      </c>
      <c r="AM328" s="198">
        <v>0</v>
      </c>
      <c r="AN328" s="198">
        <v>0</v>
      </c>
      <c r="AO328" s="198">
        <v>0</v>
      </c>
      <c r="AP328" s="198">
        <v>0</v>
      </c>
      <c r="AQ328" s="198">
        <v>0</v>
      </c>
      <c r="AR328" s="198">
        <v>0</v>
      </c>
      <c r="AS328" s="198">
        <v>0</v>
      </c>
      <c r="AT328" s="198">
        <v>0</v>
      </c>
      <c r="AU328" s="198">
        <v>0</v>
      </c>
      <c r="AV328" s="198">
        <v>0</v>
      </c>
      <c r="AW328" s="198">
        <v>0</v>
      </c>
      <c r="AX328" s="198">
        <v>0</v>
      </c>
      <c r="AY328" s="198">
        <v>0</v>
      </c>
      <c r="AZ328" s="198">
        <v>0</v>
      </c>
      <c r="BA328" s="198">
        <v>0</v>
      </c>
      <c r="BB328" s="198">
        <v>0</v>
      </c>
      <c r="BC328" s="198">
        <v>0</v>
      </c>
      <c r="BD328" s="198">
        <v>0</v>
      </c>
      <c r="BE328" s="198">
        <v>0</v>
      </c>
      <c r="BF328" s="198">
        <v>0</v>
      </c>
      <c r="BG328" s="198">
        <v>0</v>
      </c>
      <c r="BH328" s="198">
        <v>0</v>
      </c>
      <c r="BI328" s="198">
        <v>0</v>
      </c>
      <c r="BJ328" s="198">
        <v>0</v>
      </c>
      <c r="BK328" s="198">
        <v>0</v>
      </c>
      <c r="BL328" s="198">
        <v>0</v>
      </c>
      <c r="BM328" s="198">
        <v>0</v>
      </c>
      <c r="BN328" s="198">
        <v>0</v>
      </c>
      <c r="BO328" s="198">
        <v>141.19999999999999</v>
      </c>
      <c r="BP328" s="198">
        <v>0</v>
      </c>
      <c r="BQ328" s="198">
        <v>0</v>
      </c>
      <c r="BR328" s="198">
        <v>0</v>
      </c>
      <c r="BS328" s="198">
        <v>0</v>
      </c>
      <c r="BT328" s="198">
        <v>0</v>
      </c>
      <c r="BU328" s="198">
        <v>172.2</v>
      </c>
      <c r="BV328" s="198">
        <v>0</v>
      </c>
      <c r="BW328" s="198">
        <v>0</v>
      </c>
      <c r="BX328" s="198">
        <v>0</v>
      </c>
      <c r="BY328" s="198">
        <v>0</v>
      </c>
      <c r="BZ328" s="198">
        <v>0</v>
      </c>
      <c r="CA328" s="198">
        <v>170.4</v>
      </c>
      <c r="CB328" s="198">
        <v>0</v>
      </c>
      <c r="CC328" s="198">
        <v>0</v>
      </c>
      <c r="CD328" s="198">
        <v>0</v>
      </c>
      <c r="CE328" s="198">
        <v>0</v>
      </c>
      <c r="CF328" s="198">
        <v>0</v>
      </c>
      <c r="CG328" s="198">
        <v>156.80000000000001</v>
      </c>
      <c r="CH328" s="198">
        <v>0</v>
      </c>
      <c r="CI328" s="198">
        <v>0</v>
      </c>
      <c r="CJ328" s="198">
        <v>0</v>
      </c>
      <c r="CK328" s="88"/>
    </row>
    <row r="329" spans="1:89" x14ac:dyDescent="0.3">
      <c r="A329" s="173"/>
      <c r="B329" s="197" t="s">
        <v>78</v>
      </c>
      <c r="C329" s="198">
        <v>0</v>
      </c>
      <c r="D329" s="198">
        <v>0</v>
      </c>
      <c r="E329" s="198">
        <v>0</v>
      </c>
      <c r="F329" s="198">
        <v>0</v>
      </c>
      <c r="G329" s="198">
        <v>0</v>
      </c>
      <c r="H329" s="198">
        <v>0</v>
      </c>
      <c r="I329" s="198">
        <v>0</v>
      </c>
      <c r="J329" s="198">
        <v>0</v>
      </c>
      <c r="K329" s="198">
        <v>0</v>
      </c>
      <c r="L329" s="198">
        <v>0</v>
      </c>
      <c r="M329" s="198">
        <v>0</v>
      </c>
      <c r="N329" s="198">
        <v>0</v>
      </c>
      <c r="O329" s="198">
        <v>0</v>
      </c>
      <c r="P329" s="198">
        <v>0</v>
      </c>
      <c r="Q329" s="198">
        <v>0</v>
      </c>
      <c r="R329" s="198">
        <v>0</v>
      </c>
      <c r="S329" s="198">
        <v>0</v>
      </c>
      <c r="T329" s="198">
        <v>0</v>
      </c>
      <c r="U329" s="198">
        <v>0</v>
      </c>
      <c r="V329" s="198">
        <v>0</v>
      </c>
      <c r="W329" s="198">
        <v>0</v>
      </c>
      <c r="X329" s="198">
        <v>0</v>
      </c>
      <c r="Y329" s="198">
        <v>0</v>
      </c>
      <c r="Z329" s="198">
        <v>0</v>
      </c>
      <c r="AA329" s="198">
        <v>0</v>
      </c>
      <c r="AB329" s="198">
        <v>0</v>
      </c>
      <c r="AC329" s="198">
        <v>0</v>
      </c>
      <c r="AD329" s="198">
        <v>0</v>
      </c>
      <c r="AE329" s="198">
        <v>0</v>
      </c>
      <c r="AF329" s="198">
        <v>1924.5</v>
      </c>
      <c r="AG329" s="198">
        <v>1125.4000000000001</v>
      </c>
      <c r="AH329" s="198">
        <v>0</v>
      </c>
      <c r="AI329" s="198">
        <v>0</v>
      </c>
      <c r="AJ329" s="198">
        <v>0</v>
      </c>
      <c r="AK329" s="198">
        <v>0</v>
      </c>
      <c r="AL329" s="198">
        <v>0</v>
      </c>
      <c r="AM329" s="198">
        <v>0</v>
      </c>
      <c r="AN329" s="198">
        <v>0</v>
      </c>
      <c r="AO329" s="198">
        <v>0</v>
      </c>
      <c r="AP329" s="198">
        <v>0</v>
      </c>
      <c r="AQ329" s="198">
        <v>0</v>
      </c>
      <c r="AR329" s="198">
        <v>0</v>
      </c>
      <c r="AS329" s="198">
        <v>0</v>
      </c>
      <c r="AT329" s="198">
        <v>0</v>
      </c>
      <c r="AU329" s="198">
        <v>0</v>
      </c>
      <c r="AV329" s="198">
        <v>0</v>
      </c>
      <c r="AW329" s="198">
        <v>0</v>
      </c>
      <c r="AX329" s="198">
        <v>0</v>
      </c>
      <c r="AY329" s="198">
        <v>0</v>
      </c>
      <c r="AZ329" s="198">
        <v>0</v>
      </c>
      <c r="BA329" s="198">
        <v>0</v>
      </c>
      <c r="BB329" s="198">
        <v>0</v>
      </c>
      <c r="BC329" s="198">
        <v>0</v>
      </c>
      <c r="BD329" s="198">
        <v>0</v>
      </c>
      <c r="BE329" s="198">
        <v>0</v>
      </c>
      <c r="BF329" s="198">
        <v>0</v>
      </c>
      <c r="BG329" s="198">
        <v>0</v>
      </c>
      <c r="BH329" s="198">
        <v>0</v>
      </c>
      <c r="BI329" s="198">
        <v>0</v>
      </c>
      <c r="BJ329" s="198">
        <v>0</v>
      </c>
      <c r="BK329" s="198">
        <v>0</v>
      </c>
      <c r="BL329" s="198">
        <v>0</v>
      </c>
      <c r="BM329" s="198">
        <v>0</v>
      </c>
      <c r="BN329" s="198">
        <v>0</v>
      </c>
      <c r="BO329" s="198">
        <v>0</v>
      </c>
      <c r="BP329" s="198">
        <v>0</v>
      </c>
      <c r="BQ329" s="198">
        <v>0</v>
      </c>
      <c r="BR329" s="198">
        <v>0</v>
      </c>
      <c r="BS329" s="198">
        <v>0</v>
      </c>
      <c r="BT329" s="198">
        <v>0</v>
      </c>
      <c r="BU329" s="198">
        <v>0</v>
      </c>
      <c r="BV329" s="198">
        <v>0</v>
      </c>
      <c r="BW329" s="198">
        <v>0</v>
      </c>
      <c r="BX329" s="198">
        <v>0</v>
      </c>
      <c r="BY329" s="198">
        <v>0</v>
      </c>
      <c r="BZ329" s="198">
        <v>0</v>
      </c>
      <c r="CA329" s="198">
        <v>0</v>
      </c>
      <c r="CB329" s="198">
        <v>0</v>
      </c>
      <c r="CC329" s="198">
        <v>0</v>
      </c>
      <c r="CD329" s="198">
        <v>0</v>
      </c>
      <c r="CE329" s="198">
        <v>0</v>
      </c>
      <c r="CF329" s="198">
        <v>0</v>
      </c>
      <c r="CG329" s="198">
        <v>0</v>
      </c>
      <c r="CH329" s="198">
        <v>0</v>
      </c>
      <c r="CI329" s="198">
        <v>0</v>
      </c>
      <c r="CJ329" s="198">
        <v>0</v>
      </c>
      <c r="CK329" s="88"/>
    </row>
    <row r="330" spans="1:89" x14ac:dyDescent="0.3">
      <c r="A330" s="173"/>
      <c r="B330" s="197" t="s">
        <v>343</v>
      </c>
      <c r="C330" s="198">
        <v>0</v>
      </c>
      <c r="D330" s="198">
        <v>0</v>
      </c>
      <c r="E330" s="198">
        <v>0</v>
      </c>
      <c r="F330" s="198">
        <v>0</v>
      </c>
      <c r="G330" s="198">
        <v>0</v>
      </c>
      <c r="H330" s="198">
        <v>0</v>
      </c>
      <c r="I330" s="198">
        <v>0</v>
      </c>
      <c r="J330" s="198">
        <v>0</v>
      </c>
      <c r="K330" s="198">
        <v>0</v>
      </c>
      <c r="L330" s="198">
        <v>0</v>
      </c>
      <c r="M330" s="198">
        <v>0</v>
      </c>
      <c r="N330" s="198">
        <v>0</v>
      </c>
      <c r="O330" s="198">
        <v>0</v>
      </c>
      <c r="P330" s="198">
        <v>0</v>
      </c>
      <c r="Q330" s="198">
        <v>0</v>
      </c>
      <c r="R330" s="198">
        <v>0</v>
      </c>
      <c r="S330" s="198">
        <v>0</v>
      </c>
      <c r="T330" s="198">
        <v>0</v>
      </c>
      <c r="U330" s="198">
        <v>0</v>
      </c>
      <c r="V330" s="198">
        <v>0</v>
      </c>
      <c r="W330" s="198">
        <v>0</v>
      </c>
      <c r="X330" s="198">
        <v>0</v>
      </c>
      <c r="Y330" s="198">
        <v>0</v>
      </c>
      <c r="Z330" s="198">
        <v>0</v>
      </c>
      <c r="AA330" s="198">
        <v>0</v>
      </c>
      <c r="AB330" s="198">
        <v>0</v>
      </c>
      <c r="AC330" s="198">
        <v>0</v>
      </c>
      <c r="AD330" s="198">
        <v>0</v>
      </c>
      <c r="AE330" s="198">
        <v>0</v>
      </c>
      <c r="AF330" s="198">
        <v>0</v>
      </c>
      <c r="AG330" s="198">
        <v>0</v>
      </c>
      <c r="AH330" s="198">
        <v>0</v>
      </c>
      <c r="AI330" s="198">
        <v>0</v>
      </c>
      <c r="AJ330" s="198">
        <v>0</v>
      </c>
      <c r="AK330" s="198">
        <v>0</v>
      </c>
      <c r="AL330" s="198">
        <v>0</v>
      </c>
      <c r="AM330" s="198">
        <v>0</v>
      </c>
      <c r="AN330" s="198">
        <v>0</v>
      </c>
      <c r="AO330" s="198">
        <v>0</v>
      </c>
      <c r="AP330" s="198">
        <v>0</v>
      </c>
      <c r="AQ330" s="198">
        <v>0</v>
      </c>
      <c r="AR330" s="198">
        <v>0</v>
      </c>
      <c r="AS330" s="198">
        <v>0</v>
      </c>
      <c r="AT330" s="198">
        <v>0</v>
      </c>
      <c r="AU330" s="198">
        <v>0</v>
      </c>
      <c r="AV330" s="198">
        <v>0</v>
      </c>
      <c r="AW330" s="198">
        <v>0</v>
      </c>
      <c r="AX330" s="198">
        <v>0</v>
      </c>
      <c r="AY330" s="198">
        <v>1215.4000000000001</v>
      </c>
      <c r="AZ330" s="198">
        <v>0</v>
      </c>
      <c r="BA330" s="198">
        <v>116</v>
      </c>
      <c r="BB330" s="198">
        <v>0</v>
      </c>
      <c r="BC330" s="198">
        <v>0</v>
      </c>
      <c r="BD330" s="198">
        <v>0</v>
      </c>
      <c r="BE330" s="198">
        <v>0</v>
      </c>
      <c r="BF330" s="198">
        <v>0</v>
      </c>
      <c r="BG330" s="198">
        <v>0</v>
      </c>
      <c r="BH330" s="198">
        <v>0</v>
      </c>
      <c r="BI330" s="198">
        <v>0</v>
      </c>
      <c r="BJ330" s="198">
        <v>0</v>
      </c>
      <c r="BK330" s="198">
        <v>0</v>
      </c>
      <c r="BL330" s="198">
        <v>0</v>
      </c>
      <c r="BM330" s="198">
        <v>0</v>
      </c>
      <c r="BN330" s="198">
        <v>0</v>
      </c>
      <c r="BO330" s="198">
        <v>0</v>
      </c>
      <c r="BP330" s="198">
        <v>0</v>
      </c>
      <c r="BQ330" s="198">
        <v>0</v>
      </c>
      <c r="BR330" s="198">
        <v>0</v>
      </c>
      <c r="BS330" s="198">
        <v>0</v>
      </c>
      <c r="BT330" s="198">
        <v>0</v>
      </c>
      <c r="BU330" s="198">
        <v>0</v>
      </c>
      <c r="BV330" s="198">
        <v>0</v>
      </c>
      <c r="BW330" s="198">
        <v>0</v>
      </c>
      <c r="BX330" s="198">
        <v>0</v>
      </c>
      <c r="BY330" s="198">
        <v>0</v>
      </c>
      <c r="BZ330" s="198">
        <v>0</v>
      </c>
      <c r="CA330" s="198">
        <v>0</v>
      </c>
      <c r="CB330" s="198">
        <v>0</v>
      </c>
      <c r="CC330" s="198">
        <v>0</v>
      </c>
      <c r="CD330" s="198">
        <v>0</v>
      </c>
      <c r="CE330" s="198">
        <v>0</v>
      </c>
      <c r="CF330" s="198">
        <v>0</v>
      </c>
      <c r="CG330" s="198">
        <v>0</v>
      </c>
      <c r="CH330" s="198">
        <v>0</v>
      </c>
      <c r="CI330" s="198">
        <v>0</v>
      </c>
      <c r="CJ330" s="198">
        <v>0</v>
      </c>
      <c r="CK330" s="88"/>
    </row>
    <row r="331" spans="1:89" x14ac:dyDescent="0.3">
      <c r="A331" s="173"/>
      <c r="B331" s="197" t="s">
        <v>73</v>
      </c>
      <c r="C331" s="198">
        <v>873.1</v>
      </c>
      <c r="D331" s="198">
        <v>0</v>
      </c>
      <c r="E331" s="198">
        <v>0</v>
      </c>
      <c r="F331" s="198">
        <v>0</v>
      </c>
      <c r="G331" s="198">
        <v>0</v>
      </c>
      <c r="H331" s="198">
        <v>0</v>
      </c>
      <c r="I331" s="198">
        <v>0</v>
      </c>
      <c r="J331" s="198">
        <v>0</v>
      </c>
      <c r="K331" s="198">
        <v>0</v>
      </c>
      <c r="L331" s="198">
        <v>0</v>
      </c>
      <c r="M331" s="198">
        <v>0</v>
      </c>
      <c r="N331" s="198">
        <v>0</v>
      </c>
      <c r="O331" s="198">
        <v>0</v>
      </c>
      <c r="P331" s="198">
        <v>0</v>
      </c>
      <c r="Q331" s="198">
        <v>0</v>
      </c>
      <c r="R331" s="198">
        <v>0</v>
      </c>
      <c r="S331" s="198">
        <v>0</v>
      </c>
      <c r="T331" s="198">
        <v>0</v>
      </c>
      <c r="U331" s="198">
        <v>0</v>
      </c>
      <c r="V331" s="198">
        <v>0</v>
      </c>
      <c r="W331" s="198">
        <v>0</v>
      </c>
      <c r="X331" s="198">
        <v>0</v>
      </c>
      <c r="Y331" s="198">
        <v>0</v>
      </c>
      <c r="Z331" s="198">
        <v>0</v>
      </c>
      <c r="AA331" s="198">
        <v>0</v>
      </c>
      <c r="AB331" s="198">
        <v>0</v>
      </c>
      <c r="AC331" s="198">
        <v>0</v>
      </c>
      <c r="AD331" s="198">
        <v>0</v>
      </c>
      <c r="AE331" s="198">
        <v>0</v>
      </c>
      <c r="AF331" s="198">
        <v>0</v>
      </c>
      <c r="AG331" s="198">
        <v>0</v>
      </c>
      <c r="AH331" s="198">
        <v>0</v>
      </c>
      <c r="AI331" s="198">
        <v>0</v>
      </c>
      <c r="AJ331" s="198">
        <v>0</v>
      </c>
      <c r="AK331" s="198">
        <v>0</v>
      </c>
      <c r="AL331" s="198">
        <v>0</v>
      </c>
      <c r="AM331" s="198">
        <v>0</v>
      </c>
      <c r="AN331" s="198">
        <v>0</v>
      </c>
      <c r="AO331" s="198">
        <v>0</v>
      </c>
      <c r="AP331" s="198">
        <v>0</v>
      </c>
      <c r="AQ331" s="198">
        <v>0</v>
      </c>
      <c r="AR331" s="198">
        <v>0</v>
      </c>
      <c r="AS331" s="198">
        <v>0</v>
      </c>
      <c r="AT331" s="198">
        <v>0</v>
      </c>
      <c r="AU331" s="198">
        <v>0</v>
      </c>
      <c r="AV331" s="198">
        <v>0</v>
      </c>
      <c r="AW331" s="198">
        <v>0</v>
      </c>
      <c r="AX331" s="198">
        <v>0</v>
      </c>
      <c r="AY331" s="198">
        <v>0</v>
      </c>
      <c r="AZ331" s="198">
        <v>0</v>
      </c>
      <c r="BA331" s="198">
        <v>0</v>
      </c>
      <c r="BB331" s="198">
        <v>0</v>
      </c>
      <c r="BC331" s="198">
        <v>0</v>
      </c>
      <c r="BD331" s="198">
        <v>0</v>
      </c>
      <c r="BE331" s="198">
        <v>0</v>
      </c>
      <c r="BF331" s="198">
        <v>0</v>
      </c>
      <c r="BG331" s="198">
        <v>0</v>
      </c>
      <c r="BH331" s="198">
        <v>0</v>
      </c>
      <c r="BI331" s="198">
        <v>0</v>
      </c>
      <c r="BJ331" s="198">
        <v>0</v>
      </c>
      <c r="BK331" s="198">
        <v>0</v>
      </c>
      <c r="BL331" s="198">
        <v>0</v>
      </c>
      <c r="BM331" s="198">
        <v>0</v>
      </c>
      <c r="BN331" s="198">
        <v>0</v>
      </c>
      <c r="BO331" s="198">
        <v>0</v>
      </c>
      <c r="BP331" s="198">
        <v>0</v>
      </c>
      <c r="BQ331" s="198">
        <v>0</v>
      </c>
      <c r="BR331" s="198">
        <v>0</v>
      </c>
      <c r="BS331" s="198">
        <v>0</v>
      </c>
      <c r="BT331" s="198">
        <v>0</v>
      </c>
      <c r="BU331" s="198">
        <v>0</v>
      </c>
      <c r="BV331" s="198">
        <v>0</v>
      </c>
      <c r="BW331" s="198">
        <v>0</v>
      </c>
      <c r="BX331" s="198">
        <v>0</v>
      </c>
      <c r="BY331" s="198">
        <v>0</v>
      </c>
      <c r="BZ331" s="198">
        <v>0</v>
      </c>
      <c r="CA331" s="198">
        <v>0</v>
      </c>
      <c r="CB331" s="198">
        <v>0</v>
      </c>
      <c r="CC331" s="198">
        <v>0</v>
      </c>
      <c r="CD331" s="198">
        <v>0</v>
      </c>
      <c r="CE331" s="198">
        <v>0</v>
      </c>
      <c r="CF331" s="198">
        <v>0</v>
      </c>
      <c r="CG331" s="198">
        <v>0</v>
      </c>
      <c r="CH331" s="198">
        <v>0</v>
      </c>
      <c r="CI331" s="198">
        <v>0</v>
      </c>
      <c r="CJ331" s="198">
        <v>0</v>
      </c>
      <c r="CK331" s="88"/>
    </row>
    <row r="332" spans="1:89" x14ac:dyDescent="0.3">
      <c r="A332" s="173"/>
      <c r="B332" s="197" t="s">
        <v>79</v>
      </c>
      <c r="C332" s="198">
        <v>0</v>
      </c>
      <c r="D332" s="198">
        <v>0</v>
      </c>
      <c r="E332" s="198">
        <v>0</v>
      </c>
      <c r="F332" s="198">
        <v>1213.5</v>
      </c>
      <c r="G332" s="198">
        <v>0</v>
      </c>
      <c r="H332" s="198">
        <v>0</v>
      </c>
      <c r="I332" s="198">
        <v>0</v>
      </c>
      <c r="J332" s="198">
        <v>0</v>
      </c>
      <c r="K332" s="198">
        <v>0</v>
      </c>
      <c r="L332" s="198">
        <v>0</v>
      </c>
      <c r="M332" s="198">
        <v>0</v>
      </c>
      <c r="N332" s="198">
        <v>0</v>
      </c>
      <c r="O332" s="198">
        <v>0</v>
      </c>
      <c r="P332" s="198">
        <v>0</v>
      </c>
      <c r="Q332" s="198">
        <v>0</v>
      </c>
      <c r="R332" s="198">
        <v>0</v>
      </c>
      <c r="S332" s="198">
        <v>0</v>
      </c>
      <c r="T332" s="198">
        <v>0</v>
      </c>
      <c r="U332" s="198">
        <v>0</v>
      </c>
      <c r="V332" s="198">
        <v>0</v>
      </c>
      <c r="W332" s="198">
        <v>0</v>
      </c>
      <c r="X332" s="198">
        <v>0</v>
      </c>
      <c r="Y332" s="198">
        <v>0</v>
      </c>
      <c r="Z332" s="198">
        <v>0</v>
      </c>
      <c r="AA332" s="198">
        <v>0</v>
      </c>
      <c r="AB332" s="198">
        <v>0</v>
      </c>
      <c r="AC332" s="198">
        <v>0</v>
      </c>
      <c r="AD332" s="198">
        <v>0</v>
      </c>
      <c r="AE332" s="198">
        <v>0</v>
      </c>
      <c r="AF332" s="198">
        <v>0</v>
      </c>
      <c r="AG332" s="198">
        <v>0</v>
      </c>
      <c r="AH332" s="198">
        <v>0</v>
      </c>
      <c r="AI332" s="198">
        <v>0</v>
      </c>
      <c r="AJ332" s="198">
        <v>0</v>
      </c>
      <c r="AK332" s="198">
        <v>0</v>
      </c>
      <c r="AL332" s="198">
        <v>0</v>
      </c>
      <c r="AM332" s="198">
        <v>0</v>
      </c>
      <c r="AN332" s="198">
        <v>0</v>
      </c>
      <c r="AO332" s="198">
        <v>0</v>
      </c>
      <c r="AP332" s="198">
        <v>0</v>
      </c>
      <c r="AQ332" s="198">
        <v>0</v>
      </c>
      <c r="AR332" s="198">
        <v>0</v>
      </c>
      <c r="AS332" s="198">
        <v>0</v>
      </c>
      <c r="AT332" s="198">
        <v>0</v>
      </c>
      <c r="AU332" s="198">
        <v>0</v>
      </c>
      <c r="AV332" s="198">
        <v>0</v>
      </c>
      <c r="AW332" s="198">
        <v>0</v>
      </c>
      <c r="AX332" s="198">
        <v>0</v>
      </c>
      <c r="AY332" s="198">
        <v>0</v>
      </c>
      <c r="AZ332" s="198">
        <v>0</v>
      </c>
      <c r="BA332" s="198">
        <v>0</v>
      </c>
      <c r="BB332" s="198">
        <v>0</v>
      </c>
      <c r="BC332" s="198">
        <v>0</v>
      </c>
      <c r="BD332" s="198">
        <v>0</v>
      </c>
      <c r="BE332" s="198">
        <v>0</v>
      </c>
      <c r="BF332" s="198">
        <v>0</v>
      </c>
      <c r="BG332" s="198">
        <v>0</v>
      </c>
      <c r="BH332" s="198">
        <v>0</v>
      </c>
      <c r="BI332" s="198">
        <v>0</v>
      </c>
      <c r="BJ332" s="198">
        <v>0</v>
      </c>
      <c r="BK332" s="198">
        <v>0</v>
      </c>
      <c r="BL332" s="198">
        <v>0</v>
      </c>
      <c r="BM332" s="198">
        <v>0</v>
      </c>
      <c r="BN332" s="198">
        <v>0</v>
      </c>
      <c r="BO332" s="198">
        <v>0</v>
      </c>
      <c r="BP332" s="198">
        <v>0</v>
      </c>
      <c r="BQ332" s="198">
        <v>0</v>
      </c>
      <c r="BR332" s="198">
        <v>0</v>
      </c>
      <c r="BS332" s="198">
        <v>0</v>
      </c>
      <c r="BT332" s="198">
        <v>0</v>
      </c>
      <c r="BU332" s="198">
        <v>0</v>
      </c>
      <c r="BV332" s="198">
        <v>0</v>
      </c>
      <c r="BW332" s="198">
        <v>0</v>
      </c>
      <c r="BX332" s="198">
        <v>0</v>
      </c>
      <c r="BY332" s="198">
        <v>0</v>
      </c>
      <c r="BZ332" s="198">
        <v>0</v>
      </c>
      <c r="CA332" s="198">
        <v>0</v>
      </c>
      <c r="CB332" s="198">
        <v>0</v>
      </c>
      <c r="CC332" s="198">
        <v>0</v>
      </c>
      <c r="CD332" s="198">
        <v>0</v>
      </c>
      <c r="CE332" s="198">
        <v>0</v>
      </c>
      <c r="CF332" s="198">
        <v>0</v>
      </c>
      <c r="CG332" s="198">
        <v>0</v>
      </c>
      <c r="CH332" s="198">
        <v>0</v>
      </c>
      <c r="CI332" s="198">
        <v>0</v>
      </c>
      <c r="CJ332" s="198">
        <v>0</v>
      </c>
      <c r="CK332" s="88"/>
    </row>
    <row r="333" spans="1:89" x14ac:dyDescent="0.3">
      <c r="A333" s="173"/>
      <c r="B333" s="197" t="s">
        <v>370</v>
      </c>
      <c r="C333" s="198">
        <v>0</v>
      </c>
      <c r="D333" s="198">
        <v>0</v>
      </c>
      <c r="E333" s="198">
        <v>0</v>
      </c>
      <c r="F333" s="198">
        <v>0</v>
      </c>
      <c r="G333" s="198">
        <v>0</v>
      </c>
      <c r="H333" s="198">
        <v>0</v>
      </c>
      <c r="I333" s="198">
        <v>0</v>
      </c>
      <c r="J333" s="198">
        <v>0</v>
      </c>
      <c r="K333" s="198">
        <v>0</v>
      </c>
      <c r="L333" s="198">
        <v>0</v>
      </c>
      <c r="M333" s="198">
        <v>0</v>
      </c>
      <c r="N333" s="198">
        <v>0</v>
      </c>
      <c r="O333" s="198">
        <v>0</v>
      </c>
      <c r="P333" s="198">
        <v>0</v>
      </c>
      <c r="Q333" s="198">
        <v>0</v>
      </c>
      <c r="R333" s="198">
        <v>0</v>
      </c>
      <c r="S333" s="198">
        <v>0</v>
      </c>
      <c r="T333" s="198">
        <v>0</v>
      </c>
      <c r="U333" s="198">
        <v>0</v>
      </c>
      <c r="V333" s="198">
        <v>0</v>
      </c>
      <c r="W333" s="198">
        <v>0</v>
      </c>
      <c r="X333" s="198">
        <v>0</v>
      </c>
      <c r="Y333" s="198">
        <v>0</v>
      </c>
      <c r="Z333" s="198">
        <v>0</v>
      </c>
      <c r="AA333" s="198">
        <v>0</v>
      </c>
      <c r="AB333" s="198">
        <v>0</v>
      </c>
      <c r="AC333" s="198">
        <v>0</v>
      </c>
      <c r="AD333" s="198">
        <v>0</v>
      </c>
      <c r="AE333" s="198">
        <v>0</v>
      </c>
      <c r="AF333" s="198">
        <v>0</v>
      </c>
      <c r="AG333" s="198">
        <v>0</v>
      </c>
      <c r="AH333" s="198">
        <v>0</v>
      </c>
      <c r="AI333" s="198">
        <v>0</v>
      </c>
      <c r="AJ333" s="198">
        <v>0</v>
      </c>
      <c r="AK333" s="198">
        <v>0</v>
      </c>
      <c r="AL333" s="198">
        <v>0</v>
      </c>
      <c r="AM333" s="198">
        <v>0</v>
      </c>
      <c r="AN333" s="198">
        <v>0</v>
      </c>
      <c r="AO333" s="198">
        <v>0</v>
      </c>
      <c r="AP333" s="198">
        <v>0</v>
      </c>
      <c r="AQ333" s="198">
        <v>0</v>
      </c>
      <c r="AR333" s="198">
        <v>0</v>
      </c>
      <c r="AS333" s="198">
        <v>0</v>
      </c>
      <c r="AT333" s="198">
        <v>0</v>
      </c>
      <c r="AU333" s="198">
        <v>0</v>
      </c>
      <c r="AV333" s="198">
        <v>0</v>
      </c>
      <c r="AW333" s="198">
        <v>0</v>
      </c>
      <c r="AX333" s="198">
        <v>0</v>
      </c>
      <c r="AY333" s="198">
        <v>0</v>
      </c>
      <c r="AZ333" s="198">
        <v>0</v>
      </c>
      <c r="BA333" s="198">
        <v>0</v>
      </c>
      <c r="BB333" s="198">
        <v>0</v>
      </c>
      <c r="BC333" s="198">
        <v>0</v>
      </c>
      <c r="BD333" s="198">
        <v>0</v>
      </c>
      <c r="BE333" s="198">
        <v>0</v>
      </c>
      <c r="BF333" s="198">
        <v>0</v>
      </c>
      <c r="BG333" s="198">
        <v>0</v>
      </c>
      <c r="BH333" s="198">
        <v>0</v>
      </c>
      <c r="BI333" s="198">
        <v>0</v>
      </c>
      <c r="BJ333" s="198">
        <v>0</v>
      </c>
      <c r="BK333" s="198">
        <v>602.9</v>
      </c>
      <c r="BL333" s="198">
        <v>1188.8</v>
      </c>
      <c r="BM333" s="198">
        <v>4854</v>
      </c>
      <c r="BN333" s="198">
        <v>0</v>
      </c>
      <c r="BO333" s="198">
        <v>0</v>
      </c>
      <c r="BP333" s="198">
        <v>0</v>
      </c>
      <c r="BQ333" s="198">
        <v>146.1</v>
      </c>
      <c r="BR333" s="198">
        <v>0</v>
      </c>
      <c r="BS333" s="198">
        <v>0</v>
      </c>
      <c r="BT333" s="198">
        <v>0</v>
      </c>
      <c r="BU333" s="198">
        <v>0</v>
      </c>
      <c r="BV333" s="198">
        <v>890</v>
      </c>
      <c r="BW333" s="198">
        <v>0</v>
      </c>
      <c r="BX333" s="198">
        <v>0</v>
      </c>
      <c r="BY333" s="198">
        <v>0</v>
      </c>
      <c r="BZ333" s="198">
        <v>0</v>
      </c>
      <c r="CA333" s="198">
        <v>0</v>
      </c>
      <c r="CB333" s="198">
        <v>0</v>
      </c>
      <c r="CC333" s="198">
        <v>0</v>
      </c>
      <c r="CD333" s="198">
        <v>0</v>
      </c>
      <c r="CE333" s="198">
        <v>0</v>
      </c>
      <c r="CF333" s="198">
        <v>0</v>
      </c>
      <c r="CG333" s="198">
        <v>0</v>
      </c>
      <c r="CH333" s="198">
        <v>0</v>
      </c>
      <c r="CI333" s="198">
        <v>0</v>
      </c>
      <c r="CJ333" s="198">
        <v>0</v>
      </c>
      <c r="CK333" s="88"/>
    </row>
    <row r="334" spans="1:89" x14ac:dyDescent="0.3">
      <c r="A334" s="173"/>
      <c r="B334" s="197" t="s">
        <v>346</v>
      </c>
      <c r="C334" s="198">
        <v>0</v>
      </c>
      <c r="D334" s="198">
        <v>0</v>
      </c>
      <c r="E334" s="198">
        <v>0</v>
      </c>
      <c r="F334" s="198">
        <v>0</v>
      </c>
      <c r="G334" s="198">
        <v>0</v>
      </c>
      <c r="H334" s="198">
        <v>0</v>
      </c>
      <c r="I334" s="198">
        <v>0</v>
      </c>
      <c r="J334" s="198">
        <v>0</v>
      </c>
      <c r="K334" s="198">
        <v>0</v>
      </c>
      <c r="L334" s="198">
        <v>0</v>
      </c>
      <c r="M334" s="198">
        <v>0</v>
      </c>
      <c r="N334" s="198">
        <v>0</v>
      </c>
      <c r="O334" s="198">
        <v>0</v>
      </c>
      <c r="P334" s="198">
        <v>0</v>
      </c>
      <c r="Q334" s="198">
        <v>0</v>
      </c>
      <c r="R334" s="198">
        <v>0</v>
      </c>
      <c r="S334" s="198">
        <v>0</v>
      </c>
      <c r="T334" s="198">
        <v>0</v>
      </c>
      <c r="U334" s="198">
        <v>0</v>
      </c>
      <c r="V334" s="198">
        <v>0</v>
      </c>
      <c r="W334" s="198">
        <v>0</v>
      </c>
      <c r="X334" s="198">
        <v>0</v>
      </c>
      <c r="Y334" s="198">
        <v>0</v>
      </c>
      <c r="Z334" s="198">
        <v>0</v>
      </c>
      <c r="AA334" s="198">
        <v>0</v>
      </c>
      <c r="AB334" s="198">
        <v>0</v>
      </c>
      <c r="AC334" s="198">
        <v>0</v>
      </c>
      <c r="AD334" s="198">
        <v>0</v>
      </c>
      <c r="AE334" s="198">
        <v>0</v>
      </c>
      <c r="AF334" s="198">
        <v>0</v>
      </c>
      <c r="AG334" s="198">
        <v>0</v>
      </c>
      <c r="AH334" s="198">
        <v>0</v>
      </c>
      <c r="AI334" s="198">
        <v>0</v>
      </c>
      <c r="AJ334" s="198">
        <v>0</v>
      </c>
      <c r="AK334" s="198">
        <v>0</v>
      </c>
      <c r="AL334" s="198">
        <v>0</v>
      </c>
      <c r="AM334" s="198">
        <v>0</v>
      </c>
      <c r="AN334" s="198">
        <v>0</v>
      </c>
      <c r="AO334" s="198">
        <v>0</v>
      </c>
      <c r="AP334" s="198">
        <v>0</v>
      </c>
      <c r="AQ334" s="198">
        <v>0</v>
      </c>
      <c r="AR334" s="198">
        <v>0</v>
      </c>
      <c r="AS334" s="198">
        <v>0</v>
      </c>
      <c r="AT334" s="198">
        <v>0</v>
      </c>
      <c r="AU334" s="198">
        <v>0</v>
      </c>
      <c r="AV334" s="198">
        <v>0</v>
      </c>
      <c r="AW334" s="198">
        <v>0</v>
      </c>
      <c r="AX334" s="198">
        <v>0</v>
      </c>
      <c r="AY334" s="198">
        <v>0</v>
      </c>
      <c r="AZ334" s="198">
        <v>0</v>
      </c>
      <c r="BA334" s="198">
        <v>0</v>
      </c>
      <c r="BB334" s="198">
        <v>0</v>
      </c>
      <c r="BC334" s="198">
        <v>0</v>
      </c>
      <c r="BD334" s="198">
        <v>0</v>
      </c>
      <c r="BE334" s="198">
        <v>0</v>
      </c>
      <c r="BF334" s="198">
        <v>0</v>
      </c>
      <c r="BG334" s="198">
        <v>0</v>
      </c>
      <c r="BH334" s="198">
        <v>0</v>
      </c>
      <c r="BI334" s="198">
        <v>0</v>
      </c>
      <c r="BJ334" s="198">
        <v>0</v>
      </c>
      <c r="BK334" s="198">
        <v>0</v>
      </c>
      <c r="BL334" s="198">
        <v>0</v>
      </c>
      <c r="BM334" s="198">
        <v>0</v>
      </c>
      <c r="BN334" s="198">
        <v>0</v>
      </c>
      <c r="BO334" s="198">
        <v>0</v>
      </c>
      <c r="BP334" s="198">
        <v>0</v>
      </c>
      <c r="BQ334" s="198">
        <v>5812</v>
      </c>
      <c r="BR334" s="198">
        <v>928.1</v>
      </c>
      <c r="BS334" s="198">
        <v>0</v>
      </c>
      <c r="BT334" s="198">
        <v>0</v>
      </c>
      <c r="BU334" s="198">
        <v>3344.6</v>
      </c>
      <c r="BV334" s="198">
        <v>0</v>
      </c>
      <c r="BW334" s="198">
        <v>0</v>
      </c>
      <c r="BX334" s="198">
        <v>5504</v>
      </c>
      <c r="BY334" s="198">
        <v>0</v>
      </c>
      <c r="BZ334" s="198">
        <v>0</v>
      </c>
      <c r="CA334" s="198">
        <v>0</v>
      </c>
      <c r="CB334" s="198">
        <v>0</v>
      </c>
      <c r="CC334" s="198">
        <v>0</v>
      </c>
      <c r="CD334" s="198">
        <v>0</v>
      </c>
      <c r="CE334" s="198">
        <v>0</v>
      </c>
      <c r="CF334" s="198">
        <v>0</v>
      </c>
      <c r="CG334" s="198">
        <v>0</v>
      </c>
      <c r="CH334" s="198">
        <v>0</v>
      </c>
      <c r="CI334" s="198">
        <v>0</v>
      </c>
      <c r="CJ334" s="198">
        <v>0</v>
      </c>
      <c r="CK334" s="88"/>
    </row>
    <row r="335" spans="1:89" x14ac:dyDescent="0.3">
      <c r="A335" s="173"/>
      <c r="B335" s="197" t="s">
        <v>338</v>
      </c>
      <c r="C335" s="198">
        <v>0</v>
      </c>
      <c r="D335" s="198">
        <v>0</v>
      </c>
      <c r="E335" s="198">
        <v>0</v>
      </c>
      <c r="F335" s="198">
        <v>0</v>
      </c>
      <c r="G335" s="198">
        <v>0</v>
      </c>
      <c r="H335" s="198">
        <v>0</v>
      </c>
      <c r="I335" s="198">
        <v>0</v>
      </c>
      <c r="J335" s="198">
        <v>0</v>
      </c>
      <c r="K335" s="198">
        <v>0</v>
      </c>
      <c r="L335" s="198">
        <v>0</v>
      </c>
      <c r="M335" s="198">
        <v>0</v>
      </c>
      <c r="N335" s="198">
        <v>0</v>
      </c>
      <c r="O335" s="198">
        <v>0</v>
      </c>
      <c r="P335" s="198">
        <v>0</v>
      </c>
      <c r="Q335" s="198">
        <v>0</v>
      </c>
      <c r="R335" s="198">
        <v>0</v>
      </c>
      <c r="S335" s="198">
        <v>0</v>
      </c>
      <c r="T335" s="198">
        <v>0</v>
      </c>
      <c r="U335" s="198">
        <v>0</v>
      </c>
      <c r="V335" s="198">
        <v>0</v>
      </c>
      <c r="W335" s="198">
        <v>0</v>
      </c>
      <c r="X335" s="198">
        <v>0</v>
      </c>
      <c r="Y335" s="198">
        <v>0</v>
      </c>
      <c r="Z335" s="198">
        <v>0</v>
      </c>
      <c r="AA335" s="198">
        <v>0</v>
      </c>
      <c r="AB335" s="198">
        <v>0</v>
      </c>
      <c r="AC335" s="198">
        <v>0</v>
      </c>
      <c r="AD335" s="198">
        <v>0</v>
      </c>
      <c r="AE335" s="198">
        <v>0</v>
      </c>
      <c r="AF335" s="198">
        <v>0</v>
      </c>
      <c r="AG335" s="198">
        <v>0</v>
      </c>
      <c r="AH335" s="198">
        <v>0</v>
      </c>
      <c r="AI335" s="198">
        <v>0</v>
      </c>
      <c r="AJ335" s="198">
        <v>0</v>
      </c>
      <c r="AK335" s="198">
        <v>0</v>
      </c>
      <c r="AL335" s="198">
        <v>0</v>
      </c>
      <c r="AM335" s="198">
        <v>0</v>
      </c>
      <c r="AN335" s="198">
        <v>0</v>
      </c>
      <c r="AO335" s="198">
        <v>0</v>
      </c>
      <c r="AP335" s="198">
        <v>0</v>
      </c>
      <c r="AQ335" s="198">
        <v>0</v>
      </c>
      <c r="AR335" s="198">
        <v>0</v>
      </c>
      <c r="AS335" s="198">
        <v>0</v>
      </c>
      <c r="AT335" s="198">
        <v>0</v>
      </c>
      <c r="AU335" s="198">
        <v>0</v>
      </c>
      <c r="AV335" s="198">
        <v>0</v>
      </c>
      <c r="AW335" s="198">
        <v>1201.5999999999999</v>
      </c>
      <c r="AX335" s="198">
        <v>0</v>
      </c>
      <c r="AY335" s="198">
        <v>0</v>
      </c>
      <c r="AZ335" s="198">
        <v>0</v>
      </c>
      <c r="BA335" s="198">
        <v>0</v>
      </c>
      <c r="BB335" s="198">
        <v>0</v>
      </c>
      <c r="BC335" s="198">
        <v>0</v>
      </c>
      <c r="BD335" s="198">
        <v>0</v>
      </c>
      <c r="BE335" s="198">
        <v>0</v>
      </c>
      <c r="BF335" s="198">
        <v>0</v>
      </c>
      <c r="BG335" s="198">
        <v>0</v>
      </c>
      <c r="BH335" s="198">
        <v>0</v>
      </c>
      <c r="BI335" s="198">
        <v>0</v>
      </c>
      <c r="BJ335" s="198">
        <v>0</v>
      </c>
      <c r="BK335" s="198">
        <v>0</v>
      </c>
      <c r="BL335" s="198">
        <v>0</v>
      </c>
      <c r="BM335" s="198">
        <v>0</v>
      </c>
      <c r="BN335" s="198">
        <v>0</v>
      </c>
      <c r="BO335" s="198">
        <v>0</v>
      </c>
      <c r="BP335" s="198">
        <v>0</v>
      </c>
      <c r="BQ335" s="198">
        <v>0</v>
      </c>
      <c r="BR335" s="198">
        <v>0</v>
      </c>
      <c r="BS335" s="198">
        <v>0</v>
      </c>
      <c r="BT335" s="198">
        <v>0</v>
      </c>
      <c r="BU335" s="198">
        <v>0</v>
      </c>
      <c r="BV335" s="198">
        <v>0</v>
      </c>
      <c r="BW335" s="198">
        <v>0</v>
      </c>
      <c r="BX335" s="198">
        <v>0</v>
      </c>
      <c r="BY335" s="198">
        <v>0</v>
      </c>
      <c r="BZ335" s="198">
        <v>0</v>
      </c>
      <c r="CA335" s="198">
        <v>0</v>
      </c>
      <c r="CB335" s="198">
        <v>0</v>
      </c>
      <c r="CC335" s="198">
        <v>0</v>
      </c>
      <c r="CD335" s="198">
        <v>0</v>
      </c>
      <c r="CE335" s="198">
        <v>0</v>
      </c>
      <c r="CF335" s="198">
        <v>0</v>
      </c>
      <c r="CG335" s="198">
        <v>0</v>
      </c>
      <c r="CH335" s="198">
        <v>0</v>
      </c>
      <c r="CI335" s="198">
        <v>0</v>
      </c>
      <c r="CJ335" s="198">
        <v>0</v>
      </c>
      <c r="CK335" s="88"/>
    </row>
    <row r="336" spans="1:89" x14ac:dyDescent="0.3">
      <c r="A336" s="173"/>
      <c r="B336" s="197" t="s">
        <v>204</v>
      </c>
      <c r="C336" s="198">
        <v>0</v>
      </c>
      <c r="D336" s="198">
        <v>0</v>
      </c>
      <c r="E336" s="198">
        <v>0</v>
      </c>
      <c r="F336" s="198">
        <v>0</v>
      </c>
      <c r="G336" s="198">
        <v>0</v>
      </c>
      <c r="H336" s="198">
        <v>0</v>
      </c>
      <c r="I336" s="198">
        <v>0</v>
      </c>
      <c r="J336" s="198">
        <v>0</v>
      </c>
      <c r="K336" s="198">
        <v>0</v>
      </c>
      <c r="L336" s="198">
        <v>0</v>
      </c>
      <c r="M336" s="198">
        <v>0</v>
      </c>
      <c r="N336" s="198">
        <v>0</v>
      </c>
      <c r="O336" s="198">
        <v>0</v>
      </c>
      <c r="P336" s="198">
        <v>0</v>
      </c>
      <c r="Q336" s="198">
        <v>0</v>
      </c>
      <c r="R336" s="198">
        <v>0</v>
      </c>
      <c r="S336" s="198">
        <v>0</v>
      </c>
      <c r="T336" s="198">
        <v>0</v>
      </c>
      <c r="U336" s="198">
        <v>0</v>
      </c>
      <c r="V336" s="198">
        <v>0</v>
      </c>
      <c r="W336" s="198">
        <v>0</v>
      </c>
      <c r="X336" s="198">
        <v>0</v>
      </c>
      <c r="Y336" s="198">
        <v>0</v>
      </c>
      <c r="Z336" s="198">
        <v>0</v>
      </c>
      <c r="AA336" s="198">
        <v>0</v>
      </c>
      <c r="AB336" s="198">
        <v>0</v>
      </c>
      <c r="AC336" s="198">
        <v>0</v>
      </c>
      <c r="AD336" s="198">
        <v>0</v>
      </c>
      <c r="AE336" s="198">
        <v>0</v>
      </c>
      <c r="AF336" s="198">
        <v>0</v>
      </c>
      <c r="AG336" s="198">
        <v>0</v>
      </c>
      <c r="AH336" s="198">
        <v>0</v>
      </c>
      <c r="AI336" s="198">
        <v>0</v>
      </c>
      <c r="AJ336" s="198">
        <v>0</v>
      </c>
      <c r="AK336" s="198">
        <v>0</v>
      </c>
      <c r="AL336" s="198">
        <v>0</v>
      </c>
      <c r="AM336" s="198">
        <v>0</v>
      </c>
      <c r="AN336" s="198">
        <v>0</v>
      </c>
      <c r="AO336" s="198">
        <v>0</v>
      </c>
      <c r="AP336" s="198">
        <v>0</v>
      </c>
      <c r="AQ336" s="198">
        <v>0</v>
      </c>
      <c r="AR336" s="198">
        <v>0</v>
      </c>
      <c r="AS336" s="198">
        <v>0</v>
      </c>
      <c r="AT336" s="198">
        <v>0</v>
      </c>
      <c r="AU336" s="198">
        <v>0</v>
      </c>
      <c r="AV336" s="198">
        <v>0</v>
      </c>
      <c r="AW336" s="198">
        <v>0</v>
      </c>
      <c r="AX336" s="198">
        <v>0</v>
      </c>
      <c r="AY336" s="198">
        <v>0</v>
      </c>
      <c r="AZ336" s="198">
        <v>0</v>
      </c>
      <c r="BA336" s="198">
        <v>0</v>
      </c>
      <c r="BB336" s="198">
        <v>0</v>
      </c>
      <c r="BC336" s="198">
        <v>0</v>
      </c>
      <c r="BD336" s="198">
        <v>0</v>
      </c>
      <c r="BE336" s="198">
        <v>0</v>
      </c>
      <c r="BF336" s="198">
        <v>0</v>
      </c>
      <c r="BG336" s="198">
        <v>0</v>
      </c>
      <c r="BH336" s="198">
        <v>0</v>
      </c>
      <c r="BI336" s="198">
        <v>0</v>
      </c>
      <c r="BJ336" s="198">
        <v>0</v>
      </c>
      <c r="BK336" s="198">
        <v>0</v>
      </c>
      <c r="BL336" s="198">
        <v>0</v>
      </c>
      <c r="BM336" s="198">
        <v>5425.8</v>
      </c>
      <c r="BN336" s="198">
        <v>0</v>
      </c>
      <c r="BO336" s="198">
        <v>0</v>
      </c>
      <c r="BP336" s="198">
        <v>0</v>
      </c>
      <c r="BQ336" s="198">
        <v>0</v>
      </c>
      <c r="BR336" s="198">
        <v>0</v>
      </c>
      <c r="BS336" s="198">
        <v>0</v>
      </c>
      <c r="BT336" s="198">
        <v>0</v>
      </c>
      <c r="BU336" s="198">
        <v>0</v>
      </c>
      <c r="BV336" s="198">
        <v>0</v>
      </c>
      <c r="BW336" s="198">
        <v>0</v>
      </c>
      <c r="BX336" s="198">
        <v>0</v>
      </c>
      <c r="BY336" s="198">
        <v>0</v>
      </c>
      <c r="BZ336" s="198">
        <v>0</v>
      </c>
      <c r="CA336" s="198">
        <v>0</v>
      </c>
      <c r="CB336" s="198">
        <v>0</v>
      </c>
      <c r="CC336" s="198">
        <v>0</v>
      </c>
      <c r="CD336" s="198">
        <v>0</v>
      </c>
      <c r="CE336" s="198">
        <v>0</v>
      </c>
      <c r="CF336" s="198">
        <v>0</v>
      </c>
      <c r="CG336" s="198">
        <v>0</v>
      </c>
      <c r="CH336" s="198">
        <v>0</v>
      </c>
      <c r="CI336" s="198">
        <v>0</v>
      </c>
      <c r="CJ336" s="198">
        <v>0</v>
      </c>
      <c r="CK336" s="88"/>
    </row>
    <row r="337" spans="1:89" x14ac:dyDescent="0.3">
      <c r="A337" s="173"/>
      <c r="B337" s="197" t="s">
        <v>291</v>
      </c>
      <c r="C337" s="198">
        <v>0</v>
      </c>
      <c r="D337" s="198">
        <v>0</v>
      </c>
      <c r="E337" s="198">
        <v>0</v>
      </c>
      <c r="F337" s="198">
        <v>0</v>
      </c>
      <c r="G337" s="198">
        <v>0</v>
      </c>
      <c r="H337" s="198">
        <v>0</v>
      </c>
      <c r="I337" s="198">
        <v>0</v>
      </c>
      <c r="J337" s="198">
        <v>0</v>
      </c>
      <c r="K337" s="198">
        <v>0</v>
      </c>
      <c r="L337" s="198">
        <v>0</v>
      </c>
      <c r="M337" s="198">
        <v>0</v>
      </c>
      <c r="N337" s="198">
        <v>0</v>
      </c>
      <c r="O337" s="198">
        <v>0</v>
      </c>
      <c r="P337" s="198">
        <v>0</v>
      </c>
      <c r="Q337" s="198">
        <v>0</v>
      </c>
      <c r="R337" s="198">
        <v>0</v>
      </c>
      <c r="S337" s="198">
        <v>0</v>
      </c>
      <c r="T337" s="198">
        <v>0</v>
      </c>
      <c r="U337" s="198">
        <v>0</v>
      </c>
      <c r="V337" s="198">
        <v>0</v>
      </c>
      <c r="W337" s="198">
        <v>0</v>
      </c>
      <c r="X337" s="198">
        <v>0</v>
      </c>
      <c r="Y337" s="198">
        <v>0</v>
      </c>
      <c r="Z337" s="198">
        <v>0</v>
      </c>
      <c r="AA337" s="198">
        <v>0</v>
      </c>
      <c r="AB337" s="198">
        <v>0</v>
      </c>
      <c r="AC337" s="198">
        <v>0</v>
      </c>
      <c r="AD337" s="198">
        <v>0</v>
      </c>
      <c r="AE337" s="198">
        <v>0</v>
      </c>
      <c r="AF337" s="198">
        <v>0</v>
      </c>
      <c r="AG337" s="198">
        <v>0</v>
      </c>
      <c r="AH337" s="198">
        <v>0</v>
      </c>
      <c r="AI337" s="198">
        <v>0</v>
      </c>
      <c r="AJ337" s="198">
        <v>0</v>
      </c>
      <c r="AK337" s="198">
        <v>0</v>
      </c>
      <c r="AL337" s="198">
        <v>0</v>
      </c>
      <c r="AM337" s="198">
        <v>0</v>
      </c>
      <c r="AN337" s="198">
        <v>0</v>
      </c>
      <c r="AO337" s="198">
        <v>0</v>
      </c>
      <c r="AP337" s="198">
        <v>0</v>
      </c>
      <c r="AQ337" s="198">
        <v>0</v>
      </c>
      <c r="AR337" s="198">
        <v>0</v>
      </c>
      <c r="AS337" s="198">
        <v>0</v>
      </c>
      <c r="AT337" s="198">
        <v>0</v>
      </c>
      <c r="AU337" s="198">
        <v>0</v>
      </c>
      <c r="AV337" s="198">
        <v>0</v>
      </c>
      <c r="AW337" s="198">
        <v>0</v>
      </c>
      <c r="AX337" s="198">
        <v>0</v>
      </c>
      <c r="AY337" s="198">
        <v>0</v>
      </c>
      <c r="AZ337" s="198">
        <v>0</v>
      </c>
      <c r="BA337" s="198">
        <v>0</v>
      </c>
      <c r="BB337" s="198">
        <v>0</v>
      </c>
      <c r="BC337" s="198">
        <v>0</v>
      </c>
      <c r="BD337" s="198">
        <v>0</v>
      </c>
      <c r="BE337" s="198">
        <v>0</v>
      </c>
      <c r="BF337" s="198">
        <v>0</v>
      </c>
      <c r="BG337" s="198">
        <v>0</v>
      </c>
      <c r="BH337" s="198">
        <v>0</v>
      </c>
      <c r="BI337" s="198">
        <v>0</v>
      </c>
      <c r="BJ337" s="198">
        <v>0</v>
      </c>
      <c r="BK337" s="198">
        <v>0</v>
      </c>
      <c r="BL337" s="198">
        <v>0</v>
      </c>
      <c r="BM337" s="198">
        <v>3146.5</v>
      </c>
      <c r="BN337" s="198">
        <v>0</v>
      </c>
      <c r="BO337" s="198">
        <v>0</v>
      </c>
      <c r="BP337" s="198">
        <v>0</v>
      </c>
      <c r="BQ337" s="198">
        <v>1655.1</v>
      </c>
      <c r="BR337" s="198">
        <v>0</v>
      </c>
      <c r="BS337" s="198">
        <v>0</v>
      </c>
      <c r="BT337" s="198">
        <v>0</v>
      </c>
      <c r="BU337" s="198">
        <v>0</v>
      </c>
      <c r="BV337" s="198">
        <v>0</v>
      </c>
      <c r="BW337" s="198">
        <v>0</v>
      </c>
      <c r="BX337" s="198">
        <v>0</v>
      </c>
      <c r="BY337" s="198">
        <v>0</v>
      </c>
      <c r="BZ337" s="198">
        <v>0</v>
      </c>
      <c r="CA337" s="198">
        <v>0</v>
      </c>
      <c r="CB337" s="198">
        <v>0</v>
      </c>
      <c r="CC337" s="198">
        <v>0</v>
      </c>
      <c r="CD337" s="198">
        <v>0</v>
      </c>
      <c r="CE337" s="198">
        <v>0</v>
      </c>
      <c r="CF337" s="198">
        <v>0</v>
      </c>
      <c r="CG337" s="198">
        <v>0</v>
      </c>
      <c r="CH337" s="198">
        <v>0</v>
      </c>
      <c r="CI337" s="198">
        <v>0</v>
      </c>
      <c r="CJ337" s="198">
        <v>0</v>
      </c>
      <c r="CK337" s="88"/>
    </row>
    <row r="338" spans="1:89" x14ac:dyDescent="0.3">
      <c r="A338" s="173"/>
      <c r="B338" s="197" t="s">
        <v>344</v>
      </c>
      <c r="C338" s="198">
        <v>0</v>
      </c>
      <c r="D338" s="198">
        <v>0</v>
      </c>
      <c r="E338" s="198">
        <v>0</v>
      </c>
      <c r="F338" s="198">
        <v>0</v>
      </c>
      <c r="G338" s="198">
        <v>0</v>
      </c>
      <c r="H338" s="198">
        <v>0</v>
      </c>
      <c r="I338" s="198">
        <v>0</v>
      </c>
      <c r="J338" s="198">
        <v>0</v>
      </c>
      <c r="K338" s="198">
        <v>0</v>
      </c>
      <c r="L338" s="198">
        <v>0</v>
      </c>
      <c r="M338" s="198">
        <v>0</v>
      </c>
      <c r="N338" s="198">
        <v>0</v>
      </c>
      <c r="O338" s="198">
        <v>0</v>
      </c>
      <c r="P338" s="198">
        <v>0</v>
      </c>
      <c r="Q338" s="198">
        <v>0</v>
      </c>
      <c r="R338" s="198">
        <v>0</v>
      </c>
      <c r="S338" s="198">
        <v>0</v>
      </c>
      <c r="T338" s="198">
        <v>0</v>
      </c>
      <c r="U338" s="198">
        <v>0</v>
      </c>
      <c r="V338" s="198">
        <v>0</v>
      </c>
      <c r="W338" s="198">
        <v>0</v>
      </c>
      <c r="X338" s="198">
        <v>0</v>
      </c>
      <c r="Y338" s="198">
        <v>0</v>
      </c>
      <c r="Z338" s="198">
        <v>0</v>
      </c>
      <c r="AA338" s="198">
        <v>0</v>
      </c>
      <c r="AB338" s="198">
        <v>0</v>
      </c>
      <c r="AC338" s="198">
        <v>0</v>
      </c>
      <c r="AD338" s="198">
        <v>0</v>
      </c>
      <c r="AE338" s="198">
        <v>0</v>
      </c>
      <c r="AF338" s="198">
        <v>0</v>
      </c>
      <c r="AG338" s="198">
        <v>0</v>
      </c>
      <c r="AH338" s="198">
        <v>0</v>
      </c>
      <c r="AI338" s="198">
        <v>0</v>
      </c>
      <c r="AJ338" s="198">
        <v>0</v>
      </c>
      <c r="AK338" s="198">
        <v>0</v>
      </c>
      <c r="AL338" s="198">
        <v>0</v>
      </c>
      <c r="AM338" s="198">
        <v>0</v>
      </c>
      <c r="AN338" s="198">
        <v>0</v>
      </c>
      <c r="AO338" s="198">
        <v>0</v>
      </c>
      <c r="AP338" s="198">
        <v>0</v>
      </c>
      <c r="AQ338" s="198">
        <v>0</v>
      </c>
      <c r="AR338" s="198">
        <v>0</v>
      </c>
      <c r="AS338" s="198">
        <v>0</v>
      </c>
      <c r="AT338" s="198">
        <v>0</v>
      </c>
      <c r="AU338" s="198">
        <v>0</v>
      </c>
      <c r="AV338" s="198">
        <v>0</v>
      </c>
      <c r="AW338" s="198">
        <v>0</v>
      </c>
      <c r="AX338" s="198">
        <v>0</v>
      </c>
      <c r="AY338" s="198">
        <v>0</v>
      </c>
      <c r="AZ338" s="198">
        <v>0</v>
      </c>
      <c r="BA338" s="198">
        <v>0</v>
      </c>
      <c r="BB338" s="198">
        <v>0</v>
      </c>
      <c r="BC338" s="198">
        <v>0</v>
      </c>
      <c r="BD338" s="198">
        <v>0</v>
      </c>
      <c r="BE338" s="198">
        <v>0</v>
      </c>
      <c r="BF338" s="198">
        <v>0</v>
      </c>
      <c r="BG338" s="198">
        <v>0</v>
      </c>
      <c r="BH338" s="198">
        <v>0</v>
      </c>
      <c r="BI338" s="198">
        <v>0</v>
      </c>
      <c r="BJ338" s="198">
        <v>0</v>
      </c>
      <c r="BK338" s="198">
        <v>0</v>
      </c>
      <c r="BL338" s="198">
        <v>0</v>
      </c>
      <c r="BM338" s="198">
        <v>2480.9</v>
      </c>
      <c r="BN338" s="198">
        <v>471.7</v>
      </c>
      <c r="BO338" s="198">
        <v>0</v>
      </c>
      <c r="BP338" s="198">
        <v>0</v>
      </c>
      <c r="BQ338" s="198">
        <v>0</v>
      </c>
      <c r="BR338" s="198">
        <v>0</v>
      </c>
      <c r="BS338" s="198">
        <v>0</v>
      </c>
      <c r="BT338" s="198">
        <v>0</v>
      </c>
      <c r="BU338" s="198">
        <v>0</v>
      </c>
      <c r="BV338" s="198">
        <v>0</v>
      </c>
      <c r="BW338" s="198">
        <v>0</v>
      </c>
      <c r="BX338" s="198">
        <v>0</v>
      </c>
      <c r="BY338" s="198">
        <v>0</v>
      </c>
      <c r="BZ338" s="198">
        <v>0</v>
      </c>
      <c r="CA338" s="198">
        <v>0</v>
      </c>
      <c r="CB338" s="198">
        <v>0</v>
      </c>
      <c r="CC338" s="198">
        <v>0</v>
      </c>
      <c r="CD338" s="198">
        <v>0</v>
      </c>
      <c r="CE338" s="198">
        <v>0</v>
      </c>
      <c r="CF338" s="198">
        <v>0</v>
      </c>
      <c r="CG338" s="198">
        <v>0</v>
      </c>
      <c r="CH338" s="198">
        <v>0</v>
      </c>
      <c r="CI338" s="198">
        <v>0</v>
      </c>
      <c r="CJ338" s="198">
        <v>0</v>
      </c>
      <c r="CK338" s="88"/>
    </row>
    <row r="339" spans="1:89" x14ac:dyDescent="0.3">
      <c r="A339" s="173"/>
      <c r="B339" s="197" t="s">
        <v>371</v>
      </c>
      <c r="C339" s="198">
        <v>0</v>
      </c>
      <c r="D339" s="198">
        <v>0</v>
      </c>
      <c r="E339" s="198">
        <v>0</v>
      </c>
      <c r="F339" s="198">
        <v>0</v>
      </c>
      <c r="G339" s="198">
        <v>0</v>
      </c>
      <c r="H339" s="198">
        <v>0</v>
      </c>
      <c r="I339" s="198">
        <v>0</v>
      </c>
      <c r="J339" s="198">
        <v>0</v>
      </c>
      <c r="K339" s="198">
        <v>0</v>
      </c>
      <c r="L339" s="198">
        <v>0</v>
      </c>
      <c r="M339" s="198">
        <v>0</v>
      </c>
      <c r="N339" s="198">
        <v>0</v>
      </c>
      <c r="O339" s="198">
        <v>0</v>
      </c>
      <c r="P339" s="198">
        <v>0</v>
      </c>
      <c r="Q339" s="198">
        <v>0</v>
      </c>
      <c r="R339" s="198">
        <v>0</v>
      </c>
      <c r="S339" s="198">
        <v>0</v>
      </c>
      <c r="T339" s="198">
        <v>0</v>
      </c>
      <c r="U339" s="198">
        <v>0</v>
      </c>
      <c r="V339" s="198">
        <v>0</v>
      </c>
      <c r="W339" s="198">
        <v>0</v>
      </c>
      <c r="X339" s="198">
        <v>0</v>
      </c>
      <c r="Y339" s="198">
        <v>0</v>
      </c>
      <c r="Z339" s="198">
        <v>0</v>
      </c>
      <c r="AA339" s="198">
        <v>0</v>
      </c>
      <c r="AB339" s="198">
        <v>0</v>
      </c>
      <c r="AC339" s="198">
        <v>0</v>
      </c>
      <c r="AD339" s="198">
        <v>0</v>
      </c>
      <c r="AE339" s="198">
        <v>0</v>
      </c>
      <c r="AF339" s="198">
        <v>0</v>
      </c>
      <c r="AG339" s="198">
        <v>0</v>
      </c>
      <c r="AH339" s="198">
        <v>0</v>
      </c>
      <c r="AI339" s="198">
        <v>0</v>
      </c>
      <c r="AJ339" s="198">
        <v>0</v>
      </c>
      <c r="AK339" s="198">
        <v>0</v>
      </c>
      <c r="AL339" s="198">
        <v>0</v>
      </c>
      <c r="AM339" s="198">
        <v>0</v>
      </c>
      <c r="AN339" s="198">
        <v>0</v>
      </c>
      <c r="AO339" s="198">
        <v>0</v>
      </c>
      <c r="AP339" s="198">
        <v>0</v>
      </c>
      <c r="AQ339" s="198">
        <v>0</v>
      </c>
      <c r="AR339" s="198">
        <v>0</v>
      </c>
      <c r="AS339" s="198">
        <v>0</v>
      </c>
      <c r="AT339" s="198">
        <v>0</v>
      </c>
      <c r="AU339" s="198">
        <v>0</v>
      </c>
      <c r="AV339" s="198">
        <v>0</v>
      </c>
      <c r="AW339" s="198">
        <v>0</v>
      </c>
      <c r="AX339" s="198">
        <v>0</v>
      </c>
      <c r="AY339" s="198">
        <v>0</v>
      </c>
      <c r="AZ339" s="198">
        <v>0</v>
      </c>
      <c r="BA339" s="198">
        <v>0</v>
      </c>
      <c r="BB339" s="198">
        <v>0</v>
      </c>
      <c r="BC339" s="198">
        <v>0</v>
      </c>
      <c r="BD339" s="198">
        <v>0</v>
      </c>
      <c r="BE339" s="198">
        <v>0</v>
      </c>
      <c r="BF339" s="198">
        <v>0</v>
      </c>
      <c r="BG339" s="198">
        <v>0</v>
      </c>
      <c r="BH339" s="198">
        <v>0</v>
      </c>
      <c r="BI339" s="198">
        <v>0</v>
      </c>
      <c r="BJ339" s="198">
        <v>0</v>
      </c>
      <c r="BK339" s="198">
        <v>0</v>
      </c>
      <c r="BL339" s="198">
        <v>0</v>
      </c>
      <c r="BM339" s="198">
        <v>467.3</v>
      </c>
      <c r="BN339" s="198">
        <v>0</v>
      </c>
      <c r="BO339" s="198">
        <v>1450.2</v>
      </c>
      <c r="BP339" s="198">
        <v>0</v>
      </c>
      <c r="BQ339" s="198">
        <v>0</v>
      </c>
      <c r="BR339" s="198">
        <v>0</v>
      </c>
      <c r="BS339" s="198">
        <v>0</v>
      </c>
      <c r="BT339" s="198">
        <v>0</v>
      </c>
      <c r="BU339" s="198">
        <v>0</v>
      </c>
      <c r="BV339" s="198">
        <v>0</v>
      </c>
      <c r="BW339" s="198">
        <v>0</v>
      </c>
      <c r="BX339" s="198">
        <v>0</v>
      </c>
      <c r="BY339" s="198">
        <v>0</v>
      </c>
      <c r="BZ339" s="198">
        <v>0</v>
      </c>
      <c r="CA339" s="198">
        <v>0</v>
      </c>
      <c r="CB339" s="198">
        <v>0</v>
      </c>
      <c r="CC339" s="198">
        <v>0</v>
      </c>
      <c r="CD339" s="198">
        <v>0</v>
      </c>
      <c r="CE339" s="198">
        <v>0</v>
      </c>
      <c r="CF339" s="198">
        <v>0</v>
      </c>
      <c r="CG339" s="198">
        <v>0</v>
      </c>
      <c r="CH339" s="198">
        <v>0</v>
      </c>
      <c r="CI339" s="198">
        <v>0</v>
      </c>
      <c r="CJ339" s="198">
        <v>0</v>
      </c>
      <c r="CK339" s="88"/>
    </row>
    <row r="340" spans="1:89" x14ac:dyDescent="0.3">
      <c r="A340" s="173"/>
      <c r="B340" s="197" t="s">
        <v>345</v>
      </c>
      <c r="C340" s="198">
        <v>0</v>
      </c>
      <c r="D340" s="198">
        <v>0</v>
      </c>
      <c r="E340" s="198">
        <v>0</v>
      </c>
      <c r="F340" s="198">
        <v>0</v>
      </c>
      <c r="G340" s="198">
        <v>0</v>
      </c>
      <c r="H340" s="198">
        <v>0</v>
      </c>
      <c r="I340" s="198">
        <v>0</v>
      </c>
      <c r="J340" s="198">
        <v>0</v>
      </c>
      <c r="K340" s="198">
        <v>0</v>
      </c>
      <c r="L340" s="198">
        <v>0</v>
      </c>
      <c r="M340" s="198">
        <v>0</v>
      </c>
      <c r="N340" s="198">
        <v>0</v>
      </c>
      <c r="O340" s="198">
        <v>0</v>
      </c>
      <c r="P340" s="198">
        <v>0</v>
      </c>
      <c r="Q340" s="198">
        <v>0</v>
      </c>
      <c r="R340" s="198">
        <v>0</v>
      </c>
      <c r="S340" s="198">
        <v>0</v>
      </c>
      <c r="T340" s="198">
        <v>0</v>
      </c>
      <c r="U340" s="198">
        <v>0</v>
      </c>
      <c r="V340" s="198">
        <v>0</v>
      </c>
      <c r="W340" s="198">
        <v>0</v>
      </c>
      <c r="X340" s="198">
        <v>0</v>
      </c>
      <c r="Y340" s="198">
        <v>0</v>
      </c>
      <c r="Z340" s="198">
        <v>0</v>
      </c>
      <c r="AA340" s="198">
        <v>0</v>
      </c>
      <c r="AB340" s="198">
        <v>0</v>
      </c>
      <c r="AC340" s="198">
        <v>0</v>
      </c>
      <c r="AD340" s="198">
        <v>0</v>
      </c>
      <c r="AE340" s="198">
        <v>0</v>
      </c>
      <c r="AF340" s="198">
        <v>0</v>
      </c>
      <c r="AG340" s="198">
        <v>0</v>
      </c>
      <c r="AH340" s="198">
        <v>0</v>
      </c>
      <c r="AI340" s="198">
        <v>0</v>
      </c>
      <c r="AJ340" s="198">
        <v>0</v>
      </c>
      <c r="AK340" s="198">
        <v>0</v>
      </c>
      <c r="AL340" s="198">
        <v>0</v>
      </c>
      <c r="AM340" s="198">
        <v>0</v>
      </c>
      <c r="AN340" s="198">
        <v>0</v>
      </c>
      <c r="AO340" s="198">
        <v>0</v>
      </c>
      <c r="AP340" s="198">
        <v>0</v>
      </c>
      <c r="AQ340" s="198">
        <v>0</v>
      </c>
      <c r="AR340" s="198">
        <v>0</v>
      </c>
      <c r="AS340" s="198">
        <v>0</v>
      </c>
      <c r="AT340" s="198">
        <v>0</v>
      </c>
      <c r="AU340" s="198">
        <v>0</v>
      </c>
      <c r="AV340" s="198">
        <v>0</v>
      </c>
      <c r="AW340" s="198">
        <v>0</v>
      </c>
      <c r="AX340" s="198">
        <v>0</v>
      </c>
      <c r="AY340" s="198">
        <v>0</v>
      </c>
      <c r="AZ340" s="198">
        <v>0</v>
      </c>
      <c r="BA340" s="198">
        <v>0</v>
      </c>
      <c r="BB340" s="198">
        <v>0</v>
      </c>
      <c r="BC340" s="198">
        <v>0</v>
      </c>
      <c r="BD340" s="198">
        <v>0</v>
      </c>
      <c r="BE340" s="198">
        <v>0</v>
      </c>
      <c r="BF340" s="198">
        <v>0</v>
      </c>
      <c r="BG340" s="198">
        <v>0</v>
      </c>
      <c r="BH340" s="198">
        <v>0</v>
      </c>
      <c r="BI340" s="198">
        <v>0</v>
      </c>
      <c r="BJ340" s="198">
        <v>0</v>
      </c>
      <c r="BK340" s="198">
        <v>0</v>
      </c>
      <c r="BL340" s="198">
        <v>0</v>
      </c>
      <c r="BM340" s="198">
        <v>7542.9</v>
      </c>
      <c r="BN340" s="198">
        <v>0</v>
      </c>
      <c r="BO340" s="198">
        <v>0</v>
      </c>
      <c r="BP340" s="198">
        <v>0</v>
      </c>
      <c r="BQ340" s="198">
        <v>46.4</v>
      </c>
      <c r="BR340" s="198">
        <v>109.5</v>
      </c>
      <c r="BS340" s="198">
        <v>0</v>
      </c>
      <c r="BT340" s="198">
        <v>2223.6999999999998</v>
      </c>
      <c r="BU340" s="198">
        <v>0</v>
      </c>
      <c r="BV340" s="198">
        <v>0</v>
      </c>
      <c r="BW340" s="198">
        <v>0</v>
      </c>
      <c r="BX340" s="198">
        <v>0</v>
      </c>
      <c r="BY340" s="198">
        <v>0</v>
      </c>
      <c r="BZ340" s="198">
        <v>0</v>
      </c>
      <c r="CA340" s="198">
        <v>0</v>
      </c>
      <c r="CB340" s="198">
        <v>0</v>
      </c>
      <c r="CC340" s="198">
        <v>0</v>
      </c>
      <c r="CD340" s="198">
        <v>0</v>
      </c>
      <c r="CE340" s="198">
        <v>0</v>
      </c>
      <c r="CF340" s="198">
        <v>0</v>
      </c>
      <c r="CG340" s="198">
        <v>0</v>
      </c>
      <c r="CH340" s="198">
        <v>0</v>
      </c>
      <c r="CI340" s="198">
        <v>0</v>
      </c>
      <c r="CJ340" s="198">
        <v>0</v>
      </c>
      <c r="CK340" s="88"/>
    </row>
    <row r="341" spans="1:89" x14ac:dyDescent="0.3">
      <c r="A341" s="173"/>
      <c r="B341" s="197" t="s">
        <v>372</v>
      </c>
      <c r="C341" s="198">
        <v>0</v>
      </c>
      <c r="D341" s="198">
        <v>0</v>
      </c>
      <c r="E341" s="198">
        <v>0</v>
      </c>
      <c r="F341" s="198">
        <v>0</v>
      </c>
      <c r="G341" s="198">
        <v>0</v>
      </c>
      <c r="H341" s="198">
        <v>0</v>
      </c>
      <c r="I341" s="198">
        <v>0</v>
      </c>
      <c r="J341" s="198">
        <v>0</v>
      </c>
      <c r="K341" s="198">
        <v>0</v>
      </c>
      <c r="L341" s="198">
        <v>0</v>
      </c>
      <c r="M341" s="198">
        <v>0</v>
      </c>
      <c r="N341" s="198">
        <v>0</v>
      </c>
      <c r="O341" s="198">
        <v>0</v>
      </c>
      <c r="P341" s="198">
        <v>0</v>
      </c>
      <c r="Q341" s="198">
        <v>0</v>
      </c>
      <c r="R341" s="198">
        <v>0</v>
      </c>
      <c r="S341" s="198">
        <v>0</v>
      </c>
      <c r="T341" s="198">
        <v>0</v>
      </c>
      <c r="U341" s="198">
        <v>0</v>
      </c>
      <c r="V341" s="198">
        <v>0</v>
      </c>
      <c r="W341" s="198">
        <v>0</v>
      </c>
      <c r="X341" s="198">
        <v>0</v>
      </c>
      <c r="Y341" s="198">
        <v>0</v>
      </c>
      <c r="Z341" s="198">
        <v>0</v>
      </c>
      <c r="AA341" s="198">
        <v>0</v>
      </c>
      <c r="AB341" s="198">
        <v>0</v>
      </c>
      <c r="AC341" s="198">
        <v>0</v>
      </c>
      <c r="AD341" s="198">
        <v>0</v>
      </c>
      <c r="AE341" s="198">
        <v>0</v>
      </c>
      <c r="AF341" s="198">
        <v>0</v>
      </c>
      <c r="AG341" s="198">
        <v>0</v>
      </c>
      <c r="AH341" s="198">
        <v>0</v>
      </c>
      <c r="AI341" s="198">
        <v>0</v>
      </c>
      <c r="AJ341" s="198">
        <v>0</v>
      </c>
      <c r="AK341" s="198">
        <v>0</v>
      </c>
      <c r="AL341" s="198">
        <v>0</v>
      </c>
      <c r="AM341" s="198">
        <v>0</v>
      </c>
      <c r="AN341" s="198">
        <v>0</v>
      </c>
      <c r="AO341" s="198">
        <v>0</v>
      </c>
      <c r="AP341" s="198">
        <v>0</v>
      </c>
      <c r="AQ341" s="198">
        <v>0</v>
      </c>
      <c r="AR341" s="198">
        <v>0</v>
      </c>
      <c r="AS341" s="198">
        <v>0</v>
      </c>
      <c r="AT341" s="198">
        <v>0</v>
      </c>
      <c r="AU341" s="198">
        <v>0</v>
      </c>
      <c r="AV341" s="198">
        <v>0</v>
      </c>
      <c r="AW341" s="198">
        <v>0</v>
      </c>
      <c r="AX341" s="198">
        <v>0</v>
      </c>
      <c r="AY341" s="198">
        <v>0</v>
      </c>
      <c r="AZ341" s="198">
        <v>0</v>
      </c>
      <c r="BA341" s="198">
        <v>0</v>
      </c>
      <c r="BB341" s="198">
        <v>0</v>
      </c>
      <c r="BC341" s="198">
        <v>0</v>
      </c>
      <c r="BD341" s="198">
        <v>0</v>
      </c>
      <c r="BE341" s="198">
        <v>0</v>
      </c>
      <c r="BF341" s="198">
        <v>0</v>
      </c>
      <c r="BG341" s="198">
        <v>0</v>
      </c>
      <c r="BH341" s="198">
        <v>0</v>
      </c>
      <c r="BI341" s="198">
        <v>0</v>
      </c>
      <c r="BJ341" s="198">
        <v>0</v>
      </c>
      <c r="BK341" s="198">
        <v>0</v>
      </c>
      <c r="BL341" s="198">
        <v>0</v>
      </c>
      <c r="BM341" s="198">
        <v>276.2</v>
      </c>
      <c r="BN341" s="198">
        <v>0</v>
      </c>
      <c r="BO341" s="198">
        <v>0</v>
      </c>
      <c r="BP341" s="198">
        <v>0</v>
      </c>
      <c r="BQ341" s="198">
        <v>0</v>
      </c>
      <c r="BR341" s="198">
        <v>17.600000000000001</v>
      </c>
      <c r="BS341" s="198">
        <v>0</v>
      </c>
      <c r="BT341" s="198">
        <v>0</v>
      </c>
      <c r="BU341" s="198">
        <v>0</v>
      </c>
      <c r="BV341" s="198">
        <v>0</v>
      </c>
      <c r="BW341" s="198">
        <v>0</v>
      </c>
      <c r="BX341" s="198">
        <v>0</v>
      </c>
      <c r="BY341" s="198">
        <v>0</v>
      </c>
      <c r="BZ341" s="198">
        <v>0</v>
      </c>
      <c r="CA341" s="198">
        <v>0</v>
      </c>
      <c r="CB341" s="198">
        <v>0</v>
      </c>
      <c r="CC341" s="198">
        <v>0</v>
      </c>
      <c r="CD341" s="198">
        <v>0</v>
      </c>
      <c r="CE341" s="198">
        <v>0</v>
      </c>
      <c r="CF341" s="198">
        <v>0</v>
      </c>
      <c r="CG341" s="198">
        <v>0</v>
      </c>
      <c r="CH341" s="198">
        <v>0</v>
      </c>
      <c r="CI341" s="198">
        <v>0</v>
      </c>
      <c r="CJ341" s="198">
        <v>0</v>
      </c>
      <c r="CK341" s="88"/>
    </row>
    <row r="342" spans="1:89" x14ac:dyDescent="0.3">
      <c r="A342" s="173"/>
      <c r="B342" s="197" t="s">
        <v>408</v>
      </c>
      <c r="C342" s="198">
        <v>0</v>
      </c>
      <c r="D342" s="198">
        <v>0</v>
      </c>
      <c r="E342" s="198">
        <v>0</v>
      </c>
      <c r="F342" s="198">
        <v>0</v>
      </c>
      <c r="G342" s="198">
        <v>0</v>
      </c>
      <c r="H342" s="198">
        <v>0</v>
      </c>
      <c r="I342" s="198">
        <v>0</v>
      </c>
      <c r="J342" s="198">
        <v>0</v>
      </c>
      <c r="K342" s="198">
        <v>0</v>
      </c>
      <c r="L342" s="198">
        <v>0</v>
      </c>
      <c r="M342" s="198">
        <v>0</v>
      </c>
      <c r="N342" s="198">
        <v>0</v>
      </c>
      <c r="O342" s="198">
        <v>0</v>
      </c>
      <c r="P342" s="198">
        <v>0</v>
      </c>
      <c r="Q342" s="198">
        <v>0</v>
      </c>
      <c r="R342" s="198">
        <v>0</v>
      </c>
      <c r="S342" s="198">
        <v>0</v>
      </c>
      <c r="T342" s="198">
        <v>0</v>
      </c>
      <c r="U342" s="198">
        <v>0</v>
      </c>
      <c r="V342" s="198">
        <v>0</v>
      </c>
      <c r="W342" s="198">
        <v>0</v>
      </c>
      <c r="X342" s="198">
        <v>0</v>
      </c>
      <c r="Y342" s="198">
        <v>0</v>
      </c>
      <c r="Z342" s="198">
        <v>0</v>
      </c>
      <c r="AA342" s="198">
        <v>0</v>
      </c>
      <c r="AB342" s="198">
        <v>0</v>
      </c>
      <c r="AC342" s="198">
        <v>0</v>
      </c>
      <c r="AD342" s="198">
        <v>0</v>
      </c>
      <c r="AE342" s="198">
        <v>0</v>
      </c>
      <c r="AF342" s="198">
        <v>0</v>
      </c>
      <c r="AG342" s="198">
        <v>0</v>
      </c>
      <c r="AH342" s="198">
        <v>0</v>
      </c>
      <c r="AI342" s="198">
        <v>0</v>
      </c>
      <c r="AJ342" s="198">
        <v>0</v>
      </c>
      <c r="AK342" s="198">
        <v>0</v>
      </c>
      <c r="AL342" s="198">
        <v>0</v>
      </c>
      <c r="AM342" s="198">
        <v>0</v>
      </c>
      <c r="AN342" s="198">
        <v>0</v>
      </c>
      <c r="AO342" s="198">
        <v>0</v>
      </c>
      <c r="AP342" s="198">
        <v>0</v>
      </c>
      <c r="AQ342" s="198">
        <v>0</v>
      </c>
      <c r="AR342" s="198">
        <v>0</v>
      </c>
      <c r="AS342" s="198">
        <v>0</v>
      </c>
      <c r="AT342" s="198">
        <v>0</v>
      </c>
      <c r="AU342" s="198">
        <v>0</v>
      </c>
      <c r="AV342" s="198">
        <v>0</v>
      </c>
      <c r="AW342" s="198">
        <v>0</v>
      </c>
      <c r="AX342" s="198">
        <v>0</v>
      </c>
      <c r="AY342" s="198">
        <v>0</v>
      </c>
      <c r="AZ342" s="198">
        <v>0</v>
      </c>
      <c r="BA342" s="198">
        <v>0</v>
      </c>
      <c r="BB342" s="198">
        <v>0</v>
      </c>
      <c r="BC342" s="198">
        <v>0</v>
      </c>
      <c r="BD342" s="198">
        <v>0</v>
      </c>
      <c r="BE342" s="198">
        <v>0</v>
      </c>
      <c r="BF342" s="198">
        <v>0</v>
      </c>
      <c r="BG342" s="198">
        <v>0</v>
      </c>
      <c r="BH342" s="198">
        <v>0</v>
      </c>
      <c r="BI342" s="198">
        <v>0</v>
      </c>
      <c r="BJ342" s="198">
        <v>0</v>
      </c>
      <c r="BK342" s="198">
        <v>0</v>
      </c>
      <c r="BL342" s="198">
        <v>0</v>
      </c>
      <c r="BM342" s="198">
        <v>0</v>
      </c>
      <c r="BN342" s="198">
        <v>0</v>
      </c>
      <c r="BO342" s="198">
        <v>0</v>
      </c>
      <c r="BP342" s="198">
        <v>0</v>
      </c>
      <c r="BQ342" s="198">
        <v>0</v>
      </c>
      <c r="BR342" s="198">
        <v>0</v>
      </c>
      <c r="BS342" s="198">
        <v>0</v>
      </c>
      <c r="BT342" s="198">
        <v>0</v>
      </c>
      <c r="BU342" s="198">
        <v>0</v>
      </c>
      <c r="BV342" s="198">
        <v>0</v>
      </c>
      <c r="BW342" s="198">
        <v>0</v>
      </c>
      <c r="BX342" s="198">
        <v>0</v>
      </c>
      <c r="BY342" s="198">
        <v>0</v>
      </c>
      <c r="BZ342" s="198">
        <v>1639.2</v>
      </c>
      <c r="CA342" s="198">
        <v>0</v>
      </c>
      <c r="CB342" s="198">
        <v>0</v>
      </c>
      <c r="CC342" s="198">
        <v>0</v>
      </c>
      <c r="CD342" s="198">
        <v>0</v>
      </c>
      <c r="CE342" s="198">
        <v>0</v>
      </c>
      <c r="CF342" s="198">
        <v>0</v>
      </c>
      <c r="CG342" s="198">
        <v>0</v>
      </c>
      <c r="CH342" s="198">
        <v>0</v>
      </c>
      <c r="CI342" s="198">
        <v>0</v>
      </c>
      <c r="CJ342" s="198">
        <v>0</v>
      </c>
      <c r="CK342" s="88"/>
    </row>
    <row r="343" spans="1:89" x14ac:dyDescent="0.3">
      <c r="A343" s="173"/>
      <c r="B343" s="197" t="s">
        <v>388</v>
      </c>
      <c r="C343" s="198">
        <v>0</v>
      </c>
      <c r="D343" s="198">
        <v>0</v>
      </c>
      <c r="E343" s="198">
        <v>0</v>
      </c>
      <c r="F343" s="198">
        <v>0</v>
      </c>
      <c r="G343" s="198">
        <v>0</v>
      </c>
      <c r="H343" s="198">
        <v>0</v>
      </c>
      <c r="I343" s="198">
        <v>0</v>
      </c>
      <c r="J343" s="198">
        <v>0</v>
      </c>
      <c r="K343" s="198">
        <v>0</v>
      </c>
      <c r="L343" s="198">
        <v>0</v>
      </c>
      <c r="M343" s="198">
        <v>0</v>
      </c>
      <c r="N343" s="198">
        <v>0</v>
      </c>
      <c r="O343" s="198">
        <v>0</v>
      </c>
      <c r="P343" s="198">
        <v>0</v>
      </c>
      <c r="Q343" s="198">
        <v>0</v>
      </c>
      <c r="R343" s="198">
        <v>0</v>
      </c>
      <c r="S343" s="198">
        <v>0</v>
      </c>
      <c r="T343" s="198">
        <v>0</v>
      </c>
      <c r="U343" s="198">
        <v>0</v>
      </c>
      <c r="V343" s="198">
        <v>0</v>
      </c>
      <c r="W343" s="198">
        <v>0</v>
      </c>
      <c r="X343" s="198">
        <v>0</v>
      </c>
      <c r="Y343" s="198">
        <v>0</v>
      </c>
      <c r="Z343" s="198">
        <v>0</v>
      </c>
      <c r="AA343" s="198">
        <v>0</v>
      </c>
      <c r="AB343" s="198">
        <v>0</v>
      </c>
      <c r="AC343" s="198">
        <v>0</v>
      </c>
      <c r="AD343" s="198">
        <v>0</v>
      </c>
      <c r="AE343" s="198">
        <v>0</v>
      </c>
      <c r="AF343" s="198">
        <v>0</v>
      </c>
      <c r="AG343" s="198">
        <v>0</v>
      </c>
      <c r="AH343" s="198">
        <v>0</v>
      </c>
      <c r="AI343" s="198">
        <v>0</v>
      </c>
      <c r="AJ343" s="198">
        <v>0</v>
      </c>
      <c r="AK343" s="198">
        <v>0</v>
      </c>
      <c r="AL343" s="198">
        <v>0</v>
      </c>
      <c r="AM343" s="198">
        <v>0</v>
      </c>
      <c r="AN343" s="198">
        <v>0</v>
      </c>
      <c r="AO343" s="198">
        <v>0</v>
      </c>
      <c r="AP343" s="198">
        <v>0</v>
      </c>
      <c r="AQ343" s="198">
        <v>0</v>
      </c>
      <c r="AR343" s="198">
        <v>0</v>
      </c>
      <c r="AS343" s="198">
        <v>0</v>
      </c>
      <c r="AT343" s="198">
        <v>0</v>
      </c>
      <c r="AU343" s="198">
        <v>0</v>
      </c>
      <c r="AV343" s="198">
        <v>0</v>
      </c>
      <c r="AW343" s="198">
        <v>0</v>
      </c>
      <c r="AX343" s="198">
        <v>0</v>
      </c>
      <c r="AY343" s="198">
        <v>0</v>
      </c>
      <c r="AZ343" s="198">
        <v>0</v>
      </c>
      <c r="BA343" s="198">
        <v>0</v>
      </c>
      <c r="BB343" s="198">
        <v>0</v>
      </c>
      <c r="BC343" s="198">
        <v>0</v>
      </c>
      <c r="BD343" s="198">
        <v>0</v>
      </c>
      <c r="BE343" s="198">
        <v>0</v>
      </c>
      <c r="BF343" s="198">
        <v>0</v>
      </c>
      <c r="BG343" s="198">
        <v>0</v>
      </c>
      <c r="BH343" s="198">
        <v>0</v>
      </c>
      <c r="BI343" s="198">
        <v>0</v>
      </c>
      <c r="BJ343" s="198">
        <v>0</v>
      </c>
      <c r="BK343" s="198">
        <v>0</v>
      </c>
      <c r="BL343" s="198">
        <v>0</v>
      </c>
      <c r="BM343" s="198">
        <v>0</v>
      </c>
      <c r="BN343" s="198">
        <v>0</v>
      </c>
      <c r="BO343" s="198">
        <v>0</v>
      </c>
      <c r="BP343" s="198">
        <v>0</v>
      </c>
      <c r="BQ343" s="198">
        <v>0</v>
      </c>
      <c r="BR343" s="198">
        <v>0</v>
      </c>
      <c r="BS343" s="198">
        <v>0</v>
      </c>
      <c r="BT343" s="198">
        <v>0</v>
      </c>
      <c r="BU343" s="198">
        <v>0</v>
      </c>
      <c r="BV343" s="198">
        <v>0</v>
      </c>
      <c r="BW343" s="198">
        <v>0</v>
      </c>
      <c r="BX343" s="198">
        <v>0</v>
      </c>
      <c r="BY343" s="198">
        <v>662.8</v>
      </c>
      <c r="BZ343" s="198">
        <v>0</v>
      </c>
      <c r="CA343" s="198">
        <v>0</v>
      </c>
      <c r="CB343" s="198">
        <v>0</v>
      </c>
      <c r="CC343" s="198">
        <v>0</v>
      </c>
      <c r="CD343" s="198">
        <v>0</v>
      </c>
      <c r="CE343" s="198">
        <v>0</v>
      </c>
      <c r="CF343" s="198">
        <v>0</v>
      </c>
      <c r="CG343" s="198">
        <v>0</v>
      </c>
      <c r="CH343" s="198">
        <v>0</v>
      </c>
      <c r="CI343" s="198">
        <v>0</v>
      </c>
      <c r="CJ343" s="198">
        <v>0</v>
      </c>
      <c r="CK343" s="88"/>
    </row>
    <row r="344" spans="1:89" x14ac:dyDescent="0.3">
      <c r="A344" s="173"/>
      <c r="B344" s="197" t="s">
        <v>365</v>
      </c>
      <c r="C344" s="198">
        <v>0</v>
      </c>
      <c r="D344" s="198">
        <v>0</v>
      </c>
      <c r="E344" s="198">
        <v>0</v>
      </c>
      <c r="F344" s="198">
        <v>0</v>
      </c>
      <c r="G344" s="198">
        <v>0</v>
      </c>
      <c r="H344" s="198">
        <v>0</v>
      </c>
      <c r="I344" s="198">
        <v>0</v>
      </c>
      <c r="J344" s="198">
        <v>0</v>
      </c>
      <c r="K344" s="198">
        <v>0</v>
      </c>
      <c r="L344" s="198">
        <v>0</v>
      </c>
      <c r="M344" s="198">
        <v>0</v>
      </c>
      <c r="N344" s="198">
        <v>0</v>
      </c>
      <c r="O344" s="198">
        <v>0</v>
      </c>
      <c r="P344" s="198">
        <v>0</v>
      </c>
      <c r="Q344" s="198">
        <v>0</v>
      </c>
      <c r="R344" s="198">
        <v>0</v>
      </c>
      <c r="S344" s="198">
        <v>0</v>
      </c>
      <c r="T344" s="198">
        <v>0</v>
      </c>
      <c r="U344" s="198">
        <v>0</v>
      </c>
      <c r="V344" s="198">
        <v>0</v>
      </c>
      <c r="W344" s="198">
        <v>0</v>
      </c>
      <c r="X344" s="198">
        <v>0</v>
      </c>
      <c r="Y344" s="198">
        <v>0</v>
      </c>
      <c r="Z344" s="198">
        <v>0</v>
      </c>
      <c r="AA344" s="198">
        <v>0</v>
      </c>
      <c r="AB344" s="198">
        <v>0</v>
      </c>
      <c r="AC344" s="198">
        <v>0</v>
      </c>
      <c r="AD344" s="198">
        <v>0</v>
      </c>
      <c r="AE344" s="198">
        <v>0</v>
      </c>
      <c r="AF344" s="198">
        <v>0</v>
      </c>
      <c r="AG344" s="198">
        <v>0</v>
      </c>
      <c r="AH344" s="198">
        <v>0</v>
      </c>
      <c r="AI344" s="198">
        <v>0</v>
      </c>
      <c r="AJ344" s="198">
        <v>0</v>
      </c>
      <c r="AK344" s="198">
        <v>0</v>
      </c>
      <c r="AL344" s="198">
        <v>0</v>
      </c>
      <c r="AM344" s="198">
        <v>0</v>
      </c>
      <c r="AN344" s="198">
        <v>0</v>
      </c>
      <c r="AO344" s="198">
        <v>0</v>
      </c>
      <c r="AP344" s="198">
        <v>0</v>
      </c>
      <c r="AQ344" s="198">
        <v>0</v>
      </c>
      <c r="AR344" s="198">
        <v>0</v>
      </c>
      <c r="AS344" s="198">
        <v>0</v>
      </c>
      <c r="AT344" s="198">
        <v>0</v>
      </c>
      <c r="AU344" s="198">
        <v>0</v>
      </c>
      <c r="AV344" s="198">
        <v>0</v>
      </c>
      <c r="AW344" s="198">
        <v>0</v>
      </c>
      <c r="AX344" s="198">
        <v>0</v>
      </c>
      <c r="AY344" s="198">
        <v>0</v>
      </c>
      <c r="AZ344" s="198">
        <v>0</v>
      </c>
      <c r="BA344" s="198">
        <v>0</v>
      </c>
      <c r="BB344" s="198">
        <v>0</v>
      </c>
      <c r="BC344" s="198">
        <v>0</v>
      </c>
      <c r="BD344" s="198">
        <v>0</v>
      </c>
      <c r="BE344" s="198">
        <v>0</v>
      </c>
      <c r="BF344" s="198">
        <v>0</v>
      </c>
      <c r="BG344" s="198">
        <v>0</v>
      </c>
      <c r="BH344" s="198">
        <v>0</v>
      </c>
      <c r="BI344" s="198">
        <v>0</v>
      </c>
      <c r="BJ344" s="198">
        <v>0</v>
      </c>
      <c r="BK344" s="198">
        <v>0</v>
      </c>
      <c r="BL344" s="198">
        <v>0</v>
      </c>
      <c r="BM344" s="198">
        <v>0</v>
      </c>
      <c r="BN344" s="198">
        <v>0</v>
      </c>
      <c r="BO344" s="198">
        <v>0</v>
      </c>
      <c r="BP344" s="198">
        <v>0</v>
      </c>
      <c r="BQ344" s="198">
        <v>0</v>
      </c>
      <c r="BR344" s="198">
        <v>663.5</v>
      </c>
      <c r="BS344" s="198">
        <v>0</v>
      </c>
      <c r="BT344" s="198">
        <v>0</v>
      </c>
      <c r="BU344" s="198">
        <v>0</v>
      </c>
      <c r="BV344" s="198">
        <v>0</v>
      </c>
      <c r="BW344" s="198">
        <v>0</v>
      </c>
      <c r="BX344" s="198">
        <v>0</v>
      </c>
      <c r="BY344" s="198">
        <v>0</v>
      </c>
      <c r="BZ344" s="198">
        <v>0</v>
      </c>
      <c r="CA344" s="198">
        <v>0</v>
      </c>
      <c r="CB344" s="198">
        <v>54.6</v>
      </c>
      <c r="CC344" s="198">
        <v>0</v>
      </c>
      <c r="CD344" s="198">
        <v>0</v>
      </c>
      <c r="CE344" s="198">
        <v>0</v>
      </c>
      <c r="CF344" s="198">
        <v>0</v>
      </c>
      <c r="CG344" s="198">
        <v>0</v>
      </c>
      <c r="CH344" s="198">
        <v>0</v>
      </c>
      <c r="CI344" s="198">
        <v>0</v>
      </c>
      <c r="CJ344" s="198">
        <v>0</v>
      </c>
      <c r="CK344" s="88"/>
    </row>
    <row r="345" spans="1:89" x14ac:dyDescent="0.3">
      <c r="A345" s="173"/>
      <c r="B345" s="197" t="s">
        <v>379</v>
      </c>
      <c r="C345" s="198">
        <v>0</v>
      </c>
      <c r="D345" s="198">
        <v>0</v>
      </c>
      <c r="E345" s="198">
        <v>0</v>
      </c>
      <c r="F345" s="198">
        <v>0</v>
      </c>
      <c r="G345" s="198">
        <v>0</v>
      </c>
      <c r="H345" s="198">
        <v>0</v>
      </c>
      <c r="I345" s="198">
        <v>0</v>
      </c>
      <c r="J345" s="198">
        <v>0</v>
      </c>
      <c r="K345" s="198">
        <v>0</v>
      </c>
      <c r="L345" s="198">
        <v>0</v>
      </c>
      <c r="M345" s="198">
        <v>0</v>
      </c>
      <c r="N345" s="198">
        <v>0</v>
      </c>
      <c r="O345" s="198">
        <v>0</v>
      </c>
      <c r="P345" s="198">
        <v>0</v>
      </c>
      <c r="Q345" s="198">
        <v>0</v>
      </c>
      <c r="R345" s="198">
        <v>0</v>
      </c>
      <c r="S345" s="198">
        <v>0</v>
      </c>
      <c r="T345" s="198">
        <v>0</v>
      </c>
      <c r="U345" s="198">
        <v>0</v>
      </c>
      <c r="V345" s="198">
        <v>0</v>
      </c>
      <c r="W345" s="198">
        <v>0</v>
      </c>
      <c r="X345" s="198">
        <v>0</v>
      </c>
      <c r="Y345" s="198">
        <v>0</v>
      </c>
      <c r="Z345" s="198">
        <v>0</v>
      </c>
      <c r="AA345" s="198">
        <v>0</v>
      </c>
      <c r="AB345" s="198">
        <v>0</v>
      </c>
      <c r="AC345" s="198">
        <v>0</v>
      </c>
      <c r="AD345" s="198">
        <v>0</v>
      </c>
      <c r="AE345" s="198">
        <v>0</v>
      </c>
      <c r="AF345" s="198">
        <v>0</v>
      </c>
      <c r="AG345" s="198">
        <v>0</v>
      </c>
      <c r="AH345" s="198">
        <v>0</v>
      </c>
      <c r="AI345" s="198">
        <v>0</v>
      </c>
      <c r="AJ345" s="198">
        <v>0</v>
      </c>
      <c r="AK345" s="198">
        <v>0</v>
      </c>
      <c r="AL345" s="198">
        <v>0</v>
      </c>
      <c r="AM345" s="198">
        <v>0</v>
      </c>
      <c r="AN345" s="198">
        <v>0</v>
      </c>
      <c r="AO345" s="198">
        <v>0</v>
      </c>
      <c r="AP345" s="198">
        <v>0</v>
      </c>
      <c r="AQ345" s="198">
        <v>0</v>
      </c>
      <c r="AR345" s="198">
        <v>0</v>
      </c>
      <c r="AS345" s="198">
        <v>0</v>
      </c>
      <c r="AT345" s="198">
        <v>0</v>
      </c>
      <c r="AU345" s="198">
        <v>0</v>
      </c>
      <c r="AV345" s="198">
        <v>0</v>
      </c>
      <c r="AW345" s="198">
        <v>0</v>
      </c>
      <c r="AX345" s="198">
        <v>0</v>
      </c>
      <c r="AY345" s="198">
        <v>0</v>
      </c>
      <c r="AZ345" s="198">
        <v>0</v>
      </c>
      <c r="BA345" s="198">
        <v>0</v>
      </c>
      <c r="BB345" s="198">
        <v>0</v>
      </c>
      <c r="BC345" s="198">
        <v>0</v>
      </c>
      <c r="BD345" s="198">
        <v>0</v>
      </c>
      <c r="BE345" s="198">
        <v>0</v>
      </c>
      <c r="BF345" s="198">
        <v>0</v>
      </c>
      <c r="BG345" s="198">
        <v>0</v>
      </c>
      <c r="BH345" s="198">
        <v>0</v>
      </c>
      <c r="BI345" s="198">
        <v>0</v>
      </c>
      <c r="BJ345" s="198">
        <v>0</v>
      </c>
      <c r="BK345" s="198">
        <v>0</v>
      </c>
      <c r="BL345" s="198">
        <v>0</v>
      </c>
      <c r="BM345" s="198">
        <v>0</v>
      </c>
      <c r="BN345" s="198">
        <v>0</v>
      </c>
      <c r="BO345" s="198">
        <v>0</v>
      </c>
      <c r="BP345" s="198">
        <v>0</v>
      </c>
      <c r="BQ345" s="198">
        <v>0</v>
      </c>
      <c r="BR345" s="198">
        <v>1055.4000000000001</v>
      </c>
      <c r="BS345" s="198">
        <v>0</v>
      </c>
      <c r="BT345" s="198">
        <v>0</v>
      </c>
      <c r="BU345" s="198">
        <v>0</v>
      </c>
      <c r="BV345" s="198">
        <v>0</v>
      </c>
      <c r="BW345" s="198">
        <v>0</v>
      </c>
      <c r="BX345" s="198">
        <v>0</v>
      </c>
      <c r="BY345" s="198">
        <v>0</v>
      </c>
      <c r="BZ345" s="198">
        <v>0</v>
      </c>
      <c r="CA345" s="198">
        <v>5143.5</v>
      </c>
      <c r="CB345" s="198">
        <v>0</v>
      </c>
      <c r="CC345" s="198">
        <v>0</v>
      </c>
      <c r="CD345" s="198">
        <v>0</v>
      </c>
      <c r="CE345" s="198">
        <v>0</v>
      </c>
      <c r="CF345" s="198">
        <v>0</v>
      </c>
      <c r="CG345" s="198">
        <v>0</v>
      </c>
      <c r="CH345" s="198">
        <v>0</v>
      </c>
      <c r="CI345" s="198">
        <v>0</v>
      </c>
      <c r="CJ345" s="198">
        <v>0</v>
      </c>
      <c r="CK345" s="88"/>
    </row>
    <row r="346" spans="1:89" x14ac:dyDescent="0.3">
      <c r="A346" s="173"/>
      <c r="B346" s="197" t="s">
        <v>387</v>
      </c>
      <c r="C346" s="198">
        <v>0</v>
      </c>
      <c r="D346" s="198">
        <v>0</v>
      </c>
      <c r="E346" s="198">
        <v>0</v>
      </c>
      <c r="F346" s="198">
        <v>0</v>
      </c>
      <c r="G346" s="198">
        <v>0</v>
      </c>
      <c r="H346" s="198">
        <v>0</v>
      </c>
      <c r="I346" s="198">
        <v>0</v>
      </c>
      <c r="J346" s="198">
        <v>0</v>
      </c>
      <c r="K346" s="198">
        <v>0</v>
      </c>
      <c r="L346" s="198">
        <v>0</v>
      </c>
      <c r="M346" s="198">
        <v>0</v>
      </c>
      <c r="N346" s="198">
        <v>0</v>
      </c>
      <c r="O346" s="198">
        <v>0</v>
      </c>
      <c r="P346" s="198">
        <v>0</v>
      </c>
      <c r="Q346" s="198">
        <v>0</v>
      </c>
      <c r="R346" s="198">
        <v>0</v>
      </c>
      <c r="S346" s="198">
        <v>0</v>
      </c>
      <c r="T346" s="198">
        <v>0</v>
      </c>
      <c r="U346" s="198">
        <v>0</v>
      </c>
      <c r="V346" s="198">
        <v>0</v>
      </c>
      <c r="W346" s="198">
        <v>0</v>
      </c>
      <c r="X346" s="198">
        <v>0</v>
      </c>
      <c r="Y346" s="198">
        <v>0</v>
      </c>
      <c r="Z346" s="198">
        <v>0</v>
      </c>
      <c r="AA346" s="198">
        <v>0</v>
      </c>
      <c r="AB346" s="198">
        <v>0</v>
      </c>
      <c r="AC346" s="198">
        <v>0</v>
      </c>
      <c r="AD346" s="198">
        <v>0</v>
      </c>
      <c r="AE346" s="198">
        <v>0</v>
      </c>
      <c r="AF346" s="198">
        <v>0</v>
      </c>
      <c r="AG346" s="198">
        <v>0</v>
      </c>
      <c r="AH346" s="198">
        <v>0</v>
      </c>
      <c r="AI346" s="198">
        <v>0</v>
      </c>
      <c r="AJ346" s="198">
        <v>0</v>
      </c>
      <c r="AK346" s="198">
        <v>0</v>
      </c>
      <c r="AL346" s="198">
        <v>0</v>
      </c>
      <c r="AM346" s="198">
        <v>0</v>
      </c>
      <c r="AN346" s="198">
        <v>0</v>
      </c>
      <c r="AO346" s="198">
        <v>0</v>
      </c>
      <c r="AP346" s="198">
        <v>0</v>
      </c>
      <c r="AQ346" s="198">
        <v>0</v>
      </c>
      <c r="AR346" s="198">
        <v>0</v>
      </c>
      <c r="AS346" s="198">
        <v>0</v>
      </c>
      <c r="AT346" s="198">
        <v>0</v>
      </c>
      <c r="AU346" s="198">
        <v>0</v>
      </c>
      <c r="AV346" s="198">
        <v>0</v>
      </c>
      <c r="AW346" s="198">
        <v>0</v>
      </c>
      <c r="AX346" s="198">
        <v>0</v>
      </c>
      <c r="AY346" s="198">
        <v>0</v>
      </c>
      <c r="AZ346" s="198">
        <v>0</v>
      </c>
      <c r="BA346" s="198">
        <v>0</v>
      </c>
      <c r="BB346" s="198">
        <v>0</v>
      </c>
      <c r="BC346" s="198">
        <v>0</v>
      </c>
      <c r="BD346" s="198">
        <v>0</v>
      </c>
      <c r="BE346" s="198">
        <v>0</v>
      </c>
      <c r="BF346" s="198">
        <v>0</v>
      </c>
      <c r="BG346" s="198">
        <v>0</v>
      </c>
      <c r="BH346" s="198">
        <v>0</v>
      </c>
      <c r="BI346" s="198">
        <v>0</v>
      </c>
      <c r="BJ346" s="198">
        <v>0</v>
      </c>
      <c r="BK346" s="198">
        <v>0</v>
      </c>
      <c r="BL346" s="198">
        <v>0</v>
      </c>
      <c r="BM346" s="198">
        <v>0</v>
      </c>
      <c r="BN346" s="198">
        <v>0</v>
      </c>
      <c r="BO346" s="198">
        <v>0</v>
      </c>
      <c r="BP346" s="198">
        <v>0</v>
      </c>
      <c r="BQ346" s="198">
        <v>0</v>
      </c>
      <c r="BR346" s="198">
        <v>113.4</v>
      </c>
      <c r="BS346" s="198">
        <v>0</v>
      </c>
      <c r="BT346" s="198">
        <v>0</v>
      </c>
      <c r="BU346" s="198">
        <v>0</v>
      </c>
      <c r="BV346" s="198">
        <v>0</v>
      </c>
      <c r="BW346" s="198">
        <v>0</v>
      </c>
      <c r="BX346" s="198">
        <v>0</v>
      </c>
      <c r="BY346" s="198">
        <v>0</v>
      </c>
      <c r="BZ346" s="198">
        <v>0</v>
      </c>
      <c r="CA346" s="198">
        <v>0</v>
      </c>
      <c r="CB346" s="198">
        <v>0</v>
      </c>
      <c r="CC346" s="198">
        <v>0</v>
      </c>
      <c r="CD346" s="198">
        <v>0</v>
      </c>
      <c r="CE346" s="198">
        <v>0</v>
      </c>
      <c r="CF346" s="198">
        <v>0</v>
      </c>
      <c r="CG346" s="198">
        <v>0</v>
      </c>
      <c r="CH346" s="198">
        <v>0</v>
      </c>
      <c r="CI346" s="198">
        <v>0</v>
      </c>
      <c r="CJ346" s="198">
        <v>0</v>
      </c>
      <c r="CK346" s="88"/>
    </row>
    <row r="347" spans="1:89" x14ac:dyDescent="0.3">
      <c r="A347" s="173"/>
      <c r="B347" s="197" t="s">
        <v>389</v>
      </c>
      <c r="C347" s="198">
        <v>0</v>
      </c>
      <c r="D347" s="198">
        <v>0</v>
      </c>
      <c r="E347" s="198">
        <v>0</v>
      </c>
      <c r="F347" s="198">
        <v>0</v>
      </c>
      <c r="G347" s="198">
        <v>0</v>
      </c>
      <c r="H347" s="198">
        <v>0</v>
      </c>
      <c r="I347" s="198">
        <v>0</v>
      </c>
      <c r="J347" s="198">
        <v>0</v>
      </c>
      <c r="K347" s="198">
        <v>0</v>
      </c>
      <c r="L347" s="198">
        <v>0</v>
      </c>
      <c r="M347" s="198">
        <v>0</v>
      </c>
      <c r="N347" s="198">
        <v>0</v>
      </c>
      <c r="O347" s="198">
        <v>0</v>
      </c>
      <c r="P347" s="198">
        <v>0</v>
      </c>
      <c r="Q347" s="198">
        <v>0</v>
      </c>
      <c r="R347" s="198">
        <v>0</v>
      </c>
      <c r="S347" s="198">
        <v>0</v>
      </c>
      <c r="T347" s="198">
        <v>0</v>
      </c>
      <c r="U347" s="198">
        <v>0</v>
      </c>
      <c r="V347" s="198">
        <v>0</v>
      </c>
      <c r="W347" s="198">
        <v>0</v>
      </c>
      <c r="X347" s="198">
        <v>0</v>
      </c>
      <c r="Y347" s="198">
        <v>0</v>
      </c>
      <c r="Z347" s="198">
        <v>0</v>
      </c>
      <c r="AA347" s="198">
        <v>0</v>
      </c>
      <c r="AB347" s="198">
        <v>0</v>
      </c>
      <c r="AC347" s="198">
        <v>0</v>
      </c>
      <c r="AD347" s="198">
        <v>0</v>
      </c>
      <c r="AE347" s="198">
        <v>0</v>
      </c>
      <c r="AF347" s="198">
        <v>0</v>
      </c>
      <c r="AG347" s="198">
        <v>0</v>
      </c>
      <c r="AH347" s="198">
        <v>0</v>
      </c>
      <c r="AI347" s="198">
        <v>0</v>
      </c>
      <c r="AJ347" s="198">
        <v>0</v>
      </c>
      <c r="AK347" s="198">
        <v>0</v>
      </c>
      <c r="AL347" s="198">
        <v>0</v>
      </c>
      <c r="AM347" s="198">
        <v>0</v>
      </c>
      <c r="AN347" s="198">
        <v>0</v>
      </c>
      <c r="AO347" s="198">
        <v>0</v>
      </c>
      <c r="AP347" s="198">
        <v>0</v>
      </c>
      <c r="AQ347" s="198">
        <v>0</v>
      </c>
      <c r="AR347" s="198">
        <v>0</v>
      </c>
      <c r="AS347" s="198">
        <v>0</v>
      </c>
      <c r="AT347" s="198">
        <v>0</v>
      </c>
      <c r="AU347" s="198">
        <v>0</v>
      </c>
      <c r="AV347" s="198">
        <v>0</v>
      </c>
      <c r="AW347" s="198">
        <v>0</v>
      </c>
      <c r="AX347" s="198">
        <v>0</v>
      </c>
      <c r="AY347" s="198">
        <v>0</v>
      </c>
      <c r="AZ347" s="198">
        <v>0</v>
      </c>
      <c r="BA347" s="198">
        <v>0</v>
      </c>
      <c r="BB347" s="198">
        <v>0</v>
      </c>
      <c r="BC347" s="198">
        <v>0</v>
      </c>
      <c r="BD347" s="198">
        <v>0</v>
      </c>
      <c r="BE347" s="198">
        <v>0</v>
      </c>
      <c r="BF347" s="198">
        <v>0</v>
      </c>
      <c r="BG347" s="198">
        <v>0</v>
      </c>
      <c r="BH347" s="198">
        <v>0</v>
      </c>
      <c r="BI347" s="198">
        <v>0</v>
      </c>
      <c r="BJ347" s="198">
        <v>0</v>
      </c>
      <c r="BK347" s="198">
        <v>0</v>
      </c>
      <c r="BL347" s="198">
        <v>0</v>
      </c>
      <c r="BM347" s="198">
        <v>0</v>
      </c>
      <c r="BN347" s="198">
        <v>0</v>
      </c>
      <c r="BO347" s="198">
        <v>0</v>
      </c>
      <c r="BP347" s="198">
        <v>0</v>
      </c>
      <c r="BQ347" s="198">
        <v>0</v>
      </c>
      <c r="BR347" s="198">
        <v>16</v>
      </c>
      <c r="BS347" s="198">
        <v>0</v>
      </c>
      <c r="BT347" s="198">
        <v>0</v>
      </c>
      <c r="BU347" s="198">
        <v>0</v>
      </c>
      <c r="BV347" s="198">
        <v>0</v>
      </c>
      <c r="BW347" s="198">
        <v>0</v>
      </c>
      <c r="BX347" s="198">
        <v>0</v>
      </c>
      <c r="BY347" s="198">
        <v>0</v>
      </c>
      <c r="BZ347" s="198">
        <v>0</v>
      </c>
      <c r="CA347" s="198">
        <v>0</v>
      </c>
      <c r="CB347" s="198">
        <v>0</v>
      </c>
      <c r="CC347" s="198">
        <v>0</v>
      </c>
      <c r="CD347" s="198">
        <v>0</v>
      </c>
      <c r="CE347" s="198">
        <v>2.6</v>
      </c>
      <c r="CF347" s="198">
        <v>0</v>
      </c>
      <c r="CG347" s="198">
        <v>0</v>
      </c>
      <c r="CH347" s="198">
        <v>0</v>
      </c>
      <c r="CI347" s="198">
        <v>0</v>
      </c>
      <c r="CJ347" s="198">
        <v>0</v>
      </c>
      <c r="CK347" s="88"/>
    </row>
    <row r="348" spans="1:89" x14ac:dyDescent="0.3">
      <c r="A348" s="173"/>
      <c r="B348" s="197" t="s">
        <v>385</v>
      </c>
      <c r="C348" s="198">
        <v>0</v>
      </c>
      <c r="D348" s="198">
        <v>0</v>
      </c>
      <c r="E348" s="198">
        <v>0</v>
      </c>
      <c r="F348" s="198">
        <v>0</v>
      </c>
      <c r="G348" s="198">
        <v>0</v>
      </c>
      <c r="H348" s="198">
        <v>0</v>
      </c>
      <c r="I348" s="198">
        <v>0</v>
      </c>
      <c r="J348" s="198">
        <v>0</v>
      </c>
      <c r="K348" s="198">
        <v>0</v>
      </c>
      <c r="L348" s="198">
        <v>0</v>
      </c>
      <c r="M348" s="198">
        <v>0</v>
      </c>
      <c r="N348" s="198">
        <v>0</v>
      </c>
      <c r="O348" s="198">
        <v>0</v>
      </c>
      <c r="P348" s="198">
        <v>0</v>
      </c>
      <c r="Q348" s="198">
        <v>0</v>
      </c>
      <c r="R348" s="198">
        <v>0</v>
      </c>
      <c r="S348" s="198">
        <v>0</v>
      </c>
      <c r="T348" s="198">
        <v>0</v>
      </c>
      <c r="U348" s="198">
        <v>0</v>
      </c>
      <c r="V348" s="198">
        <v>0</v>
      </c>
      <c r="W348" s="198">
        <v>0</v>
      </c>
      <c r="X348" s="198">
        <v>0</v>
      </c>
      <c r="Y348" s="198">
        <v>0</v>
      </c>
      <c r="Z348" s="198">
        <v>0</v>
      </c>
      <c r="AA348" s="198">
        <v>0</v>
      </c>
      <c r="AB348" s="198">
        <v>0</v>
      </c>
      <c r="AC348" s="198">
        <v>0</v>
      </c>
      <c r="AD348" s="198">
        <v>0</v>
      </c>
      <c r="AE348" s="198">
        <v>0</v>
      </c>
      <c r="AF348" s="198">
        <v>0</v>
      </c>
      <c r="AG348" s="198">
        <v>0</v>
      </c>
      <c r="AH348" s="198">
        <v>0</v>
      </c>
      <c r="AI348" s="198">
        <v>0</v>
      </c>
      <c r="AJ348" s="198">
        <v>0</v>
      </c>
      <c r="AK348" s="198">
        <v>0</v>
      </c>
      <c r="AL348" s="198">
        <v>0</v>
      </c>
      <c r="AM348" s="198">
        <v>0</v>
      </c>
      <c r="AN348" s="198">
        <v>0</v>
      </c>
      <c r="AO348" s="198">
        <v>0</v>
      </c>
      <c r="AP348" s="198">
        <v>0</v>
      </c>
      <c r="AQ348" s="198">
        <v>0</v>
      </c>
      <c r="AR348" s="198">
        <v>0</v>
      </c>
      <c r="AS348" s="198">
        <v>0</v>
      </c>
      <c r="AT348" s="198">
        <v>0</v>
      </c>
      <c r="AU348" s="198">
        <v>0</v>
      </c>
      <c r="AV348" s="198">
        <v>0</v>
      </c>
      <c r="AW348" s="198">
        <v>0</v>
      </c>
      <c r="AX348" s="198">
        <v>0</v>
      </c>
      <c r="AY348" s="198">
        <v>0</v>
      </c>
      <c r="AZ348" s="198">
        <v>0</v>
      </c>
      <c r="BA348" s="198">
        <v>0</v>
      </c>
      <c r="BB348" s="198">
        <v>0</v>
      </c>
      <c r="BC348" s="198">
        <v>0</v>
      </c>
      <c r="BD348" s="198">
        <v>0</v>
      </c>
      <c r="BE348" s="198">
        <v>0</v>
      </c>
      <c r="BF348" s="198">
        <v>0</v>
      </c>
      <c r="BG348" s="198">
        <v>0</v>
      </c>
      <c r="BH348" s="198">
        <v>0</v>
      </c>
      <c r="BI348" s="198">
        <v>0</v>
      </c>
      <c r="BJ348" s="198">
        <v>0</v>
      </c>
      <c r="BK348" s="198">
        <v>0</v>
      </c>
      <c r="BL348" s="198">
        <v>0</v>
      </c>
      <c r="BM348" s="198">
        <v>0</v>
      </c>
      <c r="BN348" s="198">
        <v>0</v>
      </c>
      <c r="BO348" s="198">
        <v>0</v>
      </c>
      <c r="BP348" s="198">
        <v>0</v>
      </c>
      <c r="BQ348" s="198">
        <v>0</v>
      </c>
      <c r="BR348" s="198">
        <v>0</v>
      </c>
      <c r="BS348" s="198">
        <v>0</v>
      </c>
      <c r="BT348" s="198">
        <v>0</v>
      </c>
      <c r="BU348" s="198">
        <v>0</v>
      </c>
      <c r="BV348" s="198">
        <v>0</v>
      </c>
      <c r="BW348" s="198">
        <v>0</v>
      </c>
      <c r="BX348" s="198">
        <v>0</v>
      </c>
      <c r="BY348" s="198">
        <v>0</v>
      </c>
      <c r="BZ348" s="198">
        <v>0</v>
      </c>
      <c r="CA348" s="198">
        <v>0</v>
      </c>
      <c r="CB348" s="198">
        <v>3.4</v>
      </c>
      <c r="CC348" s="198">
        <v>0</v>
      </c>
      <c r="CD348" s="198">
        <v>0</v>
      </c>
      <c r="CE348" s="198">
        <v>0</v>
      </c>
      <c r="CF348" s="198">
        <v>0</v>
      </c>
      <c r="CG348" s="198">
        <v>0</v>
      </c>
      <c r="CH348" s="198">
        <v>0</v>
      </c>
      <c r="CI348" s="198">
        <v>0</v>
      </c>
      <c r="CJ348" s="198">
        <v>0</v>
      </c>
      <c r="CK348" s="88"/>
    </row>
    <row r="349" spans="1:89" x14ac:dyDescent="0.3">
      <c r="A349" s="173"/>
      <c r="B349" s="197" t="s">
        <v>386</v>
      </c>
      <c r="C349" s="198">
        <v>0</v>
      </c>
      <c r="D349" s="198">
        <v>0</v>
      </c>
      <c r="E349" s="198">
        <v>0</v>
      </c>
      <c r="F349" s="198">
        <v>0</v>
      </c>
      <c r="G349" s="198">
        <v>0</v>
      </c>
      <c r="H349" s="198">
        <v>0</v>
      </c>
      <c r="I349" s="198">
        <v>0</v>
      </c>
      <c r="J349" s="198">
        <v>0</v>
      </c>
      <c r="K349" s="198">
        <v>0</v>
      </c>
      <c r="L349" s="198">
        <v>0</v>
      </c>
      <c r="M349" s="198">
        <v>0</v>
      </c>
      <c r="N349" s="198">
        <v>0</v>
      </c>
      <c r="O349" s="198">
        <v>0</v>
      </c>
      <c r="P349" s="198">
        <v>0</v>
      </c>
      <c r="Q349" s="198">
        <v>0</v>
      </c>
      <c r="R349" s="198">
        <v>0</v>
      </c>
      <c r="S349" s="198">
        <v>0</v>
      </c>
      <c r="T349" s="198">
        <v>0</v>
      </c>
      <c r="U349" s="198">
        <v>0</v>
      </c>
      <c r="V349" s="198">
        <v>0</v>
      </c>
      <c r="W349" s="198">
        <v>0</v>
      </c>
      <c r="X349" s="198">
        <v>0</v>
      </c>
      <c r="Y349" s="198">
        <v>0</v>
      </c>
      <c r="Z349" s="198">
        <v>0</v>
      </c>
      <c r="AA349" s="198">
        <v>0</v>
      </c>
      <c r="AB349" s="198">
        <v>0</v>
      </c>
      <c r="AC349" s="198">
        <v>0</v>
      </c>
      <c r="AD349" s="198">
        <v>0</v>
      </c>
      <c r="AE349" s="198">
        <v>0</v>
      </c>
      <c r="AF349" s="198">
        <v>0</v>
      </c>
      <c r="AG349" s="198">
        <v>0</v>
      </c>
      <c r="AH349" s="198">
        <v>0</v>
      </c>
      <c r="AI349" s="198">
        <v>0</v>
      </c>
      <c r="AJ349" s="198">
        <v>0</v>
      </c>
      <c r="AK349" s="198">
        <v>0</v>
      </c>
      <c r="AL349" s="198">
        <v>0</v>
      </c>
      <c r="AM349" s="198">
        <v>0</v>
      </c>
      <c r="AN349" s="198">
        <v>0</v>
      </c>
      <c r="AO349" s="198">
        <v>0</v>
      </c>
      <c r="AP349" s="198">
        <v>0</v>
      </c>
      <c r="AQ349" s="198">
        <v>0</v>
      </c>
      <c r="AR349" s="198">
        <v>0</v>
      </c>
      <c r="AS349" s="198">
        <v>0</v>
      </c>
      <c r="AT349" s="198">
        <v>0</v>
      </c>
      <c r="AU349" s="198">
        <v>0</v>
      </c>
      <c r="AV349" s="198">
        <v>0</v>
      </c>
      <c r="AW349" s="198">
        <v>0</v>
      </c>
      <c r="AX349" s="198">
        <v>0</v>
      </c>
      <c r="AY349" s="198">
        <v>0</v>
      </c>
      <c r="AZ349" s="198">
        <v>0</v>
      </c>
      <c r="BA349" s="198">
        <v>0</v>
      </c>
      <c r="BB349" s="198">
        <v>0</v>
      </c>
      <c r="BC349" s="198">
        <v>0</v>
      </c>
      <c r="BD349" s="198">
        <v>0</v>
      </c>
      <c r="BE349" s="198">
        <v>0</v>
      </c>
      <c r="BF349" s="198">
        <v>0</v>
      </c>
      <c r="BG349" s="198">
        <v>0</v>
      </c>
      <c r="BH349" s="198">
        <v>0</v>
      </c>
      <c r="BI349" s="198">
        <v>0</v>
      </c>
      <c r="BJ349" s="198">
        <v>0</v>
      </c>
      <c r="BK349" s="198">
        <v>0</v>
      </c>
      <c r="BL349" s="198">
        <v>0</v>
      </c>
      <c r="BM349" s="198">
        <v>0</v>
      </c>
      <c r="BN349" s="198">
        <v>0</v>
      </c>
      <c r="BO349" s="198">
        <v>0</v>
      </c>
      <c r="BP349" s="198">
        <v>0</v>
      </c>
      <c r="BQ349" s="198">
        <v>0</v>
      </c>
      <c r="BR349" s="198">
        <v>0</v>
      </c>
      <c r="BS349" s="198">
        <v>0</v>
      </c>
      <c r="BT349" s="198">
        <v>0</v>
      </c>
      <c r="BU349" s="198">
        <v>0</v>
      </c>
      <c r="BV349" s="198">
        <v>0</v>
      </c>
      <c r="BW349" s="198">
        <v>0</v>
      </c>
      <c r="BX349" s="198">
        <v>0</v>
      </c>
      <c r="BY349" s="198">
        <v>0</v>
      </c>
      <c r="BZ349" s="198">
        <v>0</v>
      </c>
      <c r="CA349" s="198">
        <v>0</v>
      </c>
      <c r="CB349" s="198">
        <v>3.9</v>
      </c>
      <c r="CC349" s="198">
        <v>0</v>
      </c>
      <c r="CD349" s="198">
        <v>0</v>
      </c>
      <c r="CE349" s="198">
        <v>0</v>
      </c>
      <c r="CF349" s="198">
        <v>0</v>
      </c>
      <c r="CG349" s="198">
        <v>0</v>
      </c>
      <c r="CH349" s="198">
        <v>2379.1</v>
      </c>
      <c r="CI349" s="198">
        <v>0</v>
      </c>
      <c r="CJ349" s="198">
        <v>0</v>
      </c>
      <c r="CK349" s="88"/>
    </row>
    <row r="350" spans="1:89" x14ac:dyDescent="0.3">
      <c r="A350" s="173"/>
      <c r="B350" s="197" t="s">
        <v>383</v>
      </c>
      <c r="C350" s="198">
        <v>0</v>
      </c>
      <c r="D350" s="198">
        <v>0</v>
      </c>
      <c r="E350" s="198">
        <v>0</v>
      </c>
      <c r="F350" s="198">
        <v>0</v>
      </c>
      <c r="G350" s="198">
        <v>0</v>
      </c>
      <c r="H350" s="198">
        <v>0</v>
      </c>
      <c r="I350" s="198">
        <v>0</v>
      </c>
      <c r="J350" s="198">
        <v>0</v>
      </c>
      <c r="K350" s="198">
        <v>0</v>
      </c>
      <c r="L350" s="198">
        <v>0</v>
      </c>
      <c r="M350" s="198">
        <v>0</v>
      </c>
      <c r="N350" s="198">
        <v>0</v>
      </c>
      <c r="O350" s="198">
        <v>0</v>
      </c>
      <c r="P350" s="198">
        <v>0</v>
      </c>
      <c r="Q350" s="198">
        <v>0</v>
      </c>
      <c r="R350" s="198">
        <v>0</v>
      </c>
      <c r="S350" s="198">
        <v>0</v>
      </c>
      <c r="T350" s="198">
        <v>0</v>
      </c>
      <c r="U350" s="198">
        <v>0</v>
      </c>
      <c r="V350" s="198">
        <v>0</v>
      </c>
      <c r="W350" s="198">
        <v>0</v>
      </c>
      <c r="X350" s="198">
        <v>0</v>
      </c>
      <c r="Y350" s="198">
        <v>0</v>
      </c>
      <c r="Z350" s="198">
        <v>0</v>
      </c>
      <c r="AA350" s="198">
        <v>0</v>
      </c>
      <c r="AB350" s="198">
        <v>0</v>
      </c>
      <c r="AC350" s="198">
        <v>0</v>
      </c>
      <c r="AD350" s="198">
        <v>0</v>
      </c>
      <c r="AE350" s="198">
        <v>0</v>
      </c>
      <c r="AF350" s="198">
        <v>0</v>
      </c>
      <c r="AG350" s="198">
        <v>0</v>
      </c>
      <c r="AH350" s="198">
        <v>0</v>
      </c>
      <c r="AI350" s="198">
        <v>0</v>
      </c>
      <c r="AJ350" s="198">
        <v>0</v>
      </c>
      <c r="AK350" s="198">
        <v>0</v>
      </c>
      <c r="AL350" s="198">
        <v>0</v>
      </c>
      <c r="AM350" s="198">
        <v>0</v>
      </c>
      <c r="AN350" s="198">
        <v>0</v>
      </c>
      <c r="AO350" s="198">
        <v>0</v>
      </c>
      <c r="AP350" s="198">
        <v>0</v>
      </c>
      <c r="AQ350" s="198">
        <v>0</v>
      </c>
      <c r="AR350" s="198">
        <v>0</v>
      </c>
      <c r="AS350" s="198">
        <v>0</v>
      </c>
      <c r="AT350" s="198">
        <v>0</v>
      </c>
      <c r="AU350" s="198">
        <v>0</v>
      </c>
      <c r="AV350" s="198">
        <v>0</v>
      </c>
      <c r="AW350" s="198">
        <v>0</v>
      </c>
      <c r="AX350" s="198">
        <v>0</v>
      </c>
      <c r="AY350" s="198">
        <v>0</v>
      </c>
      <c r="AZ350" s="198">
        <v>0</v>
      </c>
      <c r="BA350" s="198">
        <v>0</v>
      </c>
      <c r="BB350" s="198">
        <v>0</v>
      </c>
      <c r="BC350" s="198">
        <v>0</v>
      </c>
      <c r="BD350" s="198">
        <v>0</v>
      </c>
      <c r="BE350" s="198">
        <v>0</v>
      </c>
      <c r="BF350" s="198">
        <v>0</v>
      </c>
      <c r="BG350" s="198">
        <v>0</v>
      </c>
      <c r="BH350" s="198">
        <v>0</v>
      </c>
      <c r="BI350" s="198">
        <v>0</v>
      </c>
      <c r="BJ350" s="198">
        <v>0</v>
      </c>
      <c r="BK350" s="198">
        <v>0</v>
      </c>
      <c r="BL350" s="198">
        <v>0</v>
      </c>
      <c r="BM350" s="198">
        <v>0</v>
      </c>
      <c r="BN350" s="198">
        <v>0</v>
      </c>
      <c r="BO350" s="198">
        <v>0</v>
      </c>
      <c r="BP350" s="198">
        <v>0</v>
      </c>
      <c r="BQ350" s="198">
        <v>0</v>
      </c>
      <c r="BR350" s="198">
        <v>0</v>
      </c>
      <c r="BS350" s="198">
        <v>0</v>
      </c>
      <c r="BT350" s="198">
        <v>0</v>
      </c>
      <c r="BU350" s="198">
        <v>0</v>
      </c>
      <c r="BV350" s="198">
        <v>0</v>
      </c>
      <c r="BW350" s="198">
        <v>0</v>
      </c>
      <c r="BX350" s="198">
        <v>0</v>
      </c>
      <c r="BY350" s="198">
        <v>0</v>
      </c>
      <c r="BZ350" s="198">
        <v>0</v>
      </c>
      <c r="CA350" s="198">
        <v>0</v>
      </c>
      <c r="CB350" s="198">
        <v>4.0999999999999996</v>
      </c>
      <c r="CC350" s="198">
        <v>0</v>
      </c>
      <c r="CD350" s="198">
        <v>0</v>
      </c>
      <c r="CE350" s="198">
        <v>0</v>
      </c>
      <c r="CF350" s="198">
        <v>0</v>
      </c>
      <c r="CG350" s="198">
        <v>0</v>
      </c>
      <c r="CH350" s="198">
        <v>4820</v>
      </c>
      <c r="CI350" s="198">
        <v>0</v>
      </c>
      <c r="CJ350" s="198">
        <v>0</v>
      </c>
      <c r="CK350" s="88"/>
    </row>
    <row r="351" spans="1:89" x14ac:dyDescent="0.3">
      <c r="A351" s="173"/>
      <c r="B351" s="197" t="s">
        <v>377</v>
      </c>
      <c r="C351" s="198">
        <v>0</v>
      </c>
      <c r="D351" s="198">
        <v>0</v>
      </c>
      <c r="E351" s="198">
        <v>0</v>
      </c>
      <c r="F351" s="198">
        <v>0</v>
      </c>
      <c r="G351" s="198">
        <v>0</v>
      </c>
      <c r="H351" s="198">
        <v>0</v>
      </c>
      <c r="I351" s="198">
        <v>0</v>
      </c>
      <c r="J351" s="198">
        <v>0</v>
      </c>
      <c r="K351" s="198">
        <v>0</v>
      </c>
      <c r="L351" s="198">
        <v>0</v>
      </c>
      <c r="M351" s="198">
        <v>0</v>
      </c>
      <c r="N351" s="198">
        <v>0</v>
      </c>
      <c r="O351" s="198">
        <v>0</v>
      </c>
      <c r="P351" s="198">
        <v>0</v>
      </c>
      <c r="Q351" s="198">
        <v>0</v>
      </c>
      <c r="R351" s="198">
        <v>0</v>
      </c>
      <c r="S351" s="198">
        <v>0</v>
      </c>
      <c r="T351" s="198">
        <v>0</v>
      </c>
      <c r="U351" s="198">
        <v>0</v>
      </c>
      <c r="V351" s="198">
        <v>0</v>
      </c>
      <c r="W351" s="198">
        <v>0</v>
      </c>
      <c r="X351" s="198">
        <v>0</v>
      </c>
      <c r="Y351" s="198">
        <v>0</v>
      </c>
      <c r="Z351" s="198">
        <v>0</v>
      </c>
      <c r="AA351" s="198">
        <v>0</v>
      </c>
      <c r="AB351" s="198">
        <v>0</v>
      </c>
      <c r="AC351" s="198">
        <v>0</v>
      </c>
      <c r="AD351" s="198">
        <v>0</v>
      </c>
      <c r="AE351" s="198">
        <v>0</v>
      </c>
      <c r="AF351" s="198">
        <v>0</v>
      </c>
      <c r="AG351" s="198">
        <v>0</v>
      </c>
      <c r="AH351" s="198">
        <v>0</v>
      </c>
      <c r="AI351" s="198">
        <v>0</v>
      </c>
      <c r="AJ351" s="198">
        <v>0</v>
      </c>
      <c r="AK351" s="198">
        <v>0</v>
      </c>
      <c r="AL351" s="198">
        <v>0</v>
      </c>
      <c r="AM351" s="198">
        <v>0</v>
      </c>
      <c r="AN351" s="198">
        <v>0</v>
      </c>
      <c r="AO351" s="198">
        <v>0</v>
      </c>
      <c r="AP351" s="198">
        <v>0</v>
      </c>
      <c r="AQ351" s="198">
        <v>0</v>
      </c>
      <c r="AR351" s="198">
        <v>0</v>
      </c>
      <c r="AS351" s="198">
        <v>0</v>
      </c>
      <c r="AT351" s="198">
        <v>0</v>
      </c>
      <c r="AU351" s="198">
        <v>0</v>
      </c>
      <c r="AV351" s="198">
        <v>0</v>
      </c>
      <c r="AW351" s="198">
        <v>0</v>
      </c>
      <c r="AX351" s="198">
        <v>0</v>
      </c>
      <c r="AY351" s="198">
        <v>0</v>
      </c>
      <c r="AZ351" s="198">
        <v>0</v>
      </c>
      <c r="BA351" s="198">
        <v>0</v>
      </c>
      <c r="BB351" s="198">
        <v>0</v>
      </c>
      <c r="BC351" s="198">
        <v>0</v>
      </c>
      <c r="BD351" s="198">
        <v>0</v>
      </c>
      <c r="BE351" s="198">
        <v>0</v>
      </c>
      <c r="BF351" s="198">
        <v>0</v>
      </c>
      <c r="BG351" s="198">
        <v>0</v>
      </c>
      <c r="BH351" s="198">
        <v>0</v>
      </c>
      <c r="BI351" s="198">
        <v>0</v>
      </c>
      <c r="BJ351" s="198">
        <v>0</v>
      </c>
      <c r="BK351" s="198">
        <v>0</v>
      </c>
      <c r="BL351" s="198">
        <v>0</v>
      </c>
      <c r="BM351" s="198">
        <v>0</v>
      </c>
      <c r="BN351" s="198">
        <v>0</v>
      </c>
      <c r="BO351" s="198">
        <v>0</v>
      </c>
      <c r="BP351" s="198">
        <v>0</v>
      </c>
      <c r="BQ351" s="198">
        <v>0</v>
      </c>
      <c r="BR351" s="198">
        <v>0</v>
      </c>
      <c r="BS351" s="198">
        <v>0</v>
      </c>
      <c r="BT351" s="198">
        <v>0</v>
      </c>
      <c r="BU351" s="198">
        <v>0</v>
      </c>
      <c r="BV351" s="198">
        <v>0</v>
      </c>
      <c r="BW351" s="198">
        <v>0</v>
      </c>
      <c r="BX351" s="198">
        <v>0</v>
      </c>
      <c r="BY351" s="198">
        <v>0</v>
      </c>
      <c r="BZ351" s="198">
        <v>0</v>
      </c>
      <c r="CA351" s="198">
        <v>461.5</v>
      </c>
      <c r="CB351" s="198">
        <v>0</v>
      </c>
      <c r="CC351" s="198">
        <v>0</v>
      </c>
      <c r="CD351" s="198">
        <v>0</v>
      </c>
      <c r="CE351" s="198">
        <v>0</v>
      </c>
      <c r="CF351" s="198">
        <v>0</v>
      </c>
      <c r="CG351" s="198">
        <v>0</v>
      </c>
      <c r="CH351" s="198">
        <v>0</v>
      </c>
      <c r="CI351" s="198">
        <v>0</v>
      </c>
      <c r="CJ351" s="198">
        <v>0</v>
      </c>
      <c r="CK351" s="88"/>
    </row>
    <row r="352" spans="1:89" x14ac:dyDescent="0.3">
      <c r="A352" s="173"/>
      <c r="B352" s="197" t="s">
        <v>148</v>
      </c>
      <c r="C352" s="198">
        <v>0</v>
      </c>
      <c r="D352" s="198">
        <v>0</v>
      </c>
      <c r="E352" s="198">
        <v>0</v>
      </c>
      <c r="F352" s="198">
        <v>199.6</v>
      </c>
      <c r="G352" s="198">
        <v>49.9</v>
      </c>
      <c r="H352" s="198">
        <v>49.9</v>
      </c>
      <c r="I352" s="198">
        <v>67.5</v>
      </c>
      <c r="J352" s="198">
        <v>53.2</v>
      </c>
      <c r="K352" s="198">
        <v>52.5</v>
      </c>
      <c r="L352" s="198">
        <v>53</v>
      </c>
      <c r="M352" s="198">
        <v>53</v>
      </c>
      <c r="N352" s="198">
        <v>55</v>
      </c>
      <c r="O352" s="198">
        <v>52.7</v>
      </c>
      <c r="P352" s="198">
        <v>52.7</v>
      </c>
      <c r="Q352" s="198">
        <v>52.7</v>
      </c>
      <c r="R352" s="198">
        <v>52.7</v>
      </c>
      <c r="S352" s="198">
        <v>52.7</v>
      </c>
      <c r="T352" s="198">
        <v>52.7</v>
      </c>
      <c r="U352" s="198">
        <v>52.7</v>
      </c>
      <c r="V352" s="198">
        <v>52.7</v>
      </c>
      <c r="W352" s="198">
        <v>52.8</v>
      </c>
      <c r="X352" s="198">
        <v>52.8</v>
      </c>
      <c r="Y352" s="198">
        <v>52.8</v>
      </c>
      <c r="Z352" s="198">
        <v>52.8</v>
      </c>
      <c r="AA352" s="198">
        <v>52.8</v>
      </c>
      <c r="AB352" s="198">
        <v>0</v>
      </c>
      <c r="AC352" s="198">
        <v>105.7</v>
      </c>
      <c r="AD352" s="198">
        <v>52.8</v>
      </c>
      <c r="AE352" s="198">
        <v>52.8</v>
      </c>
      <c r="AF352" s="198">
        <v>52.8</v>
      </c>
      <c r="AG352" s="198">
        <v>0</v>
      </c>
      <c r="AH352" s="198">
        <v>0</v>
      </c>
      <c r="AI352" s="198">
        <v>0</v>
      </c>
      <c r="AJ352" s="198">
        <v>0</v>
      </c>
      <c r="AK352" s="198">
        <v>0</v>
      </c>
      <c r="AL352" s="198">
        <v>0</v>
      </c>
      <c r="AM352" s="198">
        <v>0</v>
      </c>
      <c r="AN352" s="198">
        <v>0</v>
      </c>
      <c r="AO352" s="198">
        <v>0</v>
      </c>
      <c r="AP352" s="198">
        <v>0</v>
      </c>
      <c r="AQ352" s="198">
        <v>0</v>
      </c>
      <c r="AR352" s="198">
        <v>0</v>
      </c>
      <c r="AS352" s="198">
        <v>0</v>
      </c>
      <c r="AT352" s="198">
        <v>0</v>
      </c>
      <c r="AU352" s="198">
        <v>0</v>
      </c>
      <c r="AV352" s="198">
        <v>0</v>
      </c>
      <c r="AW352" s="198">
        <v>0</v>
      </c>
      <c r="AX352" s="198">
        <v>0</v>
      </c>
      <c r="AY352" s="198">
        <v>0</v>
      </c>
      <c r="AZ352" s="198">
        <v>0</v>
      </c>
      <c r="BA352" s="198">
        <v>0</v>
      </c>
      <c r="BB352" s="198">
        <v>0</v>
      </c>
      <c r="BC352" s="198">
        <v>0</v>
      </c>
      <c r="BD352" s="198">
        <v>0</v>
      </c>
      <c r="BE352" s="198">
        <v>0</v>
      </c>
      <c r="BF352" s="198">
        <v>0</v>
      </c>
      <c r="BG352" s="198">
        <v>0</v>
      </c>
      <c r="BH352" s="198">
        <v>0</v>
      </c>
      <c r="BI352" s="198">
        <v>0</v>
      </c>
      <c r="BJ352" s="198">
        <v>0</v>
      </c>
      <c r="BK352" s="198">
        <v>0</v>
      </c>
      <c r="BL352" s="198">
        <v>0</v>
      </c>
      <c r="BM352" s="198">
        <v>0</v>
      </c>
      <c r="BN352" s="198">
        <v>0</v>
      </c>
      <c r="BO352" s="198">
        <v>0</v>
      </c>
      <c r="BP352" s="198">
        <v>0</v>
      </c>
      <c r="BQ352" s="198">
        <v>0</v>
      </c>
      <c r="BR352" s="198">
        <v>0</v>
      </c>
      <c r="BS352" s="198">
        <v>0</v>
      </c>
      <c r="BT352" s="198">
        <v>0</v>
      </c>
      <c r="BU352" s="198">
        <v>0</v>
      </c>
      <c r="BV352" s="198">
        <v>0</v>
      </c>
      <c r="BW352" s="198">
        <v>0</v>
      </c>
      <c r="BX352" s="198">
        <v>0</v>
      </c>
      <c r="BY352" s="198">
        <v>0</v>
      </c>
      <c r="BZ352" s="198">
        <v>0</v>
      </c>
      <c r="CA352" s="198">
        <v>0</v>
      </c>
      <c r="CB352" s="198">
        <v>0</v>
      </c>
      <c r="CC352" s="198">
        <v>0</v>
      </c>
      <c r="CD352" s="198">
        <v>0</v>
      </c>
      <c r="CE352" s="198">
        <v>0</v>
      </c>
      <c r="CF352" s="198">
        <v>0</v>
      </c>
      <c r="CG352" s="198">
        <v>0</v>
      </c>
      <c r="CH352" s="198">
        <v>0</v>
      </c>
      <c r="CI352" s="198">
        <v>0</v>
      </c>
      <c r="CJ352" s="198">
        <v>0</v>
      </c>
      <c r="CK352" s="88"/>
    </row>
    <row r="353" spans="1:123" x14ac:dyDescent="0.3">
      <c r="A353" s="173"/>
      <c r="B353" s="197" t="s">
        <v>272</v>
      </c>
      <c r="C353" s="198">
        <v>0</v>
      </c>
      <c r="D353" s="198">
        <v>0</v>
      </c>
      <c r="E353" s="198">
        <v>0</v>
      </c>
      <c r="F353" s="198">
        <v>0</v>
      </c>
      <c r="G353" s="198">
        <v>0</v>
      </c>
      <c r="H353" s="198">
        <v>0</v>
      </c>
      <c r="I353" s="198">
        <v>0</v>
      </c>
      <c r="J353" s="198">
        <v>0</v>
      </c>
      <c r="K353" s="198">
        <v>0</v>
      </c>
      <c r="L353" s="198">
        <v>0</v>
      </c>
      <c r="M353" s="198">
        <v>0</v>
      </c>
      <c r="N353" s="198">
        <v>0</v>
      </c>
      <c r="O353" s="198">
        <v>0</v>
      </c>
      <c r="P353" s="198">
        <v>0</v>
      </c>
      <c r="Q353" s="198">
        <v>0</v>
      </c>
      <c r="R353" s="198">
        <v>0</v>
      </c>
      <c r="S353" s="198">
        <v>0</v>
      </c>
      <c r="T353" s="198">
        <v>0</v>
      </c>
      <c r="U353" s="198">
        <v>0</v>
      </c>
      <c r="V353" s="198">
        <v>0</v>
      </c>
      <c r="W353" s="198">
        <v>0</v>
      </c>
      <c r="X353" s="198">
        <v>0</v>
      </c>
      <c r="Y353" s="198">
        <v>0</v>
      </c>
      <c r="Z353" s="198">
        <v>0</v>
      </c>
      <c r="AA353" s="198">
        <v>0</v>
      </c>
      <c r="AB353" s="198">
        <v>0</v>
      </c>
      <c r="AC353" s="198">
        <v>0</v>
      </c>
      <c r="AD353" s="198">
        <v>0</v>
      </c>
      <c r="AE353" s="198">
        <v>0</v>
      </c>
      <c r="AF353" s="198">
        <v>0</v>
      </c>
      <c r="AG353" s="198">
        <v>0</v>
      </c>
      <c r="AH353" s="198">
        <v>0</v>
      </c>
      <c r="AI353" s="198">
        <v>0</v>
      </c>
      <c r="AJ353" s="198">
        <v>0</v>
      </c>
      <c r="AK353" s="198">
        <v>0</v>
      </c>
      <c r="AL353" s="198">
        <v>0</v>
      </c>
      <c r="AM353" s="198">
        <v>0</v>
      </c>
      <c r="AN353" s="198">
        <v>0</v>
      </c>
      <c r="AO353" s="198">
        <v>0</v>
      </c>
      <c r="AP353" s="198">
        <v>0</v>
      </c>
      <c r="AQ353" s="198">
        <v>0</v>
      </c>
      <c r="AR353" s="198">
        <v>0</v>
      </c>
      <c r="AS353" s="198">
        <v>0</v>
      </c>
      <c r="AT353" s="198">
        <v>0</v>
      </c>
      <c r="AU353" s="198">
        <v>0</v>
      </c>
      <c r="AV353" s="198">
        <v>0</v>
      </c>
      <c r="AW353" s="198">
        <v>0</v>
      </c>
      <c r="AX353" s="198">
        <v>0</v>
      </c>
      <c r="AY353" s="198">
        <v>0</v>
      </c>
      <c r="AZ353" s="198">
        <v>0</v>
      </c>
      <c r="BA353" s="198">
        <v>0</v>
      </c>
      <c r="BB353" s="198">
        <v>0</v>
      </c>
      <c r="BC353" s="198">
        <v>0</v>
      </c>
      <c r="BD353" s="198">
        <v>0</v>
      </c>
      <c r="BE353" s="198">
        <v>0</v>
      </c>
      <c r="BF353" s="198">
        <v>0</v>
      </c>
      <c r="BG353" s="198">
        <v>0</v>
      </c>
      <c r="BH353" s="198">
        <v>0</v>
      </c>
      <c r="BI353" s="198">
        <v>0</v>
      </c>
      <c r="BJ353" s="198">
        <v>0</v>
      </c>
      <c r="BK353" s="198">
        <v>0</v>
      </c>
      <c r="BL353" s="198">
        <v>0</v>
      </c>
      <c r="BM353" s="198">
        <v>0</v>
      </c>
      <c r="BN353" s="198">
        <v>0</v>
      </c>
      <c r="BO353" s="198">
        <v>0</v>
      </c>
      <c r="BP353" s="198">
        <v>0</v>
      </c>
      <c r="BQ353" s="198">
        <v>543.29999999999995</v>
      </c>
      <c r="BR353" s="198">
        <v>0</v>
      </c>
      <c r="BS353" s="198">
        <v>0</v>
      </c>
      <c r="BT353" s="198">
        <v>0</v>
      </c>
      <c r="BU353" s="198">
        <v>0</v>
      </c>
      <c r="BV353" s="198">
        <v>0</v>
      </c>
      <c r="BW353" s="198">
        <v>1086.5</v>
      </c>
      <c r="BX353" s="198">
        <v>0</v>
      </c>
      <c r="BY353" s="198">
        <v>0</v>
      </c>
      <c r="BZ353" s="198">
        <v>0</v>
      </c>
      <c r="CA353" s="198">
        <v>0</v>
      </c>
      <c r="CB353" s="198">
        <v>430.8</v>
      </c>
      <c r="CC353" s="198">
        <v>1047.3</v>
      </c>
      <c r="CD353" s="198">
        <v>0</v>
      </c>
      <c r="CE353" s="198">
        <v>0</v>
      </c>
      <c r="CF353" s="198">
        <v>0</v>
      </c>
      <c r="CG353" s="198">
        <v>0</v>
      </c>
      <c r="CH353" s="198">
        <v>0</v>
      </c>
      <c r="CI353" s="198">
        <v>1047.3</v>
      </c>
      <c r="CJ353" s="198">
        <v>0</v>
      </c>
      <c r="CK353" s="88"/>
    </row>
    <row r="354" spans="1:123" x14ac:dyDescent="0.3">
      <c r="A354" s="173"/>
      <c r="B354" s="197" t="s">
        <v>273</v>
      </c>
      <c r="C354" s="198">
        <v>0</v>
      </c>
      <c r="D354" s="198">
        <v>0</v>
      </c>
      <c r="E354" s="198">
        <v>0</v>
      </c>
      <c r="F354" s="198">
        <v>0</v>
      </c>
      <c r="G354" s="198">
        <v>0</v>
      </c>
      <c r="H354" s="198">
        <v>0</v>
      </c>
      <c r="I354" s="198">
        <v>0</v>
      </c>
      <c r="J354" s="198">
        <v>0</v>
      </c>
      <c r="K354" s="198">
        <v>0</v>
      </c>
      <c r="L354" s="198">
        <v>0</v>
      </c>
      <c r="M354" s="198">
        <v>0</v>
      </c>
      <c r="N354" s="198">
        <v>0</v>
      </c>
      <c r="O354" s="198">
        <v>0</v>
      </c>
      <c r="P354" s="198">
        <v>0</v>
      </c>
      <c r="Q354" s="198">
        <v>0</v>
      </c>
      <c r="R354" s="198">
        <v>0</v>
      </c>
      <c r="S354" s="198">
        <v>0</v>
      </c>
      <c r="T354" s="198">
        <v>0</v>
      </c>
      <c r="U354" s="198">
        <v>0</v>
      </c>
      <c r="V354" s="198">
        <v>0</v>
      </c>
      <c r="W354" s="198">
        <v>0</v>
      </c>
      <c r="X354" s="198">
        <v>0</v>
      </c>
      <c r="Y354" s="198">
        <v>0</v>
      </c>
      <c r="Z354" s="198">
        <v>0</v>
      </c>
      <c r="AA354" s="198">
        <v>0</v>
      </c>
      <c r="AB354" s="198">
        <v>0</v>
      </c>
      <c r="AC354" s="198">
        <v>0</v>
      </c>
      <c r="AD354" s="198">
        <v>0</v>
      </c>
      <c r="AE354" s="198">
        <v>0</v>
      </c>
      <c r="AF354" s="198">
        <v>0</v>
      </c>
      <c r="AG354" s="198">
        <v>0</v>
      </c>
      <c r="AH354" s="198">
        <v>0</v>
      </c>
      <c r="AI354" s="198">
        <v>0</v>
      </c>
      <c r="AJ354" s="198">
        <v>0</v>
      </c>
      <c r="AK354" s="198">
        <v>0</v>
      </c>
      <c r="AL354" s="198">
        <v>0</v>
      </c>
      <c r="AM354" s="198">
        <v>0</v>
      </c>
      <c r="AN354" s="198">
        <v>0</v>
      </c>
      <c r="AO354" s="198">
        <v>0</v>
      </c>
      <c r="AP354" s="198">
        <v>0</v>
      </c>
      <c r="AQ354" s="198">
        <v>0</v>
      </c>
      <c r="AR354" s="198">
        <v>0</v>
      </c>
      <c r="AS354" s="198">
        <v>0</v>
      </c>
      <c r="AT354" s="198">
        <v>0</v>
      </c>
      <c r="AU354" s="198">
        <v>0</v>
      </c>
      <c r="AV354" s="198">
        <v>0</v>
      </c>
      <c r="AW354" s="198">
        <v>0</v>
      </c>
      <c r="AX354" s="198">
        <v>0</v>
      </c>
      <c r="AY354" s="198">
        <v>0</v>
      </c>
      <c r="AZ354" s="198">
        <v>0</v>
      </c>
      <c r="BA354" s="198">
        <v>0</v>
      </c>
      <c r="BB354" s="198">
        <v>0</v>
      </c>
      <c r="BC354" s="198">
        <v>0</v>
      </c>
      <c r="BD354" s="198">
        <v>0</v>
      </c>
      <c r="BE354" s="198">
        <v>0</v>
      </c>
      <c r="BF354" s="198">
        <v>0</v>
      </c>
      <c r="BG354" s="198">
        <v>0</v>
      </c>
      <c r="BH354" s="198">
        <v>0</v>
      </c>
      <c r="BI354" s="198">
        <v>0</v>
      </c>
      <c r="BJ354" s="198">
        <v>0</v>
      </c>
      <c r="BK354" s="198">
        <v>0</v>
      </c>
      <c r="BL354" s="198">
        <v>7595.9</v>
      </c>
      <c r="BM354" s="198">
        <v>0</v>
      </c>
      <c r="BN354" s="198">
        <v>0</v>
      </c>
      <c r="BO354" s="198">
        <v>1329.1</v>
      </c>
      <c r="BP354" s="198">
        <v>0</v>
      </c>
      <c r="BQ354" s="198">
        <v>0</v>
      </c>
      <c r="BR354" s="198">
        <v>0</v>
      </c>
      <c r="BS354" s="198">
        <v>0</v>
      </c>
      <c r="BT354" s="198">
        <v>0</v>
      </c>
      <c r="BU354" s="198">
        <v>0</v>
      </c>
      <c r="BV354" s="198">
        <v>0</v>
      </c>
      <c r="BW354" s="198">
        <v>0</v>
      </c>
      <c r="BX354" s="198">
        <v>0</v>
      </c>
      <c r="BY354" s="198">
        <v>0</v>
      </c>
      <c r="BZ354" s="198">
        <v>0</v>
      </c>
      <c r="CA354" s="198">
        <v>0</v>
      </c>
      <c r="CB354" s="198">
        <v>0</v>
      </c>
      <c r="CC354" s="198">
        <v>0</v>
      </c>
      <c r="CD354" s="198">
        <v>0</v>
      </c>
      <c r="CE354" s="198">
        <v>0</v>
      </c>
      <c r="CF354" s="198">
        <v>0</v>
      </c>
      <c r="CG354" s="198">
        <v>0</v>
      </c>
      <c r="CH354" s="198">
        <v>0</v>
      </c>
      <c r="CI354" s="198">
        <v>0</v>
      </c>
      <c r="CJ354" s="198">
        <v>0</v>
      </c>
      <c r="CK354" s="88"/>
    </row>
    <row r="355" spans="1:123" x14ac:dyDescent="0.3">
      <c r="A355" s="173"/>
      <c r="B355" s="197" t="s">
        <v>276</v>
      </c>
      <c r="C355" s="198">
        <v>0</v>
      </c>
      <c r="D355" s="198">
        <v>0</v>
      </c>
      <c r="E355" s="198">
        <v>0</v>
      </c>
      <c r="F355" s="198">
        <v>0</v>
      </c>
      <c r="G355" s="198">
        <v>0</v>
      </c>
      <c r="H355" s="198">
        <v>0</v>
      </c>
      <c r="I355" s="198">
        <v>0</v>
      </c>
      <c r="J355" s="198">
        <v>0</v>
      </c>
      <c r="K355" s="198">
        <v>0</v>
      </c>
      <c r="L355" s="198">
        <v>0</v>
      </c>
      <c r="M355" s="198">
        <v>0</v>
      </c>
      <c r="N355" s="198">
        <v>0</v>
      </c>
      <c r="O355" s="198">
        <v>0</v>
      </c>
      <c r="P355" s="198">
        <v>0</v>
      </c>
      <c r="Q355" s="198">
        <v>0</v>
      </c>
      <c r="R355" s="198">
        <v>0</v>
      </c>
      <c r="S355" s="198">
        <v>0</v>
      </c>
      <c r="T355" s="198">
        <v>0</v>
      </c>
      <c r="U355" s="198">
        <v>0</v>
      </c>
      <c r="V355" s="198">
        <v>0</v>
      </c>
      <c r="W355" s="198">
        <v>0</v>
      </c>
      <c r="X355" s="198">
        <v>0</v>
      </c>
      <c r="Y355" s="198">
        <v>0</v>
      </c>
      <c r="Z355" s="198">
        <v>0</v>
      </c>
      <c r="AA355" s="198">
        <v>0</v>
      </c>
      <c r="AB355" s="198">
        <v>0</v>
      </c>
      <c r="AC355" s="198">
        <v>0</v>
      </c>
      <c r="AD355" s="198">
        <v>0</v>
      </c>
      <c r="AE355" s="198">
        <v>0</v>
      </c>
      <c r="AF355" s="198">
        <v>0</v>
      </c>
      <c r="AG355" s="198">
        <v>0</v>
      </c>
      <c r="AH355" s="198">
        <v>0</v>
      </c>
      <c r="AI355" s="198">
        <v>0</v>
      </c>
      <c r="AJ355" s="198">
        <v>0</v>
      </c>
      <c r="AK355" s="198">
        <v>0</v>
      </c>
      <c r="AL355" s="198">
        <v>0</v>
      </c>
      <c r="AM355" s="198">
        <v>0</v>
      </c>
      <c r="AN355" s="198">
        <v>0</v>
      </c>
      <c r="AO355" s="198">
        <v>0</v>
      </c>
      <c r="AP355" s="198">
        <v>0</v>
      </c>
      <c r="AQ355" s="198">
        <v>0</v>
      </c>
      <c r="AR355" s="198">
        <v>0</v>
      </c>
      <c r="AS355" s="198">
        <v>0</v>
      </c>
      <c r="AT355" s="198">
        <v>0</v>
      </c>
      <c r="AU355" s="198">
        <v>0</v>
      </c>
      <c r="AV355" s="198">
        <v>0</v>
      </c>
      <c r="AW355" s="198">
        <v>0</v>
      </c>
      <c r="AX355" s="198">
        <v>0</v>
      </c>
      <c r="AY355" s="198">
        <v>0</v>
      </c>
      <c r="AZ355" s="198">
        <v>0</v>
      </c>
      <c r="BA355" s="198">
        <v>0</v>
      </c>
      <c r="BB355" s="198">
        <v>0</v>
      </c>
      <c r="BC355" s="198">
        <v>0</v>
      </c>
      <c r="BD355" s="198">
        <v>0</v>
      </c>
      <c r="BE355" s="198">
        <v>0</v>
      </c>
      <c r="BF355" s="198">
        <v>0</v>
      </c>
      <c r="BG355" s="198">
        <v>0</v>
      </c>
      <c r="BH355" s="198">
        <v>0</v>
      </c>
      <c r="BI355" s="198">
        <v>0</v>
      </c>
      <c r="BJ355" s="198">
        <v>0</v>
      </c>
      <c r="BK355" s="198">
        <v>0</v>
      </c>
      <c r="BL355" s="198">
        <v>0</v>
      </c>
      <c r="BM355" s="198">
        <v>0</v>
      </c>
      <c r="BN355" s="198">
        <v>0</v>
      </c>
      <c r="BO355" s="198">
        <v>801.3</v>
      </c>
      <c r="BP355" s="198">
        <v>0</v>
      </c>
      <c r="BQ355" s="198">
        <v>0</v>
      </c>
      <c r="BR355" s="198">
        <v>0</v>
      </c>
      <c r="BS355" s="198">
        <v>0</v>
      </c>
      <c r="BT355" s="198">
        <v>0</v>
      </c>
      <c r="BU355" s="198">
        <v>0</v>
      </c>
      <c r="BV355" s="198">
        <v>0</v>
      </c>
      <c r="BW355" s="198">
        <v>139.5</v>
      </c>
      <c r="BX355" s="198">
        <v>0</v>
      </c>
      <c r="BY355" s="198">
        <v>0</v>
      </c>
      <c r="BZ355" s="198">
        <v>0</v>
      </c>
      <c r="CA355" s="198">
        <v>0</v>
      </c>
      <c r="CB355" s="198">
        <v>0.7</v>
      </c>
      <c r="CC355" s="198">
        <v>139.4</v>
      </c>
      <c r="CD355" s="198">
        <v>0</v>
      </c>
      <c r="CE355" s="198">
        <v>0</v>
      </c>
      <c r="CF355" s="198">
        <v>0</v>
      </c>
      <c r="CG355" s="198">
        <v>0</v>
      </c>
      <c r="CH355" s="198">
        <v>0</v>
      </c>
      <c r="CI355" s="198">
        <v>139.4</v>
      </c>
      <c r="CJ355" s="198">
        <v>0</v>
      </c>
      <c r="CK355" s="88"/>
    </row>
    <row r="356" spans="1:123" x14ac:dyDescent="0.3">
      <c r="A356" s="173"/>
      <c r="B356" s="197" t="s">
        <v>265</v>
      </c>
      <c r="C356" s="198">
        <v>0</v>
      </c>
      <c r="D356" s="198">
        <v>0</v>
      </c>
      <c r="E356" s="198">
        <v>0</v>
      </c>
      <c r="F356" s="198">
        <v>0</v>
      </c>
      <c r="G356" s="198">
        <v>0</v>
      </c>
      <c r="H356" s="198">
        <v>0</v>
      </c>
      <c r="I356" s="198">
        <v>0</v>
      </c>
      <c r="J356" s="198">
        <v>0</v>
      </c>
      <c r="K356" s="198">
        <v>0</v>
      </c>
      <c r="L356" s="198">
        <v>0</v>
      </c>
      <c r="M356" s="198">
        <v>0</v>
      </c>
      <c r="N356" s="198">
        <v>0</v>
      </c>
      <c r="O356" s="198">
        <v>0</v>
      </c>
      <c r="P356" s="198">
        <v>0</v>
      </c>
      <c r="Q356" s="198">
        <v>0</v>
      </c>
      <c r="R356" s="198">
        <v>0</v>
      </c>
      <c r="S356" s="198">
        <v>0</v>
      </c>
      <c r="T356" s="198">
        <v>0</v>
      </c>
      <c r="U356" s="198">
        <v>0</v>
      </c>
      <c r="V356" s="198">
        <v>0</v>
      </c>
      <c r="W356" s="198">
        <v>0</v>
      </c>
      <c r="X356" s="198">
        <v>0</v>
      </c>
      <c r="Y356" s="198">
        <v>0</v>
      </c>
      <c r="Z356" s="198">
        <v>0</v>
      </c>
      <c r="AA356" s="198">
        <v>0</v>
      </c>
      <c r="AB356" s="198">
        <v>0</v>
      </c>
      <c r="AC356" s="198">
        <v>0</v>
      </c>
      <c r="AD356" s="198">
        <v>0</v>
      </c>
      <c r="AE356" s="198">
        <v>0</v>
      </c>
      <c r="AF356" s="198">
        <v>0</v>
      </c>
      <c r="AG356" s="198">
        <v>0</v>
      </c>
      <c r="AH356" s="198">
        <v>0</v>
      </c>
      <c r="AI356" s="198">
        <v>0</v>
      </c>
      <c r="AJ356" s="198">
        <v>0</v>
      </c>
      <c r="AK356" s="198">
        <v>0</v>
      </c>
      <c r="AL356" s="198">
        <v>0</v>
      </c>
      <c r="AM356" s="198">
        <v>0</v>
      </c>
      <c r="AN356" s="198">
        <v>0</v>
      </c>
      <c r="AO356" s="198">
        <v>0</v>
      </c>
      <c r="AP356" s="198">
        <v>0</v>
      </c>
      <c r="AQ356" s="198">
        <v>0</v>
      </c>
      <c r="AR356" s="198">
        <v>0</v>
      </c>
      <c r="AS356" s="198">
        <v>0</v>
      </c>
      <c r="AT356" s="198">
        <v>0</v>
      </c>
      <c r="AU356" s="198">
        <v>0</v>
      </c>
      <c r="AV356" s="198">
        <v>0</v>
      </c>
      <c r="AW356" s="198">
        <v>0</v>
      </c>
      <c r="AX356" s="198">
        <v>0</v>
      </c>
      <c r="AY356" s="198">
        <v>0</v>
      </c>
      <c r="AZ356" s="198">
        <v>0</v>
      </c>
      <c r="BA356" s="198">
        <v>0</v>
      </c>
      <c r="BB356" s="198">
        <v>0</v>
      </c>
      <c r="BC356" s="198">
        <v>0</v>
      </c>
      <c r="BD356" s="198">
        <v>0</v>
      </c>
      <c r="BE356" s="198">
        <v>0</v>
      </c>
      <c r="BF356" s="198">
        <v>0</v>
      </c>
      <c r="BG356" s="198">
        <v>0</v>
      </c>
      <c r="BH356" s="198">
        <v>0</v>
      </c>
      <c r="BI356" s="198">
        <v>0</v>
      </c>
      <c r="BJ356" s="198">
        <v>0</v>
      </c>
      <c r="BK356" s="198">
        <v>0</v>
      </c>
      <c r="BL356" s="198">
        <v>0</v>
      </c>
      <c r="BM356" s="198">
        <v>0</v>
      </c>
      <c r="BN356" s="198">
        <v>0</v>
      </c>
      <c r="BO356" s="198">
        <v>0</v>
      </c>
      <c r="BP356" s="198">
        <v>0</v>
      </c>
      <c r="BQ356" s="198">
        <v>0</v>
      </c>
      <c r="BR356" s="198">
        <v>0</v>
      </c>
      <c r="BS356" s="198">
        <v>0</v>
      </c>
      <c r="BT356" s="198">
        <v>0</v>
      </c>
      <c r="BU356" s="198">
        <v>0</v>
      </c>
      <c r="BV356" s="198">
        <v>0</v>
      </c>
      <c r="BW356" s="198">
        <v>0</v>
      </c>
      <c r="BX356" s="198">
        <v>0</v>
      </c>
      <c r="BY356" s="198">
        <v>0</v>
      </c>
      <c r="BZ356" s="198">
        <v>0</v>
      </c>
      <c r="CA356" s="198">
        <v>0</v>
      </c>
      <c r="CB356" s="198">
        <v>0</v>
      </c>
      <c r="CC356" s="198">
        <v>0</v>
      </c>
      <c r="CD356" s="198">
        <v>0</v>
      </c>
      <c r="CE356" s="198">
        <v>0</v>
      </c>
      <c r="CF356" s="198">
        <v>0</v>
      </c>
      <c r="CG356" s="198">
        <v>0</v>
      </c>
      <c r="CH356" s="198">
        <v>0</v>
      </c>
      <c r="CI356" s="198">
        <v>0</v>
      </c>
      <c r="CJ356" s="198">
        <v>0</v>
      </c>
      <c r="CK356" s="88"/>
    </row>
    <row r="357" spans="1:123" x14ac:dyDescent="0.3">
      <c r="A357" s="173"/>
      <c r="B357" s="197" t="s">
        <v>263</v>
      </c>
      <c r="C357" s="198">
        <v>0</v>
      </c>
      <c r="D357" s="198">
        <v>0</v>
      </c>
      <c r="E357" s="198">
        <v>0</v>
      </c>
      <c r="F357" s="198">
        <v>0</v>
      </c>
      <c r="G357" s="198">
        <v>0</v>
      </c>
      <c r="H357" s="198">
        <v>0</v>
      </c>
      <c r="I357" s="198">
        <v>0</v>
      </c>
      <c r="J357" s="198">
        <v>0</v>
      </c>
      <c r="K357" s="198">
        <v>0</v>
      </c>
      <c r="L357" s="198">
        <v>0</v>
      </c>
      <c r="M357" s="198">
        <v>0</v>
      </c>
      <c r="N357" s="198">
        <v>0</v>
      </c>
      <c r="O357" s="198">
        <v>0</v>
      </c>
      <c r="P357" s="198">
        <v>0</v>
      </c>
      <c r="Q357" s="198">
        <v>0</v>
      </c>
      <c r="R357" s="198">
        <v>0</v>
      </c>
      <c r="S357" s="198">
        <v>0</v>
      </c>
      <c r="T357" s="198">
        <v>0</v>
      </c>
      <c r="U357" s="198">
        <v>0</v>
      </c>
      <c r="V357" s="198">
        <v>0</v>
      </c>
      <c r="W357" s="198">
        <v>0</v>
      </c>
      <c r="X357" s="198">
        <v>0</v>
      </c>
      <c r="Y357" s="198">
        <v>0</v>
      </c>
      <c r="Z357" s="198">
        <v>0</v>
      </c>
      <c r="AA357" s="198">
        <v>0</v>
      </c>
      <c r="AB357" s="198">
        <v>0</v>
      </c>
      <c r="AC357" s="198">
        <v>0</v>
      </c>
      <c r="AD357" s="198">
        <v>0</v>
      </c>
      <c r="AE357" s="198">
        <v>0</v>
      </c>
      <c r="AF357" s="198">
        <v>0</v>
      </c>
      <c r="AG357" s="198">
        <v>0</v>
      </c>
      <c r="AH357" s="198">
        <v>0</v>
      </c>
      <c r="AI357" s="198">
        <v>0</v>
      </c>
      <c r="AJ357" s="198">
        <v>0</v>
      </c>
      <c r="AK357" s="198">
        <v>0</v>
      </c>
      <c r="AL357" s="198">
        <v>0</v>
      </c>
      <c r="AM357" s="198">
        <v>0</v>
      </c>
      <c r="AN357" s="198">
        <v>0</v>
      </c>
      <c r="AO357" s="198">
        <v>0</v>
      </c>
      <c r="AP357" s="198">
        <v>0</v>
      </c>
      <c r="AQ357" s="198">
        <v>0</v>
      </c>
      <c r="AR357" s="198">
        <v>0</v>
      </c>
      <c r="AS357" s="198">
        <v>0</v>
      </c>
      <c r="AT357" s="198">
        <v>0</v>
      </c>
      <c r="AU357" s="198">
        <v>0</v>
      </c>
      <c r="AV357" s="198">
        <v>0</v>
      </c>
      <c r="AW357" s="198">
        <v>0</v>
      </c>
      <c r="AX357" s="198">
        <v>0</v>
      </c>
      <c r="AY357" s="198">
        <v>0</v>
      </c>
      <c r="AZ357" s="198">
        <v>0</v>
      </c>
      <c r="BA357" s="198">
        <v>0</v>
      </c>
      <c r="BB357" s="198">
        <v>0</v>
      </c>
      <c r="BC357" s="198">
        <v>0</v>
      </c>
      <c r="BD357" s="198">
        <v>0</v>
      </c>
      <c r="BE357" s="198">
        <v>0</v>
      </c>
      <c r="BF357" s="198">
        <v>0</v>
      </c>
      <c r="BG357" s="198">
        <v>0</v>
      </c>
      <c r="BH357" s="198">
        <v>0</v>
      </c>
      <c r="BI357" s="198">
        <v>0</v>
      </c>
      <c r="BJ357" s="198">
        <v>0</v>
      </c>
      <c r="BK357" s="198">
        <v>0</v>
      </c>
      <c r="BL357" s="198">
        <v>0</v>
      </c>
      <c r="BM357" s="198">
        <v>0</v>
      </c>
      <c r="BN357" s="198">
        <v>0</v>
      </c>
      <c r="BO357" s="198">
        <v>0</v>
      </c>
      <c r="BP357" s="198">
        <v>0</v>
      </c>
      <c r="BQ357" s="198">
        <v>582.9</v>
      </c>
      <c r="BR357" s="198">
        <v>0</v>
      </c>
      <c r="BS357" s="198">
        <v>0</v>
      </c>
      <c r="BT357" s="198">
        <v>0</v>
      </c>
      <c r="BU357" s="198">
        <v>0</v>
      </c>
      <c r="BV357" s="198">
        <v>0</v>
      </c>
      <c r="BW357" s="198">
        <v>1165.9000000000001</v>
      </c>
      <c r="BX357" s="198">
        <v>0</v>
      </c>
      <c r="BY357" s="198">
        <v>0</v>
      </c>
      <c r="BZ357" s="198">
        <v>0</v>
      </c>
      <c r="CA357" s="198">
        <v>0</v>
      </c>
      <c r="CB357" s="198">
        <v>867.9</v>
      </c>
      <c r="CC357" s="198">
        <v>1087</v>
      </c>
      <c r="CD357" s="198">
        <v>0</v>
      </c>
      <c r="CE357" s="198">
        <v>0</v>
      </c>
      <c r="CF357" s="198">
        <v>0</v>
      </c>
      <c r="CG357" s="198">
        <v>0</v>
      </c>
      <c r="CH357" s="198">
        <v>0</v>
      </c>
      <c r="CI357" s="198">
        <v>1087</v>
      </c>
      <c r="CJ357" s="198">
        <v>0</v>
      </c>
      <c r="CK357" s="88"/>
    </row>
    <row r="358" spans="1:123" x14ac:dyDescent="0.3">
      <c r="A358" s="173"/>
      <c r="B358" s="197" t="s">
        <v>266</v>
      </c>
      <c r="C358" s="198">
        <v>0</v>
      </c>
      <c r="D358" s="198">
        <v>0</v>
      </c>
      <c r="E358" s="198">
        <v>0</v>
      </c>
      <c r="F358" s="198">
        <v>0</v>
      </c>
      <c r="G358" s="198">
        <v>0</v>
      </c>
      <c r="H358" s="198">
        <v>0</v>
      </c>
      <c r="I358" s="198">
        <v>0</v>
      </c>
      <c r="J358" s="198">
        <v>0</v>
      </c>
      <c r="K358" s="198">
        <v>0</v>
      </c>
      <c r="L358" s="198">
        <v>0</v>
      </c>
      <c r="M358" s="198">
        <v>0</v>
      </c>
      <c r="N358" s="198">
        <v>0</v>
      </c>
      <c r="O358" s="198">
        <v>0</v>
      </c>
      <c r="P358" s="198">
        <v>0</v>
      </c>
      <c r="Q358" s="198">
        <v>0</v>
      </c>
      <c r="R358" s="198">
        <v>0</v>
      </c>
      <c r="S358" s="198">
        <v>0</v>
      </c>
      <c r="T358" s="198">
        <v>0</v>
      </c>
      <c r="U358" s="198">
        <v>0</v>
      </c>
      <c r="V358" s="198">
        <v>0</v>
      </c>
      <c r="W358" s="198">
        <v>0</v>
      </c>
      <c r="X358" s="198">
        <v>0</v>
      </c>
      <c r="Y358" s="198">
        <v>0</v>
      </c>
      <c r="Z358" s="198">
        <v>0</v>
      </c>
      <c r="AA358" s="198">
        <v>0</v>
      </c>
      <c r="AB358" s="198">
        <v>0</v>
      </c>
      <c r="AC358" s="198">
        <v>0</v>
      </c>
      <c r="AD358" s="198">
        <v>0</v>
      </c>
      <c r="AE358" s="198">
        <v>0</v>
      </c>
      <c r="AF358" s="198">
        <v>0</v>
      </c>
      <c r="AG358" s="198">
        <v>0</v>
      </c>
      <c r="AH358" s="198">
        <v>0</v>
      </c>
      <c r="AI358" s="198">
        <v>0</v>
      </c>
      <c r="AJ358" s="198">
        <v>0</v>
      </c>
      <c r="AK358" s="198">
        <v>0</v>
      </c>
      <c r="AL358" s="198">
        <v>0</v>
      </c>
      <c r="AM358" s="198">
        <v>0</v>
      </c>
      <c r="AN358" s="198">
        <v>0</v>
      </c>
      <c r="AO358" s="198">
        <v>0</v>
      </c>
      <c r="AP358" s="198">
        <v>0</v>
      </c>
      <c r="AQ358" s="198">
        <v>0</v>
      </c>
      <c r="AR358" s="198">
        <v>0</v>
      </c>
      <c r="AS358" s="198">
        <v>0</v>
      </c>
      <c r="AT358" s="198">
        <v>0</v>
      </c>
      <c r="AU358" s="198">
        <v>0</v>
      </c>
      <c r="AV358" s="198">
        <v>0</v>
      </c>
      <c r="AW358" s="198">
        <v>0</v>
      </c>
      <c r="AX358" s="198">
        <v>0</v>
      </c>
      <c r="AY358" s="198">
        <v>0</v>
      </c>
      <c r="AZ358" s="198">
        <v>0</v>
      </c>
      <c r="BA358" s="198">
        <v>0</v>
      </c>
      <c r="BB358" s="198">
        <v>0</v>
      </c>
      <c r="BC358" s="198">
        <v>0</v>
      </c>
      <c r="BD358" s="198">
        <v>0</v>
      </c>
      <c r="BE358" s="198">
        <v>0</v>
      </c>
      <c r="BF358" s="198">
        <v>0</v>
      </c>
      <c r="BG358" s="198">
        <v>0</v>
      </c>
      <c r="BH358" s="198">
        <v>0</v>
      </c>
      <c r="BI358" s="198">
        <v>0</v>
      </c>
      <c r="BJ358" s="198">
        <v>0</v>
      </c>
      <c r="BK358" s="198">
        <v>0</v>
      </c>
      <c r="BL358" s="198">
        <v>0</v>
      </c>
      <c r="BM358" s="198">
        <v>0</v>
      </c>
      <c r="BN358" s="198">
        <v>0</v>
      </c>
      <c r="BO358" s="198">
        <v>0</v>
      </c>
      <c r="BP358" s="198">
        <v>0</v>
      </c>
      <c r="BQ358" s="198">
        <v>0</v>
      </c>
      <c r="BR358" s="198">
        <v>0</v>
      </c>
      <c r="BS358" s="198">
        <v>0</v>
      </c>
      <c r="BT358" s="198">
        <v>0</v>
      </c>
      <c r="BU358" s="198">
        <v>0</v>
      </c>
      <c r="BV358" s="198">
        <v>0</v>
      </c>
      <c r="BW358" s="198">
        <v>0</v>
      </c>
      <c r="BX358" s="198">
        <v>0</v>
      </c>
      <c r="BY358" s="198">
        <v>0</v>
      </c>
      <c r="BZ358" s="198">
        <v>0</v>
      </c>
      <c r="CA358" s="198">
        <v>0</v>
      </c>
      <c r="CB358" s="198">
        <v>0</v>
      </c>
      <c r="CC358" s="198">
        <v>0</v>
      </c>
      <c r="CD358" s="198">
        <v>0</v>
      </c>
      <c r="CE358" s="198">
        <v>0</v>
      </c>
      <c r="CF358" s="198">
        <v>0</v>
      </c>
      <c r="CG358" s="198">
        <v>0</v>
      </c>
      <c r="CH358" s="198">
        <v>0</v>
      </c>
      <c r="CI358" s="198">
        <v>0</v>
      </c>
      <c r="CJ358" s="198">
        <v>0</v>
      </c>
      <c r="CK358" s="88"/>
    </row>
    <row r="359" spans="1:123" s="417" customFormat="1" x14ac:dyDescent="0.3">
      <c r="A359" s="416"/>
      <c r="B359" s="201" t="s">
        <v>264</v>
      </c>
      <c r="C359" s="202">
        <v>0</v>
      </c>
      <c r="D359" s="202">
        <v>0</v>
      </c>
      <c r="E359" s="202">
        <v>0</v>
      </c>
      <c r="F359" s="202">
        <v>0</v>
      </c>
      <c r="G359" s="202">
        <v>0</v>
      </c>
      <c r="H359" s="202">
        <v>0</v>
      </c>
      <c r="I359" s="202">
        <v>0</v>
      </c>
      <c r="J359" s="202">
        <v>0</v>
      </c>
      <c r="K359" s="202">
        <v>0</v>
      </c>
      <c r="L359" s="202">
        <v>0</v>
      </c>
      <c r="M359" s="202">
        <v>0</v>
      </c>
      <c r="N359" s="202">
        <v>0</v>
      </c>
      <c r="O359" s="202">
        <v>0</v>
      </c>
      <c r="P359" s="202">
        <v>0</v>
      </c>
      <c r="Q359" s="202">
        <v>0</v>
      </c>
      <c r="R359" s="202">
        <v>0</v>
      </c>
      <c r="S359" s="202">
        <v>0</v>
      </c>
      <c r="T359" s="202">
        <v>0</v>
      </c>
      <c r="U359" s="202">
        <v>0</v>
      </c>
      <c r="V359" s="202">
        <v>0</v>
      </c>
      <c r="W359" s="202">
        <v>0</v>
      </c>
      <c r="X359" s="202">
        <v>0</v>
      </c>
      <c r="Y359" s="202">
        <v>0</v>
      </c>
      <c r="Z359" s="202">
        <v>0</v>
      </c>
      <c r="AA359" s="202">
        <v>0</v>
      </c>
      <c r="AB359" s="202">
        <v>0</v>
      </c>
      <c r="AC359" s="202">
        <v>0</v>
      </c>
      <c r="AD359" s="202">
        <v>0</v>
      </c>
      <c r="AE359" s="202">
        <v>0</v>
      </c>
      <c r="AF359" s="202">
        <v>0</v>
      </c>
      <c r="AG359" s="202">
        <v>0</v>
      </c>
      <c r="AH359" s="202">
        <v>0</v>
      </c>
      <c r="AI359" s="202">
        <v>0</v>
      </c>
      <c r="AJ359" s="202">
        <v>0</v>
      </c>
      <c r="AK359" s="202">
        <v>0</v>
      </c>
      <c r="AL359" s="202">
        <v>0</v>
      </c>
      <c r="AM359" s="202">
        <v>0</v>
      </c>
      <c r="AN359" s="202">
        <v>0</v>
      </c>
      <c r="AO359" s="202">
        <v>0</v>
      </c>
      <c r="AP359" s="202">
        <v>0</v>
      </c>
      <c r="AQ359" s="202">
        <v>0</v>
      </c>
      <c r="AR359" s="202">
        <v>0</v>
      </c>
      <c r="AS359" s="202">
        <v>0</v>
      </c>
      <c r="AT359" s="202">
        <v>0</v>
      </c>
      <c r="AU359" s="202">
        <v>0</v>
      </c>
      <c r="AV359" s="202">
        <v>0</v>
      </c>
      <c r="AW359" s="202">
        <v>0</v>
      </c>
      <c r="AX359" s="202">
        <v>0</v>
      </c>
      <c r="AY359" s="202">
        <v>0</v>
      </c>
      <c r="AZ359" s="202">
        <v>0</v>
      </c>
      <c r="BA359" s="202">
        <v>0</v>
      </c>
      <c r="BB359" s="202">
        <v>0</v>
      </c>
      <c r="BC359" s="202">
        <v>0</v>
      </c>
      <c r="BD359" s="202">
        <v>0</v>
      </c>
      <c r="BE359" s="202">
        <v>0</v>
      </c>
      <c r="BF359" s="202">
        <v>0</v>
      </c>
      <c r="BG359" s="202">
        <v>0</v>
      </c>
      <c r="BH359" s="202">
        <v>0</v>
      </c>
      <c r="BI359" s="202">
        <v>0</v>
      </c>
      <c r="BJ359" s="202">
        <v>0</v>
      </c>
      <c r="BK359" s="202">
        <v>0</v>
      </c>
      <c r="BL359" s="202">
        <v>0</v>
      </c>
      <c r="BM359" s="202">
        <v>0</v>
      </c>
      <c r="BN359" s="202">
        <v>0</v>
      </c>
      <c r="BO359" s="202">
        <v>0</v>
      </c>
      <c r="BP359" s="202">
        <v>0</v>
      </c>
      <c r="BQ359" s="202">
        <v>0</v>
      </c>
      <c r="BR359" s="202">
        <v>0</v>
      </c>
      <c r="BS359" s="202">
        <v>0</v>
      </c>
      <c r="BT359" s="202">
        <v>0</v>
      </c>
      <c r="BU359" s="202">
        <v>0</v>
      </c>
      <c r="BV359" s="202">
        <v>0</v>
      </c>
      <c r="BW359" s="202">
        <v>47.5</v>
      </c>
      <c r="BX359" s="202">
        <v>0</v>
      </c>
      <c r="BY359" s="202">
        <v>0</v>
      </c>
      <c r="BZ359" s="202">
        <v>0</v>
      </c>
      <c r="CA359" s="202">
        <v>0</v>
      </c>
      <c r="CB359" s="202">
        <v>0</v>
      </c>
      <c r="CC359" s="202">
        <v>47.5</v>
      </c>
      <c r="CD359" s="202">
        <v>0</v>
      </c>
      <c r="CE359" s="202">
        <v>0</v>
      </c>
      <c r="CF359" s="202">
        <v>0</v>
      </c>
      <c r="CG359" s="202">
        <v>0</v>
      </c>
      <c r="CH359" s="202">
        <v>0</v>
      </c>
      <c r="CI359" s="202">
        <v>47.5</v>
      </c>
      <c r="CJ359" s="202">
        <v>0</v>
      </c>
      <c r="CK359" s="88"/>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row>
    <row r="360" spans="1:123" x14ac:dyDescent="0.3">
      <c r="A360" s="173"/>
      <c r="B360" s="197" t="s">
        <v>260</v>
      </c>
      <c r="C360" s="198">
        <v>0</v>
      </c>
      <c r="D360" s="198">
        <v>0</v>
      </c>
      <c r="E360" s="198">
        <v>0</v>
      </c>
      <c r="F360" s="198">
        <v>0</v>
      </c>
      <c r="G360" s="198">
        <v>0</v>
      </c>
      <c r="H360" s="198">
        <v>0</v>
      </c>
      <c r="I360" s="198">
        <v>0</v>
      </c>
      <c r="J360" s="198">
        <v>0</v>
      </c>
      <c r="K360" s="198">
        <v>0</v>
      </c>
      <c r="L360" s="198">
        <v>0</v>
      </c>
      <c r="M360" s="198">
        <v>0</v>
      </c>
      <c r="N360" s="198">
        <v>0</v>
      </c>
      <c r="O360" s="198">
        <v>0</v>
      </c>
      <c r="P360" s="198">
        <v>0</v>
      </c>
      <c r="Q360" s="198">
        <v>0</v>
      </c>
      <c r="R360" s="198">
        <v>0</v>
      </c>
      <c r="S360" s="198">
        <v>0</v>
      </c>
      <c r="T360" s="198">
        <v>0</v>
      </c>
      <c r="U360" s="198">
        <v>0</v>
      </c>
      <c r="V360" s="198">
        <v>0</v>
      </c>
      <c r="W360" s="198">
        <v>0</v>
      </c>
      <c r="X360" s="198">
        <v>0</v>
      </c>
      <c r="Y360" s="198">
        <v>0</v>
      </c>
      <c r="Z360" s="198">
        <v>0</v>
      </c>
      <c r="AA360" s="198">
        <v>0</v>
      </c>
      <c r="AB360" s="198">
        <v>0</v>
      </c>
      <c r="AC360" s="198">
        <v>0</v>
      </c>
      <c r="AD360" s="198">
        <v>0</v>
      </c>
      <c r="AE360" s="198">
        <v>0</v>
      </c>
      <c r="AF360" s="198">
        <v>0</v>
      </c>
      <c r="AG360" s="198">
        <v>0</v>
      </c>
      <c r="AH360" s="198">
        <v>0</v>
      </c>
      <c r="AI360" s="198">
        <v>0</v>
      </c>
      <c r="AJ360" s="198">
        <v>0</v>
      </c>
      <c r="AK360" s="198">
        <v>0</v>
      </c>
      <c r="AL360" s="198">
        <v>0</v>
      </c>
      <c r="AM360" s="198">
        <v>0</v>
      </c>
      <c r="AN360" s="198">
        <v>0</v>
      </c>
      <c r="AO360" s="198">
        <v>0</v>
      </c>
      <c r="AP360" s="198">
        <v>0</v>
      </c>
      <c r="AQ360" s="198">
        <v>0</v>
      </c>
      <c r="AR360" s="198">
        <v>0</v>
      </c>
      <c r="AS360" s="198">
        <v>0</v>
      </c>
      <c r="AT360" s="198">
        <v>0</v>
      </c>
      <c r="AU360" s="198">
        <v>0</v>
      </c>
      <c r="AV360" s="198">
        <v>0</v>
      </c>
      <c r="AW360" s="198">
        <v>0</v>
      </c>
      <c r="AX360" s="198">
        <v>0</v>
      </c>
      <c r="AY360" s="198">
        <v>0</v>
      </c>
      <c r="AZ360" s="198">
        <v>0</v>
      </c>
      <c r="BA360" s="198">
        <v>0</v>
      </c>
      <c r="BB360" s="198">
        <v>0</v>
      </c>
      <c r="BC360" s="198">
        <v>0</v>
      </c>
      <c r="BD360" s="198">
        <v>0</v>
      </c>
      <c r="BE360" s="198">
        <v>0</v>
      </c>
      <c r="BF360" s="198">
        <v>0</v>
      </c>
      <c r="BG360" s="198">
        <v>0</v>
      </c>
      <c r="BH360" s="198">
        <v>0</v>
      </c>
      <c r="BI360" s="198">
        <v>0</v>
      </c>
      <c r="BJ360" s="198">
        <v>0</v>
      </c>
      <c r="BK360" s="198">
        <v>0</v>
      </c>
      <c r="BL360" s="198">
        <v>0</v>
      </c>
      <c r="BM360" s="198">
        <v>0</v>
      </c>
      <c r="BN360" s="198">
        <v>0</v>
      </c>
      <c r="BO360" s="198">
        <v>0</v>
      </c>
      <c r="BP360" s="198">
        <v>0</v>
      </c>
      <c r="BQ360" s="198">
        <v>0</v>
      </c>
      <c r="BR360" s="198">
        <v>0</v>
      </c>
      <c r="BS360" s="198">
        <v>0</v>
      </c>
      <c r="BT360" s="198">
        <v>0</v>
      </c>
      <c r="BU360" s="198">
        <v>0</v>
      </c>
      <c r="BV360" s="198">
        <v>0</v>
      </c>
      <c r="BW360" s="198">
        <v>262.10000000000002</v>
      </c>
      <c r="BX360" s="198">
        <v>0</v>
      </c>
      <c r="BY360" s="198">
        <v>0</v>
      </c>
      <c r="BZ360" s="198">
        <v>0</v>
      </c>
      <c r="CA360" s="198">
        <v>0</v>
      </c>
      <c r="CB360" s="198">
        <v>0</v>
      </c>
      <c r="CC360" s="198">
        <v>262.10000000000002</v>
      </c>
      <c r="CD360" s="198">
        <v>0</v>
      </c>
      <c r="CE360" s="198">
        <v>0</v>
      </c>
      <c r="CF360" s="198">
        <v>0</v>
      </c>
      <c r="CG360" s="198">
        <v>0</v>
      </c>
      <c r="CH360" s="198">
        <v>0</v>
      </c>
      <c r="CI360" s="198">
        <v>262.10000000000002</v>
      </c>
      <c r="CJ360" s="198">
        <v>0</v>
      </c>
      <c r="CK360" s="88"/>
    </row>
    <row r="361" spans="1:123" x14ac:dyDescent="0.3">
      <c r="A361" s="173"/>
      <c r="B361" s="197" t="s">
        <v>262</v>
      </c>
      <c r="C361" s="198">
        <v>0</v>
      </c>
      <c r="D361" s="198">
        <v>0</v>
      </c>
      <c r="E361" s="198">
        <v>0</v>
      </c>
      <c r="F361" s="198">
        <v>0</v>
      </c>
      <c r="G361" s="198">
        <v>0</v>
      </c>
      <c r="H361" s="198">
        <v>0</v>
      </c>
      <c r="I361" s="198">
        <v>0</v>
      </c>
      <c r="J361" s="198">
        <v>0</v>
      </c>
      <c r="K361" s="198">
        <v>0</v>
      </c>
      <c r="L361" s="198">
        <v>0</v>
      </c>
      <c r="M361" s="198">
        <v>0</v>
      </c>
      <c r="N361" s="198">
        <v>0</v>
      </c>
      <c r="O361" s="198">
        <v>0</v>
      </c>
      <c r="P361" s="198">
        <v>0</v>
      </c>
      <c r="Q361" s="198">
        <v>0</v>
      </c>
      <c r="R361" s="198">
        <v>0</v>
      </c>
      <c r="S361" s="198">
        <v>0</v>
      </c>
      <c r="T361" s="198">
        <v>0</v>
      </c>
      <c r="U361" s="198">
        <v>0</v>
      </c>
      <c r="V361" s="198">
        <v>0</v>
      </c>
      <c r="W361" s="198">
        <v>0</v>
      </c>
      <c r="X361" s="198">
        <v>0</v>
      </c>
      <c r="Y361" s="198">
        <v>0</v>
      </c>
      <c r="Z361" s="198">
        <v>0</v>
      </c>
      <c r="AA361" s="198">
        <v>0</v>
      </c>
      <c r="AB361" s="198">
        <v>0</v>
      </c>
      <c r="AC361" s="198">
        <v>0</v>
      </c>
      <c r="AD361" s="198">
        <v>0</v>
      </c>
      <c r="AE361" s="198">
        <v>0</v>
      </c>
      <c r="AF361" s="198">
        <v>0</v>
      </c>
      <c r="AG361" s="198">
        <v>0</v>
      </c>
      <c r="AH361" s="198">
        <v>0</v>
      </c>
      <c r="AI361" s="198">
        <v>0</v>
      </c>
      <c r="AJ361" s="198">
        <v>0</v>
      </c>
      <c r="AK361" s="198">
        <v>0</v>
      </c>
      <c r="AL361" s="198">
        <v>0</v>
      </c>
      <c r="AM361" s="198">
        <v>0</v>
      </c>
      <c r="AN361" s="198">
        <v>0</v>
      </c>
      <c r="AO361" s="198">
        <v>0</v>
      </c>
      <c r="AP361" s="198">
        <v>0</v>
      </c>
      <c r="AQ361" s="198">
        <v>0</v>
      </c>
      <c r="AR361" s="198">
        <v>0</v>
      </c>
      <c r="AS361" s="198">
        <v>0</v>
      </c>
      <c r="AT361" s="198">
        <v>0</v>
      </c>
      <c r="AU361" s="198">
        <v>0</v>
      </c>
      <c r="AV361" s="198">
        <v>0</v>
      </c>
      <c r="AW361" s="198">
        <v>0</v>
      </c>
      <c r="AX361" s="198">
        <v>0</v>
      </c>
      <c r="AY361" s="198">
        <v>0</v>
      </c>
      <c r="AZ361" s="198">
        <v>0</v>
      </c>
      <c r="BA361" s="198">
        <v>0</v>
      </c>
      <c r="BB361" s="198">
        <v>0</v>
      </c>
      <c r="BC361" s="198">
        <v>0</v>
      </c>
      <c r="BD361" s="198">
        <v>0</v>
      </c>
      <c r="BE361" s="198">
        <v>0</v>
      </c>
      <c r="BF361" s="198">
        <v>0</v>
      </c>
      <c r="BG361" s="198">
        <v>0</v>
      </c>
      <c r="BH361" s="198">
        <v>0</v>
      </c>
      <c r="BI361" s="198">
        <v>0</v>
      </c>
      <c r="BJ361" s="198">
        <v>0</v>
      </c>
      <c r="BK361" s="198">
        <v>0</v>
      </c>
      <c r="BL361" s="198">
        <v>0</v>
      </c>
      <c r="BM361" s="198">
        <v>0</v>
      </c>
      <c r="BN361" s="198">
        <v>0</v>
      </c>
      <c r="BO361" s="198">
        <v>0</v>
      </c>
      <c r="BP361" s="198">
        <v>0</v>
      </c>
      <c r="BQ361" s="198">
        <v>50</v>
      </c>
      <c r="BR361" s="198">
        <v>0</v>
      </c>
      <c r="BS361" s="198">
        <v>0</v>
      </c>
      <c r="BT361" s="198">
        <v>0</v>
      </c>
      <c r="BU361" s="198">
        <v>0</v>
      </c>
      <c r="BV361" s="198">
        <v>0</v>
      </c>
      <c r="BW361" s="198">
        <v>96.6</v>
      </c>
      <c r="BX361" s="198">
        <v>0</v>
      </c>
      <c r="BY361" s="198">
        <v>0</v>
      </c>
      <c r="BZ361" s="198">
        <v>0</v>
      </c>
      <c r="CA361" s="198">
        <v>0</v>
      </c>
      <c r="CB361" s="198">
        <v>0</v>
      </c>
      <c r="CC361" s="198">
        <v>109.9</v>
      </c>
      <c r="CD361" s="198">
        <v>0</v>
      </c>
      <c r="CE361" s="198">
        <v>0</v>
      </c>
      <c r="CF361" s="198">
        <v>0</v>
      </c>
      <c r="CG361" s="198">
        <v>0</v>
      </c>
      <c r="CH361" s="198">
        <v>0</v>
      </c>
      <c r="CI361" s="198">
        <v>109.5</v>
      </c>
      <c r="CJ361" s="198">
        <v>0</v>
      </c>
      <c r="CK361" s="88"/>
    </row>
    <row r="362" spans="1:123" x14ac:dyDescent="0.3">
      <c r="A362" s="173"/>
      <c r="B362" s="197" t="s">
        <v>261</v>
      </c>
      <c r="C362" s="198">
        <v>0</v>
      </c>
      <c r="D362" s="198">
        <v>0</v>
      </c>
      <c r="E362" s="198">
        <v>0</v>
      </c>
      <c r="F362" s="198">
        <v>0</v>
      </c>
      <c r="G362" s="198">
        <v>0</v>
      </c>
      <c r="H362" s="198">
        <v>0</v>
      </c>
      <c r="I362" s="198">
        <v>0</v>
      </c>
      <c r="J362" s="198">
        <v>0</v>
      </c>
      <c r="K362" s="198">
        <v>0</v>
      </c>
      <c r="L362" s="198">
        <v>0</v>
      </c>
      <c r="M362" s="198">
        <v>0</v>
      </c>
      <c r="N362" s="198">
        <v>0</v>
      </c>
      <c r="O362" s="198">
        <v>0</v>
      </c>
      <c r="P362" s="198">
        <v>0</v>
      </c>
      <c r="Q362" s="198">
        <v>0</v>
      </c>
      <c r="R362" s="198">
        <v>0</v>
      </c>
      <c r="S362" s="198">
        <v>0</v>
      </c>
      <c r="T362" s="198">
        <v>0</v>
      </c>
      <c r="U362" s="198">
        <v>0</v>
      </c>
      <c r="V362" s="198">
        <v>0</v>
      </c>
      <c r="W362" s="198">
        <v>0</v>
      </c>
      <c r="X362" s="198">
        <v>0</v>
      </c>
      <c r="Y362" s="198">
        <v>0</v>
      </c>
      <c r="Z362" s="198">
        <v>0</v>
      </c>
      <c r="AA362" s="198">
        <v>0</v>
      </c>
      <c r="AB362" s="198">
        <v>0</v>
      </c>
      <c r="AC362" s="198">
        <v>0</v>
      </c>
      <c r="AD362" s="198">
        <v>0</v>
      </c>
      <c r="AE362" s="198">
        <v>0</v>
      </c>
      <c r="AF362" s="198">
        <v>0</v>
      </c>
      <c r="AG362" s="198">
        <v>0</v>
      </c>
      <c r="AH362" s="198">
        <v>0</v>
      </c>
      <c r="AI362" s="198">
        <v>0</v>
      </c>
      <c r="AJ362" s="198">
        <v>0</v>
      </c>
      <c r="AK362" s="198">
        <v>0</v>
      </c>
      <c r="AL362" s="198">
        <v>0</v>
      </c>
      <c r="AM362" s="198">
        <v>0</v>
      </c>
      <c r="AN362" s="198">
        <v>0</v>
      </c>
      <c r="AO362" s="198">
        <v>0</v>
      </c>
      <c r="AP362" s="198">
        <v>0</v>
      </c>
      <c r="AQ362" s="198">
        <v>0</v>
      </c>
      <c r="AR362" s="198">
        <v>0</v>
      </c>
      <c r="AS362" s="198">
        <v>0</v>
      </c>
      <c r="AT362" s="198">
        <v>0</v>
      </c>
      <c r="AU362" s="198">
        <v>0</v>
      </c>
      <c r="AV362" s="198">
        <v>0</v>
      </c>
      <c r="AW362" s="198">
        <v>0</v>
      </c>
      <c r="AX362" s="198">
        <v>0</v>
      </c>
      <c r="AY362" s="198">
        <v>0</v>
      </c>
      <c r="AZ362" s="198">
        <v>0</v>
      </c>
      <c r="BA362" s="198">
        <v>0</v>
      </c>
      <c r="BB362" s="198">
        <v>0</v>
      </c>
      <c r="BC362" s="198">
        <v>0</v>
      </c>
      <c r="BD362" s="198">
        <v>0</v>
      </c>
      <c r="BE362" s="198">
        <v>0</v>
      </c>
      <c r="BF362" s="198">
        <v>0</v>
      </c>
      <c r="BG362" s="198">
        <v>0</v>
      </c>
      <c r="BH362" s="198">
        <v>0</v>
      </c>
      <c r="BI362" s="198">
        <v>0</v>
      </c>
      <c r="BJ362" s="198">
        <v>0</v>
      </c>
      <c r="BK362" s="198">
        <v>0</v>
      </c>
      <c r="BL362" s="198">
        <v>0</v>
      </c>
      <c r="BM362" s="198">
        <v>0</v>
      </c>
      <c r="BN362" s="198">
        <v>0</v>
      </c>
      <c r="BO362" s="198">
        <v>0</v>
      </c>
      <c r="BP362" s="198">
        <v>0</v>
      </c>
      <c r="BQ362" s="198">
        <v>0</v>
      </c>
      <c r="BR362" s="198">
        <v>0</v>
      </c>
      <c r="BS362" s="198">
        <v>0</v>
      </c>
      <c r="BT362" s="198">
        <v>0</v>
      </c>
      <c r="BU362" s="198">
        <v>0</v>
      </c>
      <c r="BV362" s="198">
        <v>0</v>
      </c>
      <c r="BW362" s="198">
        <v>9.4</v>
      </c>
      <c r="BX362" s="198">
        <v>0</v>
      </c>
      <c r="BY362" s="198">
        <v>0</v>
      </c>
      <c r="BZ362" s="198">
        <v>0</v>
      </c>
      <c r="CA362" s="198">
        <v>0</v>
      </c>
      <c r="CB362" s="198">
        <v>0</v>
      </c>
      <c r="CC362" s="198">
        <v>10.7</v>
      </c>
      <c r="CD362" s="198">
        <v>0</v>
      </c>
      <c r="CE362" s="198">
        <v>0</v>
      </c>
      <c r="CF362" s="198">
        <v>0</v>
      </c>
      <c r="CG362" s="198">
        <v>0</v>
      </c>
      <c r="CH362" s="198">
        <v>0</v>
      </c>
      <c r="CI362" s="198">
        <v>10.6</v>
      </c>
      <c r="CJ362" s="198">
        <v>0</v>
      </c>
      <c r="CK362" s="88"/>
    </row>
    <row r="363" spans="1:123" x14ac:dyDescent="0.3">
      <c r="A363" s="173"/>
      <c r="B363" s="197" t="s">
        <v>268</v>
      </c>
      <c r="C363" s="198">
        <v>0</v>
      </c>
      <c r="D363" s="198">
        <v>0</v>
      </c>
      <c r="E363" s="198">
        <v>0</v>
      </c>
      <c r="F363" s="198">
        <v>0</v>
      </c>
      <c r="G363" s="198">
        <v>0</v>
      </c>
      <c r="H363" s="198">
        <v>0</v>
      </c>
      <c r="I363" s="198">
        <v>0</v>
      </c>
      <c r="J363" s="198">
        <v>0</v>
      </c>
      <c r="K363" s="198">
        <v>0</v>
      </c>
      <c r="L363" s="198">
        <v>0</v>
      </c>
      <c r="M363" s="198">
        <v>0</v>
      </c>
      <c r="N363" s="198">
        <v>0</v>
      </c>
      <c r="O363" s="198">
        <v>0</v>
      </c>
      <c r="P363" s="198">
        <v>0</v>
      </c>
      <c r="Q363" s="198">
        <v>0</v>
      </c>
      <c r="R363" s="198">
        <v>0</v>
      </c>
      <c r="S363" s="198">
        <v>0</v>
      </c>
      <c r="T363" s="198">
        <v>0</v>
      </c>
      <c r="U363" s="198">
        <v>0</v>
      </c>
      <c r="V363" s="198">
        <v>0</v>
      </c>
      <c r="W363" s="198">
        <v>0</v>
      </c>
      <c r="X363" s="198">
        <v>0</v>
      </c>
      <c r="Y363" s="198">
        <v>0</v>
      </c>
      <c r="Z363" s="198">
        <v>0</v>
      </c>
      <c r="AA363" s="198">
        <v>0</v>
      </c>
      <c r="AB363" s="198">
        <v>0</v>
      </c>
      <c r="AC363" s="198">
        <v>0</v>
      </c>
      <c r="AD363" s="198">
        <v>0</v>
      </c>
      <c r="AE363" s="198">
        <v>0</v>
      </c>
      <c r="AF363" s="198">
        <v>0</v>
      </c>
      <c r="AG363" s="198">
        <v>0</v>
      </c>
      <c r="AH363" s="198">
        <v>0</v>
      </c>
      <c r="AI363" s="198">
        <v>0</v>
      </c>
      <c r="AJ363" s="198">
        <v>0</v>
      </c>
      <c r="AK363" s="198">
        <v>0</v>
      </c>
      <c r="AL363" s="198">
        <v>0</v>
      </c>
      <c r="AM363" s="198">
        <v>0</v>
      </c>
      <c r="AN363" s="198">
        <v>0</v>
      </c>
      <c r="AO363" s="198">
        <v>0</v>
      </c>
      <c r="AP363" s="198">
        <v>0</v>
      </c>
      <c r="AQ363" s="198">
        <v>0</v>
      </c>
      <c r="AR363" s="198">
        <v>0</v>
      </c>
      <c r="AS363" s="198">
        <v>0</v>
      </c>
      <c r="AT363" s="198">
        <v>0</v>
      </c>
      <c r="AU363" s="198">
        <v>0</v>
      </c>
      <c r="AV363" s="198">
        <v>0</v>
      </c>
      <c r="AW363" s="198">
        <v>0</v>
      </c>
      <c r="AX363" s="198">
        <v>0</v>
      </c>
      <c r="AY363" s="198">
        <v>0</v>
      </c>
      <c r="AZ363" s="198">
        <v>0</v>
      </c>
      <c r="BA363" s="198">
        <v>0</v>
      </c>
      <c r="BB363" s="198">
        <v>0</v>
      </c>
      <c r="BC363" s="198">
        <v>0</v>
      </c>
      <c r="BD363" s="198">
        <v>0</v>
      </c>
      <c r="BE363" s="198">
        <v>0</v>
      </c>
      <c r="BF363" s="198">
        <v>0</v>
      </c>
      <c r="BG363" s="198">
        <v>0</v>
      </c>
      <c r="BH363" s="198">
        <v>0</v>
      </c>
      <c r="BI363" s="198">
        <v>0</v>
      </c>
      <c r="BJ363" s="198">
        <v>0</v>
      </c>
      <c r="BK363" s="198">
        <v>0</v>
      </c>
      <c r="BL363" s="198">
        <v>0</v>
      </c>
      <c r="BM363" s="198">
        <v>0</v>
      </c>
      <c r="BN363" s="198">
        <v>0</v>
      </c>
      <c r="BO363" s="198">
        <v>0</v>
      </c>
      <c r="BP363" s="198">
        <v>0</v>
      </c>
      <c r="BQ363" s="198">
        <v>0</v>
      </c>
      <c r="BR363" s="198">
        <v>0</v>
      </c>
      <c r="BS363" s="198">
        <v>0</v>
      </c>
      <c r="BT363" s="198">
        <v>0</v>
      </c>
      <c r="BU363" s="198">
        <v>0</v>
      </c>
      <c r="BV363" s="198">
        <v>0</v>
      </c>
      <c r="BW363" s="198">
        <v>5.8</v>
      </c>
      <c r="BX363" s="198">
        <v>0</v>
      </c>
      <c r="BY363" s="198">
        <v>0</v>
      </c>
      <c r="BZ363" s="198">
        <v>0</v>
      </c>
      <c r="CA363" s="198">
        <v>0</v>
      </c>
      <c r="CB363" s="198">
        <v>0</v>
      </c>
      <c r="CC363" s="198">
        <v>6.6</v>
      </c>
      <c r="CD363" s="198">
        <v>0</v>
      </c>
      <c r="CE363" s="198">
        <v>0</v>
      </c>
      <c r="CF363" s="198">
        <v>0</v>
      </c>
      <c r="CG363" s="198">
        <v>0</v>
      </c>
      <c r="CH363" s="198">
        <v>0</v>
      </c>
      <c r="CI363" s="198">
        <v>6.6</v>
      </c>
      <c r="CJ363" s="198">
        <v>0</v>
      </c>
      <c r="CK363" s="88"/>
    </row>
    <row r="364" spans="1:123" x14ac:dyDescent="0.3">
      <c r="A364" s="173"/>
      <c r="B364" s="197" t="s">
        <v>303</v>
      </c>
      <c r="C364" s="198">
        <v>0</v>
      </c>
      <c r="D364" s="198">
        <v>0</v>
      </c>
      <c r="E364" s="198">
        <v>0</v>
      </c>
      <c r="F364" s="198">
        <v>0</v>
      </c>
      <c r="G364" s="198">
        <v>0</v>
      </c>
      <c r="H364" s="198">
        <v>0</v>
      </c>
      <c r="I364" s="198">
        <v>0</v>
      </c>
      <c r="J364" s="198">
        <v>0</v>
      </c>
      <c r="K364" s="198">
        <v>0</v>
      </c>
      <c r="L364" s="198">
        <v>0</v>
      </c>
      <c r="M364" s="198">
        <v>0</v>
      </c>
      <c r="N364" s="198">
        <v>0</v>
      </c>
      <c r="O364" s="198">
        <v>0</v>
      </c>
      <c r="P364" s="198">
        <v>0</v>
      </c>
      <c r="Q364" s="198">
        <v>0</v>
      </c>
      <c r="R364" s="198">
        <v>0</v>
      </c>
      <c r="S364" s="198">
        <v>0</v>
      </c>
      <c r="T364" s="198">
        <v>0</v>
      </c>
      <c r="U364" s="198">
        <v>0</v>
      </c>
      <c r="V364" s="198">
        <v>0</v>
      </c>
      <c r="W364" s="198">
        <v>0</v>
      </c>
      <c r="X364" s="198">
        <v>0</v>
      </c>
      <c r="Y364" s="198">
        <v>0</v>
      </c>
      <c r="Z364" s="198">
        <v>0</v>
      </c>
      <c r="AA364" s="198">
        <v>0</v>
      </c>
      <c r="AB364" s="198">
        <v>0</v>
      </c>
      <c r="AC364" s="198">
        <v>0</v>
      </c>
      <c r="AD364" s="198">
        <v>0</v>
      </c>
      <c r="AE364" s="198">
        <v>0</v>
      </c>
      <c r="AF364" s="198">
        <v>0</v>
      </c>
      <c r="AG364" s="198">
        <v>0</v>
      </c>
      <c r="AH364" s="198">
        <v>1.2</v>
      </c>
      <c r="AI364" s="198">
        <v>0</v>
      </c>
      <c r="AJ364" s="198">
        <v>0</v>
      </c>
      <c r="AK364" s="198">
        <v>0</v>
      </c>
      <c r="AL364" s="198">
        <v>0</v>
      </c>
      <c r="AM364" s="198">
        <v>0</v>
      </c>
      <c r="AN364" s="198">
        <v>0</v>
      </c>
      <c r="AO364" s="198">
        <v>0</v>
      </c>
      <c r="AP364" s="198">
        <v>0</v>
      </c>
      <c r="AQ364" s="198">
        <v>0</v>
      </c>
      <c r="AR364" s="198">
        <v>0</v>
      </c>
      <c r="AS364" s="198">
        <v>0</v>
      </c>
      <c r="AT364" s="198">
        <v>0</v>
      </c>
      <c r="AU364" s="198">
        <v>0</v>
      </c>
      <c r="AV364" s="198">
        <v>0</v>
      </c>
      <c r="AW364" s="198">
        <v>0</v>
      </c>
      <c r="AX364" s="198">
        <v>0</v>
      </c>
      <c r="AY364" s="198">
        <v>0</v>
      </c>
      <c r="AZ364" s="198">
        <v>0</v>
      </c>
      <c r="BA364" s="198">
        <v>0</v>
      </c>
      <c r="BB364" s="198">
        <v>0</v>
      </c>
      <c r="BC364" s="198">
        <v>0</v>
      </c>
      <c r="BD364" s="198">
        <v>0</v>
      </c>
      <c r="BE364" s="198">
        <v>0</v>
      </c>
      <c r="BF364" s="198">
        <v>0</v>
      </c>
      <c r="BG364" s="198">
        <v>0</v>
      </c>
      <c r="BH364" s="198">
        <v>0</v>
      </c>
      <c r="BI364" s="198">
        <v>0</v>
      </c>
      <c r="BJ364" s="198">
        <v>0</v>
      </c>
      <c r="BK364" s="198">
        <v>0</v>
      </c>
      <c r="BL364" s="198">
        <v>0</v>
      </c>
      <c r="BM364" s="198">
        <v>0</v>
      </c>
      <c r="BN364" s="198">
        <v>0</v>
      </c>
      <c r="BO364" s="198">
        <v>0</v>
      </c>
      <c r="BP364" s="198">
        <v>0</v>
      </c>
      <c r="BQ364" s="198">
        <v>0</v>
      </c>
      <c r="BR364" s="198">
        <v>0</v>
      </c>
      <c r="BS364" s="198">
        <v>0</v>
      </c>
      <c r="BT364" s="198">
        <v>0</v>
      </c>
      <c r="BU364" s="198">
        <v>0</v>
      </c>
      <c r="BV364" s="198">
        <v>0</v>
      </c>
      <c r="BW364" s="198">
        <v>0</v>
      </c>
      <c r="BX364" s="198">
        <v>0</v>
      </c>
      <c r="BY364" s="198">
        <v>0</v>
      </c>
      <c r="BZ364" s="198">
        <v>0</v>
      </c>
      <c r="CA364" s="198">
        <v>0</v>
      </c>
      <c r="CB364" s="198">
        <v>0</v>
      </c>
      <c r="CC364" s="198">
        <v>0</v>
      </c>
      <c r="CD364" s="198">
        <v>0</v>
      </c>
      <c r="CE364" s="198">
        <v>0</v>
      </c>
      <c r="CF364" s="198">
        <v>0</v>
      </c>
      <c r="CG364" s="198">
        <v>0</v>
      </c>
      <c r="CH364" s="198">
        <v>0</v>
      </c>
      <c r="CI364" s="198">
        <v>0</v>
      </c>
      <c r="CJ364" s="198">
        <v>0</v>
      </c>
      <c r="CK364" s="88"/>
    </row>
    <row r="365" spans="1:123" x14ac:dyDescent="0.3">
      <c r="A365" s="173"/>
      <c r="B365" s="197" t="s">
        <v>376</v>
      </c>
      <c r="C365" s="198">
        <v>0</v>
      </c>
      <c r="D365" s="198">
        <v>0</v>
      </c>
      <c r="E365" s="198">
        <v>0</v>
      </c>
      <c r="F365" s="198">
        <v>0</v>
      </c>
      <c r="G365" s="198">
        <v>0</v>
      </c>
      <c r="H365" s="198">
        <v>0</v>
      </c>
      <c r="I365" s="198">
        <v>0</v>
      </c>
      <c r="J365" s="198">
        <v>0</v>
      </c>
      <c r="K365" s="198">
        <v>0</v>
      </c>
      <c r="L365" s="198">
        <v>0</v>
      </c>
      <c r="M365" s="198">
        <v>0</v>
      </c>
      <c r="N365" s="198">
        <v>0</v>
      </c>
      <c r="O365" s="198">
        <v>0</v>
      </c>
      <c r="P365" s="198">
        <v>0</v>
      </c>
      <c r="Q365" s="198">
        <v>0</v>
      </c>
      <c r="R365" s="198">
        <v>0</v>
      </c>
      <c r="S365" s="198">
        <v>0</v>
      </c>
      <c r="T365" s="198">
        <v>0</v>
      </c>
      <c r="U365" s="198">
        <v>0</v>
      </c>
      <c r="V365" s="198">
        <v>0</v>
      </c>
      <c r="W365" s="198">
        <v>0</v>
      </c>
      <c r="X365" s="198">
        <v>0</v>
      </c>
      <c r="Y365" s="198">
        <v>0</v>
      </c>
      <c r="Z365" s="198">
        <v>0</v>
      </c>
      <c r="AA365" s="198">
        <v>0</v>
      </c>
      <c r="AB365" s="198">
        <v>0</v>
      </c>
      <c r="AC365" s="198">
        <v>0</v>
      </c>
      <c r="AD365" s="198">
        <v>0</v>
      </c>
      <c r="AE365" s="198">
        <v>0</v>
      </c>
      <c r="AF365" s="198">
        <v>0</v>
      </c>
      <c r="AG365" s="198">
        <v>0</v>
      </c>
      <c r="AH365" s="198">
        <v>0</v>
      </c>
      <c r="AI365" s="198">
        <v>0</v>
      </c>
      <c r="AJ365" s="198">
        <v>0</v>
      </c>
      <c r="AK365" s="198">
        <v>0</v>
      </c>
      <c r="AL365" s="198">
        <v>0</v>
      </c>
      <c r="AM365" s="198">
        <v>0</v>
      </c>
      <c r="AN365" s="198">
        <v>0</v>
      </c>
      <c r="AO365" s="198">
        <v>0</v>
      </c>
      <c r="AP365" s="198">
        <v>0</v>
      </c>
      <c r="AQ365" s="198">
        <v>0</v>
      </c>
      <c r="AR365" s="198">
        <v>0</v>
      </c>
      <c r="AS365" s="198">
        <v>0</v>
      </c>
      <c r="AT365" s="198">
        <v>0</v>
      </c>
      <c r="AU365" s="198">
        <v>0</v>
      </c>
      <c r="AV365" s="198">
        <v>0</v>
      </c>
      <c r="AW365" s="198">
        <v>0</v>
      </c>
      <c r="AX365" s="198">
        <v>0</v>
      </c>
      <c r="AY365" s="198">
        <v>0</v>
      </c>
      <c r="AZ365" s="198">
        <v>0</v>
      </c>
      <c r="BA365" s="198">
        <v>0</v>
      </c>
      <c r="BB365" s="198">
        <v>0</v>
      </c>
      <c r="BC365" s="198">
        <v>0</v>
      </c>
      <c r="BD365" s="198">
        <v>0</v>
      </c>
      <c r="BE365" s="198">
        <v>0</v>
      </c>
      <c r="BF365" s="198">
        <v>0</v>
      </c>
      <c r="BG365" s="198">
        <v>0</v>
      </c>
      <c r="BH365" s="198">
        <v>183.3</v>
      </c>
      <c r="BI365" s="198">
        <v>0</v>
      </c>
      <c r="BJ365" s="198">
        <v>0</v>
      </c>
      <c r="BK365" s="198">
        <v>0</v>
      </c>
      <c r="BL365" s="198">
        <v>0</v>
      </c>
      <c r="BM365" s="198">
        <v>0</v>
      </c>
      <c r="BN365" s="198">
        <v>0</v>
      </c>
      <c r="BO365" s="198">
        <v>0</v>
      </c>
      <c r="BP365" s="198">
        <v>0</v>
      </c>
      <c r="BQ365" s="198">
        <v>0</v>
      </c>
      <c r="BR365" s="198">
        <v>0</v>
      </c>
      <c r="BS365" s="198">
        <v>0</v>
      </c>
      <c r="BT365" s="198">
        <v>0</v>
      </c>
      <c r="BU365" s="198">
        <v>0</v>
      </c>
      <c r="BV365" s="198">
        <v>0</v>
      </c>
      <c r="BW365" s="198">
        <v>0</v>
      </c>
      <c r="BX365" s="198">
        <v>0</v>
      </c>
      <c r="BY365" s="198">
        <v>0</v>
      </c>
      <c r="BZ365" s="198">
        <v>0</v>
      </c>
      <c r="CA365" s="198">
        <v>0</v>
      </c>
      <c r="CB365" s="198">
        <v>0</v>
      </c>
      <c r="CC365" s="198">
        <v>0</v>
      </c>
      <c r="CD365" s="198">
        <v>0</v>
      </c>
      <c r="CE365" s="198">
        <v>0</v>
      </c>
      <c r="CF365" s="198">
        <v>0</v>
      </c>
      <c r="CG365" s="198">
        <v>0</v>
      </c>
      <c r="CH365" s="198">
        <v>0</v>
      </c>
      <c r="CI365" s="198">
        <v>0</v>
      </c>
      <c r="CJ365" s="198">
        <v>0</v>
      </c>
      <c r="CK365" s="88"/>
    </row>
    <row r="366" spans="1:123" x14ac:dyDescent="0.3">
      <c r="A366" s="173"/>
      <c r="B366" s="197" t="s">
        <v>307</v>
      </c>
      <c r="C366" s="198">
        <v>0</v>
      </c>
      <c r="D366" s="198">
        <v>0</v>
      </c>
      <c r="E366" s="198">
        <v>0</v>
      </c>
      <c r="F366" s="198">
        <v>0</v>
      </c>
      <c r="G366" s="198">
        <v>0</v>
      </c>
      <c r="H366" s="198">
        <v>0</v>
      </c>
      <c r="I366" s="198">
        <v>0</v>
      </c>
      <c r="J366" s="198">
        <v>0</v>
      </c>
      <c r="K366" s="198">
        <v>0</v>
      </c>
      <c r="L366" s="198">
        <v>0</v>
      </c>
      <c r="M366" s="198">
        <v>0</v>
      </c>
      <c r="N366" s="198">
        <v>0</v>
      </c>
      <c r="O366" s="198">
        <v>0</v>
      </c>
      <c r="P366" s="198">
        <v>0</v>
      </c>
      <c r="Q366" s="198">
        <v>0</v>
      </c>
      <c r="R366" s="198">
        <v>0</v>
      </c>
      <c r="S366" s="198">
        <v>0</v>
      </c>
      <c r="T366" s="198">
        <v>0</v>
      </c>
      <c r="U366" s="198">
        <v>0</v>
      </c>
      <c r="V366" s="198">
        <v>0</v>
      </c>
      <c r="W366" s="198">
        <v>0</v>
      </c>
      <c r="X366" s="198">
        <v>0</v>
      </c>
      <c r="Y366" s="198">
        <v>0</v>
      </c>
      <c r="Z366" s="198">
        <v>0</v>
      </c>
      <c r="AA366" s="198">
        <v>0</v>
      </c>
      <c r="AB366" s="198">
        <v>0</v>
      </c>
      <c r="AC366" s="198">
        <v>0</v>
      </c>
      <c r="AD366" s="198">
        <v>0</v>
      </c>
      <c r="AE366" s="198">
        <v>0</v>
      </c>
      <c r="AF366" s="198">
        <v>0</v>
      </c>
      <c r="AG366" s="198">
        <v>0</v>
      </c>
      <c r="AH366" s="198">
        <v>0</v>
      </c>
      <c r="AI366" s="198">
        <v>1605.1</v>
      </c>
      <c r="AJ366" s="198">
        <v>0</v>
      </c>
      <c r="AK366" s="198">
        <v>0</v>
      </c>
      <c r="AL366" s="198">
        <v>0</v>
      </c>
      <c r="AM366" s="198">
        <v>0</v>
      </c>
      <c r="AN366" s="198">
        <v>0</v>
      </c>
      <c r="AO366" s="198">
        <v>0</v>
      </c>
      <c r="AP366" s="198">
        <v>0</v>
      </c>
      <c r="AQ366" s="198">
        <v>0</v>
      </c>
      <c r="AR366" s="198">
        <v>0</v>
      </c>
      <c r="AS366" s="198">
        <v>0</v>
      </c>
      <c r="AT366" s="198">
        <v>0</v>
      </c>
      <c r="AU366" s="198">
        <v>0</v>
      </c>
      <c r="AV366" s="198">
        <v>0</v>
      </c>
      <c r="AW366" s="198">
        <v>0</v>
      </c>
      <c r="AX366" s="198">
        <v>0</v>
      </c>
      <c r="AY366" s="198">
        <v>0</v>
      </c>
      <c r="AZ366" s="198">
        <v>0</v>
      </c>
      <c r="BA366" s="198">
        <v>0</v>
      </c>
      <c r="BB366" s="198">
        <v>0</v>
      </c>
      <c r="BC366" s="198">
        <v>0</v>
      </c>
      <c r="BD366" s="198">
        <v>0</v>
      </c>
      <c r="BE366" s="198">
        <v>0</v>
      </c>
      <c r="BF366" s="198">
        <v>0</v>
      </c>
      <c r="BG366" s="198">
        <v>0</v>
      </c>
      <c r="BH366" s="198">
        <v>0</v>
      </c>
      <c r="BI366" s="198">
        <v>0</v>
      </c>
      <c r="BJ366" s="198">
        <v>0</v>
      </c>
      <c r="BK366" s="198">
        <v>0</v>
      </c>
      <c r="BL366" s="198">
        <v>0</v>
      </c>
      <c r="BM366" s="198">
        <v>0</v>
      </c>
      <c r="BN366" s="198">
        <v>0</v>
      </c>
      <c r="BO366" s="198">
        <v>0</v>
      </c>
      <c r="BP366" s="198">
        <v>0</v>
      </c>
      <c r="BQ366" s="198">
        <v>0</v>
      </c>
      <c r="BR366" s="198">
        <v>0</v>
      </c>
      <c r="BS366" s="198">
        <v>0</v>
      </c>
      <c r="BT366" s="198">
        <v>0</v>
      </c>
      <c r="BU366" s="198">
        <v>0</v>
      </c>
      <c r="BV366" s="198">
        <v>0</v>
      </c>
      <c r="BW366" s="198">
        <v>0</v>
      </c>
      <c r="BX366" s="198">
        <v>0</v>
      </c>
      <c r="BY366" s="198">
        <v>0</v>
      </c>
      <c r="BZ366" s="198">
        <v>0</v>
      </c>
      <c r="CA366" s="198">
        <v>0</v>
      </c>
      <c r="CB366" s="198">
        <v>0</v>
      </c>
      <c r="CC366" s="198">
        <v>0</v>
      </c>
      <c r="CD366" s="198">
        <v>0</v>
      </c>
      <c r="CE366" s="198">
        <v>0</v>
      </c>
      <c r="CF366" s="198">
        <v>0</v>
      </c>
      <c r="CG366" s="198">
        <v>0</v>
      </c>
      <c r="CH366" s="198">
        <v>0</v>
      </c>
      <c r="CI366" s="198">
        <v>0</v>
      </c>
      <c r="CJ366" s="198">
        <v>0</v>
      </c>
      <c r="CK366" s="88"/>
    </row>
    <row r="367" spans="1:123" x14ac:dyDescent="0.3">
      <c r="A367" s="173"/>
      <c r="B367" s="197" t="s">
        <v>163</v>
      </c>
      <c r="C367" s="198">
        <v>0</v>
      </c>
      <c r="D367" s="198">
        <v>0</v>
      </c>
      <c r="E367" s="198">
        <v>0</v>
      </c>
      <c r="F367" s="198">
        <v>0</v>
      </c>
      <c r="G367" s="198">
        <v>0</v>
      </c>
      <c r="H367" s="198">
        <v>0</v>
      </c>
      <c r="I367" s="198">
        <v>0</v>
      </c>
      <c r="J367" s="198">
        <v>0</v>
      </c>
      <c r="K367" s="198">
        <v>0</v>
      </c>
      <c r="L367" s="198">
        <v>0</v>
      </c>
      <c r="M367" s="198">
        <v>0</v>
      </c>
      <c r="N367" s="198">
        <v>0</v>
      </c>
      <c r="O367" s="198">
        <v>0</v>
      </c>
      <c r="P367" s="198">
        <v>0</v>
      </c>
      <c r="Q367" s="198">
        <v>0</v>
      </c>
      <c r="R367" s="198">
        <v>0</v>
      </c>
      <c r="S367" s="198">
        <v>0</v>
      </c>
      <c r="T367" s="198">
        <v>0</v>
      </c>
      <c r="U367" s="198">
        <v>0</v>
      </c>
      <c r="V367" s="198">
        <v>0</v>
      </c>
      <c r="W367" s="198">
        <v>0</v>
      </c>
      <c r="X367" s="198">
        <v>0</v>
      </c>
      <c r="Y367" s="198">
        <v>1888.5</v>
      </c>
      <c r="Z367" s="198">
        <v>0</v>
      </c>
      <c r="AA367" s="198">
        <v>0</v>
      </c>
      <c r="AB367" s="198">
        <v>0</v>
      </c>
      <c r="AC367" s="198">
        <v>0</v>
      </c>
      <c r="AD367" s="198">
        <v>0</v>
      </c>
      <c r="AE367" s="198">
        <v>0</v>
      </c>
      <c r="AF367" s="198">
        <v>0</v>
      </c>
      <c r="AG367" s="198">
        <v>0</v>
      </c>
      <c r="AH367" s="198">
        <v>0</v>
      </c>
      <c r="AI367" s="198">
        <v>0</v>
      </c>
      <c r="AJ367" s="198">
        <v>0</v>
      </c>
      <c r="AK367" s="198">
        <v>0</v>
      </c>
      <c r="AL367" s="198">
        <v>0</v>
      </c>
      <c r="AM367" s="198">
        <v>0</v>
      </c>
      <c r="AN367" s="198">
        <v>0</v>
      </c>
      <c r="AO367" s="198">
        <v>0</v>
      </c>
      <c r="AP367" s="198">
        <v>0</v>
      </c>
      <c r="AQ367" s="198">
        <v>0</v>
      </c>
      <c r="AR367" s="198">
        <v>0</v>
      </c>
      <c r="AS367" s="198">
        <v>0</v>
      </c>
      <c r="AT367" s="198">
        <v>0</v>
      </c>
      <c r="AU367" s="198">
        <v>0</v>
      </c>
      <c r="AV367" s="198">
        <v>0</v>
      </c>
      <c r="AW367" s="198">
        <v>0</v>
      </c>
      <c r="AX367" s="198">
        <v>0</v>
      </c>
      <c r="AY367" s="198">
        <v>0</v>
      </c>
      <c r="AZ367" s="198">
        <v>0</v>
      </c>
      <c r="BA367" s="198">
        <v>0</v>
      </c>
      <c r="BB367" s="198">
        <v>0</v>
      </c>
      <c r="BC367" s="198">
        <v>0</v>
      </c>
      <c r="BD367" s="198">
        <v>0</v>
      </c>
      <c r="BE367" s="198">
        <v>0</v>
      </c>
      <c r="BF367" s="198">
        <v>0</v>
      </c>
      <c r="BG367" s="198">
        <v>0</v>
      </c>
      <c r="BH367" s="198">
        <v>0</v>
      </c>
      <c r="BI367" s="198">
        <v>0</v>
      </c>
      <c r="BJ367" s="198">
        <v>0</v>
      </c>
      <c r="BK367" s="198">
        <v>0</v>
      </c>
      <c r="BL367" s="198">
        <v>0</v>
      </c>
      <c r="BM367" s="198">
        <v>0</v>
      </c>
      <c r="BN367" s="198">
        <v>0</v>
      </c>
      <c r="BO367" s="198">
        <v>0</v>
      </c>
      <c r="BP367" s="198">
        <v>0</v>
      </c>
      <c r="BQ367" s="198">
        <v>0</v>
      </c>
      <c r="BR367" s="198">
        <v>0</v>
      </c>
      <c r="BS367" s="198">
        <v>0</v>
      </c>
      <c r="BT367" s="198">
        <v>0</v>
      </c>
      <c r="BU367" s="198">
        <v>0</v>
      </c>
      <c r="BV367" s="198">
        <v>0</v>
      </c>
      <c r="BW367" s="198">
        <v>0</v>
      </c>
      <c r="BX367" s="198">
        <v>0</v>
      </c>
      <c r="BY367" s="198">
        <v>0</v>
      </c>
      <c r="BZ367" s="198">
        <v>0</v>
      </c>
      <c r="CA367" s="198">
        <v>0</v>
      </c>
      <c r="CB367" s="198">
        <v>0</v>
      </c>
      <c r="CC367" s="198">
        <v>0</v>
      </c>
      <c r="CD367" s="198">
        <v>0</v>
      </c>
      <c r="CE367" s="198">
        <v>0</v>
      </c>
      <c r="CF367" s="198">
        <v>0</v>
      </c>
      <c r="CG367" s="198">
        <v>0</v>
      </c>
      <c r="CH367" s="198">
        <v>0</v>
      </c>
      <c r="CI367" s="198">
        <v>0</v>
      </c>
      <c r="CJ367" s="198">
        <v>0</v>
      </c>
      <c r="CK367" s="88"/>
    </row>
    <row r="368" spans="1:123" x14ac:dyDescent="0.3">
      <c r="A368" s="173"/>
      <c r="B368" s="197" t="s">
        <v>325</v>
      </c>
      <c r="C368" s="198">
        <v>0</v>
      </c>
      <c r="D368" s="198">
        <v>0</v>
      </c>
      <c r="E368" s="198">
        <v>0</v>
      </c>
      <c r="F368" s="198">
        <v>0</v>
      </c>
      <c r="G368" s="198">
        <v>0</v>
      </c>
      <c r="H368" s="198">
        <v>0</v>
      </c>
      <c r="I368" s="198">
        <v>0</v>
      </c>
      <c r="J368" s="198">
        <v>0</v>
      </c>
      <c r="K368" s="198">
        <v>0</v>
      </c>
      <c r="L368" s="198">
        <v>0</v>
      </c>
      <c r="M368" s="198">
        <v>0</v>
      </c>
      <c r="N368" s="198">
        <v>0</v>
      </c>
      <c r="O368" s="198">
        <v>0</v>
      </c>
      <c r="P368" s="198">
        <v>0</v>
      </c>
      <c r="Q368" s="198">
        <v>0</v>
      </c>
      <c r="R368" s="198">
        <v>0</v>
      </c>
      <c r="S368" s="198">
        <v>0</v>
      </c>
      <c r="T368" s="198">
        <v>0</v>
      </c>
      <c r="U368" s="198">
        <v>0</v>
      </c>
      <c r="V368" s="198">
        <v>0</v>
      </c>
      <c r="W368" s="198">
        <v>0</v>
      </c>
      <c r="X368" s="198">
        <v>0</v>
      </c>
      <c r="Y368" s="198">
        <v>0</v>
      </c>
      <c r="Z368" s="198">
        <v>0</v>
      </c>
      <c r="AA368" s="198">
        <v>0</v>
      </c>
      <c r="AB368" s="198">
        <v>0</v>
      </c>
      <c r="AC368" s="198">
        <v>0</v>
      </c>
      <c r="AD368" s="198">
        <v>0</v>
      </c>
      <c r="AE368" s="198">
        <v>0</v>
      </c>
      <c r="AF368" s="198">
        <v>0</v>
      </c>
      <c r="AG368" s="198">
        <v>0</v>
      </c>
      <c r="AH368" s="198">
        <v>0</v>
      </c>
      <c r="AI368" s="198">
        <v>0</v>
      </c>
      <c r="AJ368" s="198">
        <v>0</v>
      </c>
      <c r="AK368" s="198">
        <v>0</v>
      </c>
      <c r="AL368" s="198">
        <v>0</v>
      </c>
      <c r="AM368" s="198">
        <v>0</v>
      </c>
      <c r="AN368" s="198">
        <v>0</v>
      </c>
      <c r="AO368" s="198">
        <v>0</v>
      </c>
      <c r="AP368" s="198">
        <v>0</v>
      </c>
      <c r="AQ368" s="198">
        <v>0</v>
      </c>
      <c r="AR368" s="198">
        <v>0</v>
      </c>
      <c r="AS368" s="198">
        <v>0</v>
      </c>
      <c r="AT368" s="198">
        <v>0</v>
      </c>
      <c r="AU368" s="198">
        <v>0</v>
      </c>
      <c r="AV368" s="198">
        <v>0</v>
      </c>
      <c r="AW368" s="198">
        <v>0</v>
      </c>
      <c r="AX368" s="198">
        <v>0</v>
      </c>
      <c r="AY368" s="198">
        <v>0</v>
      </c>
      <c r="AZ368" s="198">
        <v>0</v>
      </c>
      <c r="BA368" s="198">
        <v>0</v>
      </c>
      <c r="BB368" s="198">
        <v>0</v>
      </c>
      <c r="BC368" s="198">
        <v>0</v>
      </c>
      <c r="BD368" s="198">
        <v>0</v>
      </c>
      <c r="BE368" s="198">
        <v>0</v>
      </c>
      <c r="BF368" s="198">
        <v>0</v>
      </c>
      <c r="BG368" s="198">
        <v>0</v>
      </c>
      <c r="BH368" s="198">
        <v>0</v>
      </c>
      <c r="BI368" s="198">
        <v>0</v>
      </c>
      <c r="BJ368" s="198">
        <v>0</v>
      </c>
      <c r="BK368" s="198">
        <v>0</v>
      </c>
      <c r="BL368" s="198">
        <v>0</v>
      </c>
      <c r="BM368" s="198">
        <v>0</v>
      </c>
      <c r="BN368" s="198">
        <v>0</v>
      </c>
      <c r="BO368" s="198">
        <v>158.1</v>
      </c>
      <c r="BP368" s="198">
        <v>0</v>
      </c>
      <c r="BQ368" s="198">
        <v>0</v>
      </c>
      <c r="BR368" s="198">
        <v>0</v>
      </c>
      <c r="BS368" s="198">
        <v>0</v>
      </c>
      <c r="BT368" s="198">
        <v>0</v>
      </c>
      <c r="BU368" s="198">
        <v>0</v>
      </c>
      <c r="BV368" s="198">
        <v>0</v>
      </c>
      <c r="BW368" s="198">
        <v>0</v>
      </c>
      <c r="BX368" s="198">
        <v>0</v>
      </c>
      <c r="BY368" s="198">
        <v>0</v>
      </c>
      <c r="BZ368" s="198">
        <v>0</v>
      </c>
      <c r="CA368" s="198">
        <v>118.3</v>
      </c>
      <c r="CB368" s="198">
        <v>0</v>
      </c>
      <c r="CC368" s="198">
        <v>0</v>
      </c>
      <c r="CD368" s="198">
        <v>0</v>
      </c>
      <c r="CE368" s="198">
        <v>0</v>
      </c>
      <c r="CF368" s="198">
        <v>0</v>
      </c>
      <c r="CG368" s="198">
        <v>0</v>
      </c>
      <c r="CH368" s="198">
        <v>0</v>
      </c>
      <c r="CI368" s="198">
        <v>0</v>
      </c>
      <c r="CJ368" s="198">
        <v>0</v>
      </c>
      <c r="CK368" s="88"/>
    </row>
    <row r="369" spans="1:123" x14ac:dyDescent="0.3">
      <c r="A369" s="173"/>
      <c r="B369" s="197" t="s">
        <v>321</v>
      </c>
      <c r="C369" s="198">
        <v>0</v>
      </c>
      <c r="D369" s="198">
        <v>0</v>
      </c>
      <c r="E369" s="198">
        <v>0</v>
      </c>
      <c r="F369" s="198">
        <v>0</v>
      </c>
      <c r="G369" s="198">
        <v>0</v>
      </c>
      <c r="H369" s="198">
        <v>0</v>
      </c>
      <c r="I369" s="198">
        <v>0</v>
      </c>
      <c r="J369" s="198">
        <v>0</v>
      </c>
      <c r="K369" s="198">
        <v>0</v>
      </c>
      <c r="L369" s="198">
        <v>0</v>
      </c>
      <c r="M369" s="198">
        <v>0</v>
      </c>
      <c r="N369" s="198">
        <v>0</v>
      </c>
      <c r="O369" s="198">
        <v>0</v>
      </c>
      <c r="P369" s="198">
        <v>0</v>
      </c>
      <c r="Q369" s="198">
        <v>0</v>
      </c>
      <c r="R369" s="198">
        <v>0</v>
      </c>
      <c r="S369" s="198">
        <v>0</v>
      </c>
      <c r="T369" s="198">
        <v>0</v>
      </c>
      <c r="U369" s="198">
        <v>0</v>
      </c>
      <c r="V369" s="198">
        <v>0</v>
      </c>
      <c r="W369" s="198">
        <v>0</v>
      </c>
      <c r="X369" s="198">
        <v>0</v>
      </c>
      <c r="Y369" s="198">
        <v>0</v>
      </c>
      <c r="Z369" s="198">
        <v>0</v>
      </c>
      <c r="AA369" s="198">
        <v>0</v>
      </c>
      <c r="AB369" s="198">
        <v>0</v>
      </c>
      <c r="AC369" s="198">
        <v>0</v>
      </c>
      <c r="AD369" s="198">
        <v>0</v>
      </c>
      <c r="AE369" s="198">
        <v>0</v>
      </c>
      <c r="AF369" s="198">
        <v>0</v>
      </c>
      <c r="AG369" s="198">
        <v>0</v>
      </c>
      <c r="AH369" s="198">
        <v>0</v>
      </c>
      <c r="AI369" s="198">
        <v>0</v>
      </c>
      <c r="AJ369" s="198">
        <v>0</v>
      </c>
      <c r="AK369" s="198">
        <v>0</v>
      </c>
      <c r="AL369" s="198">
        <v>0</v>
      </c>
      <c r="AM369" s="198">
        <v>0</v>
      </c>
      <c r="AN369" s="198">
        <v>0</v>
      </c>
      <c r="AO369" s="198">
        <v>0</v>
      </c>
      <c r="AP369" s="198">
        <v>0</v>
      </c>
      <c r="AQ369" s="198">
        <v>0</v>
      </c>
      <c r="AR369" s="198">
        <v>0</v>
      </c>
      <c r="AS369" s="198">
        <v>0</v>
      </c>
      <c r="AT369" s="198">
        <v>0</v>
      </c>
      <c r="AU369" s="198">
        <v>0</v>
      </c>
      <c r="AV369" s="198">
        <v>0</v>
      </c>
      <c r="AW369" s="198">
        <v>0</v>
      </c>
      <c r="AX369" s="198">
        <v>0</v>
      </c>
      <c r="AY369" s="198">
        <v>0</v>
      </c>
      <c r="AZ369" s="198">
        <v>0</v>
      </c>
      <c r="BA369" s="198">
        <v>0.9</v>
      </c>
      <c r="BB369" s="198">
        <v>0</v>
      </c>
      <c r="BC369" s="198">
        <v>0</v>
      </c>
      <c r="BD369" s="198">
        <v>0.7</v>
      </c>
      <c r="BE369" s="198">
        <v>0</v>
      </c>
      <c r="BF369" s="198">
        <v>0</v>
      </c>
      <c r="BG369" s="198">
        <v>0.5</v>
      </c>
      <c r="BH369" s="198">
        <v>0</v>
      </c>
      <c r="BI369" s="198">
        <v>0</v>
      </c>
      <c r="BJ369" s="198">
        <v>0.5</v>
      </c>
      <c r="BK369" s="198">
        <v>0</v>
      </c>
      <c r="BL369" s="198">
        <v>0</v>
      </c>
      <c r="BM369" s="198">
        <v>0.2</v>
      </c>
      <c r="BN369" s="198">
        <v>0</v>
      </c>
      <c r="BO369" s="198">
        <v>0</v>
      </c>
      <c r="BP369" s="198">
        <v>0.2</v>
      </c>
      <c r="BQ369" s="198">
        <v>0</v>
      </c>
      <c r="BR369" s="198">
        <v>0</v>
      </c>
      <c r="BS369" s="198">
        <v>0.2</v>
      </c>
      <c r="BT369" s="198">
        <v>0</v>
      </c>
      <c r="BU369" s="198">
        <v>0</v>
      </c>
      <c r="BV369" s="198">
        <v>0.2</v>
      </c>
      <c r="BW369" s="198">
        <v>0</v>
      </c>
      <c r="BX369" s="198">
        <v>0</v>
      </c>
      <c r="BY369" s="198">
        <v>0.2</v>
      </c>
      <c r="BZ369" s="198">
        <v>0</v>
      </c>
      <c r="CA369" s="198">
        <v>0</v>
      </c>
      <c r="CB369" s="198">
        <v>0.1</v>
      </c>
      <c r="CC369" s="198">
        <v>0</v>
      </c>
      <c r="CD369" s="198">
        <v>0</v>
      </c>
      <c r="CE369" s="198">
        <v>0.1</v>
      </c>
      <c r="CF369" s="198">
        <v>0</v>
      </c>
      <c r="CG369" s="198">
        <v>0</v>
      </c>
      <c r="CH369" s="198">
        <v>0.1</v>
      </c>
      <c r="CI369" s="198">
        <v>0</v>
      </c>
      <c r="CJ369" s="198">
        <v>0</v>
      </c>
      <c r="CK369" s="88"/>
    </row>
    <row r="370" spans="1:123" x14ac:dyDescent="0.3">
      <c r="A370" s="173"/>
      <c r="B370" s="197" t="s">
        <v>337</v>
      </c>
      <c r="C370" s="198">
        <v>0</v>
      </c>
      <c r="D370" s="198">
        <v>0</v>
      </c>
      <c r="E370" s="198">
        <v>0</v>
      </c>
      <c r="F370" s="198">
        <v>0</v>
      </c>
      <c r="G370" s="198">
        <v>0</v>
      </c>
      <c r="H370" s="198">
        <v>0</v>
      </c>
      <c r="I370" s="198">
        <v>0</v>
      </c>
      <c r="J370" s="198">
        <v>0</v>
      </c>
      <c r="K370" s="198">
        <v>0</v>
      </c>
      <c r="L370" s="198">
        <v>0</v>
      </c>
      <c r="M370" s="198">
        <v>0</v>
      </c>
      <c r="N370" s="198">
        <v>0</v>
      </c>
      <c r="O370" s="198">
        <v>0</v>
      </c>
      <c r="P370" s="198">
        <v>0</v>
      </c>
      <c r="Q370" s="198">
        <v>0</v>
      </c>
      <c r="R370" s="198">
        <v>0</v>
      </c>
      <c r="S370" s="198">
        <v>0</v>
      </c>
      <c r="T370" s="198">
        <v>0</v>
      </c>
      <c r="U370" s="198">
        <v>0</v>
      </c>
      <c r="V370" s="198">
        <v>0</v>
      </c>
      <c r="W370" s="198">
        <v>0</v>
      </c>
      <c r="X370" s="198">
        <v>0</v>
      </c>
      <c r="Y370" s="198">
        <v>0</v>
      </c>
      <c r="Z370" s="198">
        <v>0</v>
      </c>
      <c r="AA370" s="198">
        <v>0</v>
      </c>
      <c r="AB370" s="198">
        <v>0</v>
      </c>
      <c r="AC370" s="198">
        <v>0</v>
      </c>
      <c r="AD370" s="198">
        <v>0</v>
      </c>
      <c r="AE370" s="198">
        <v>0</v>
      </c>
      <c r="AF370" s="198">
        <v>0</v>
      </c>
      <c r="AG370" s="198">
        <v>0</v>
      </c>
      <c r="AH370" s="198">
        <v>0</v>
      </c>
      <c r="AI370" s="198">
        <v>0</v>
      </c>
      <c r="AJ370" s="198">
        <v>0</v>
      </c>
      <c r="AK370" s="198">
        <v>0</v>
      </c>
      <c r="AL370" s="198">
        <v>0</v>
      </c>
      <c r="AM370" s="198">
        <v>0</v>
      </c>
      <c r="AN370" s="198">
        <v>0</v>
      </c>
      <c r="AO370" s="198">
        <v>0</v>
      </c>
      <c r="AP370" s="198">
        <v>0</v>
      </c>
      <c r="AQ370" s="198">
        <v>0</v>
      </c>
      <c r="AR370" s="198">
        <v>0</v>
      </c>
      <c r="AS370" s="198">
        <v>0</v>
      </c>
      <c r="AT370" s="198">
        <v>0</v>
      </c>
      <c r="AU370" s="198">
        <v>0</v>
      </c>
      <c r="AV370" s="198">
        <v>0</v>
      </c>
      <c r="AW370" s="198">
        <v>0</v>
      </c>
      <c r="AX370" s="198">
        <v>0</v>
      </c>
      <c r="AY370" s="198">
        <v>0</v>
      </c>
      <c r="AZ370" s="198">
        <v>0</v>
      </c>
      <c r="BA370" s="198">
        <v>0</v>
      </c>
      <c r="BB370" s="198">
        <v>0</v>
      </c>
      <c r="BC370" s="198">
        <v>0</v>
      </c>
      <c r="BD370" s="198">
        <v>0</v>
      </c>
      <c r="BE370" s="198">
        <v>0</v>
      </c>
      <c r="BF370" s="198">
        <v>0</v>
      </c>
      <c r="BG370" s="198">
        <v>0</v>
      </c>
      <c r="BH370" s="198">
        <v>0</v>
      </c>
      <c r="BI370" s="198">
        <v>0</v>
      </c>
      <c r="BJ370" s="198">
        <v>0</v>
      </c>
      <c r="BK370" s="198">
        <v>0</v>
      </c>
      <c r="BL370" s="198">
        <v>0</v>
      </c>
      <c r="BM370" s="198">
        <v>0</v>
      </c>
      <c r="BN370" s="198">
        <v>0</v>
      </c>
      <c r="BO370" s="198">
        <v>0</v>
      </c>
      <c r="BP370" s="198">
        <v>0</v>
      </c>
      <c r="BQ370" s="198">
        <v>0</v>
      </c>
      <c r="BR370" s="198">
        <v>0</v>
      </c>
      <c r="BS370" s="198">
        <v>0</v>
      </c>
      <c r="BT370" s="198">
        <v>0</v>
      </c>
      <c r="BU370" s="198">
        <v>49.4</v>
      </c>
      <c r="BV370" s="198">
        <v>0</v>
      </c>
      <c r="BW370" s="198">
        <v>0</v>
      </c>
      <c r="BX370" s="198">
        <v>0</v>
      </c>
      <c r="BY370" s="198">
        <v>0</v>
      </c>
      <c r="BZ370" s="198">
        <v>0</v>
      </c>
      <c r="CA370" s="198">
        <v>0</v>
      </c>
      <c r="CB370" s="198">
        <v>0</v>
      </c>
      <c r="CC370" s="198">
        <v>0</v>
      </c>
      <c r="CD370" s="198">
        <v>0</v>
      </c>
      <c r="CE370" s="198">
        <v>0</v>
      </c>
      <c r="CF370" s="198">
        <v>0</v>
      </c>
      <c r="CG370" s="198">
        <v>33.9</v>
      </c>
      <c r="CH370" s="198">
        <v>0</v>
      </c>
      <c r="CI370" s="198">
        <v>0</v>
      </c>
      <c r="CJ370" s="198">
        <v>0</v>
      </c>
      <c r="CK370" s="88"/>
    </row>
    <row r="371" spans="1:123" x14ac:dyDescent="0.3">
      <c r="A371" s="173"/>
      <c r="B371" s="197" t="s">
        <v>302</v>
      </c>
      <c r="C371" s="198">
        <v>0</v>
      </c>
      <c r="D371" s="198">
        <v>0</v>
      </c>
      <c r="E371" s="198">
        <v>0</v>
      </c>
      <c r="F371" s="198">
        <v>0</v>
      </c>
      <c r="G371" s="198">
        <v>0</v>
      </c>
      <c r="H371" s="198">
        <v>0</v>
      </c>
      <c r="I371" s="198">
        <v>0</v>
      </c>
      <c r="J371" s="198">
        <v>0</v>
      </c>
      <c r="K371" s="198">
        <v>0</v>
      </c>
      <c r="L371" s="198">
        <v>0</v>
      </c>
      <c r="M371" s="198">
        <v>0</v>
      </c>
      <c r="N371" s="198">
        <v>0</v>
      </c>
      <c r="O371" s="198">
        <v>0</v>
      </c>
      <c r="P371" s="198">
        <v>0</v>
      </c>
      <c r="Q371" s="198">
        <v>0</v>
      </c>
      <c r="R371" s="198">
        <v>0</v>
      </c>
      <c r="S371" s="198">
        <v>0</v>
      </c>
      <c r="T371" s="198">
        <v>0</v>
      </c>
      <c r="U371" s="198">
        <v>0</v>
      </c>
      <c r="V371" s="198">
        <v>0</v>
      </c>
      <c r="W371" s="198">
        <v>0</v>
      </c>
      <c r="X371" s="198">
        <v>0</v>
      </c>
      <c r="Y371" s="198">
        <v>0</v>
      </c>
      <c r="Z371" s="198">
        <v>0</v>
      </c>
      <c r="AA371" s="198">
        <v>0</v>
      </c>
      <c r="AB371" s="198">
        <v>0</v>
      </c>
      <c r="AC371" s="198">
        <v>0</v>
      </c>
      <c r="AD371" s="198">
        <v>0</v>
      </c>
      <c r="AE371" s="198">
        <v>0</v>
      </c>
      <c r="AF371" s="198">
        <v>0</v>
      </c>
      <c r="AG371" s="198">
        <v>0</v>
      </c>
      <c r="AH371" s="198">
        <v>580.70000000000005</v>
      </c>
      <c r="AI371" s="198">
        <v>0</v>
      </c>
      <c r="AJ371" s="198">
        <v>0</v>
      </c>
      <c r="AK371" s="198">
        <v>0</v>
      </c>
      <c r="AL371" s="198">
        <v>0</v>
      </c>
      <c r="AM371" s="198">
        <v>0</v>
      </c>
      <c r="AN371" s="198">
        <v>0</v>
      </c>
      <c r="AO371" s="198">
        <v>0</v>
      </c>
      <c r="AP371" s="198">
        <v>0</v>
      </c>
      <c r="AQ371" s="198">
        <v>0</v>
      </c>
      <c r="AR371" s="198">
        <v>0</v>
      </c>
      <c r="AS371" s="198">
        <v>0</v>
      </c>
      <c r="AT371" s="198">
        <v>0</v>
      </c>
      <c r="AU371" s="198">
        <v>0</v>
      </c>
      <c r="AV371" s="198">
        <v>0</v>
      </c>
      <c r="AW371" s="198">
        <v>0</v>
      </c>
      <c r="AX371" s="198">
        <v>0</v>
      </c>
      <c r="AY371" s="198">
        <v>0</v>
      </c>
      <c r="AZ371" s="198">
        <v>0</v>
      </c>
      <c r="BA371" s="198">
        <v>0</v>
      </c>
      <c r="BB371" s="198">
        <v>0</v>
      </c>
      <c r="BC371" s="198">
        <v>0</v>
      </c>
      <c r="BD371" s="198">
        <v>0</v>
      </c>
      <c r="BE371" s="198">
        <v>0</v>
      </c>
      <c r="BF371" s="198">
        <v>0</v>
      </c>
      <c r="BG371" s="198">
        <v>0</v>
      </c>
      <c r="BH371" s="198">
        <v>0</v>
      </c>
      <c r="BI371" s="198">
        <v>0</v>
      </c>
      <c r="BJ371" s="198">
        <v>0</v>
      </c>
      <c r="BK371" s="198">
        <v>0</v>
      </c>
      <c r="BL371" s="198">
        <v>0</v>
      </c>
      <c r="BM371" s="198">
        <v>0</v>
      </c>
      <c r="BN371" s="198">
        <v>0</v>
      </c>
      <c r="BO371" s="198">
        <v>0</v>
      </c>
      <c r="BP371" s="198">
        <v>0</v>
      </c>
      <c r="BQ371" s="198">
        <v>0</v>
      </c>
      <c r="BR371" s="198">
        <v>0</v>
      </c>
      <c r="BS371" s="198">
        <v>0</v>
      </c>
      <c r="BT371" s="198">
        <v>0</v>
      </c>
      <c r="BU371" s="198">
        <v>0</v>
      </c>
      <c r="BV371" s="198">
        <v>0</v>
      </c>
      <c r="BW371" s="198">
        <v>0</v>
      </c>
      <c r="BX371" s="198">
        <v>0</v>
      </c>
      <c r="BY371" s="198">
        <v>0</v>
      </c>
      <c r="BZ371" s="198">
        <v>0</v>
      </c>
      <c r="CA371" s="198">
        <v>0</v>
      </c>
      <c r="CB371" s="198">
        <v>0</v>
      </c>
      <c r="CC371" s="198">
        <v>0</v>
      </c>
      <c r="CD371" s="198">
        <v>0</v>
      </c>
      <c r="CE371" s="198">
        <v>0</v>
      </c>
      <c r="CF371" s="198">
        <v>0</v>
      </c>
      <c r="CG371" s="198">
        <v>0</v>
      </c>
      <c r="CH371" s="198">
        <v>0</v>
      </c>
      <c r="CI371" s="198">
        <v>0</v>
      </c>
      <c r="CJ371" s="198">
        <v>0</v>
      </c>
      <c r="CK371" s="88"/>
    </row>
    <row r="372" spans="1:123" x14ac:dyDescent="0.3">
      <c r="A372" s="173"/>
      <c r="B372" s="197" t="s">
        <v>304</v>
      </c>
      <c r="C372" s="198">
        <v>0</v>
      </c>
      <c r="D372" s="198">
        <v>0</v>
      </c>
      <c r="E372" s="198">
        <v>0</v>
      </c>
      <c r="F372" s="198">
        <v>0</v>
      </c>
      <c r="G372" s="198">
        <v>0</v>
      </c>
      <c r="H372" s="198">
        <v>0</v>
      </c>
      <c r="I372" s="198">
        <v>0</v>
      </c>
      <c r="J372" s="198">
        <v>0</v>
      </c>
      <c r="K372" s="198">
        <v>0</v>
      </c>
      <c r="L372" s="198">
        <v>0</v>
      </c>
      <c r="M372" s="198">
        <v>0</v>
      </c>
      <c r="N372" s="198">
        <v>0</v>
      </c>
      <c r="O372" s="198">
        <v>0</v>
      </c>
      <c r="P372" s="198">
        <v>0</v>
      </c>
      <c r="Q372" s="198">
        <v>0</v>
      </c>
      <c r="R372" s="198">
        <v>0</v>
      </c>
      <c r="S372" s="198">
        <v>0</v>
      </c>
      <c r="T372" s="198">
        <v>0</v>
      </c>
      <c r="U372" s="198">
        <v>0</v>
      </c>
      <c r="V372" s="198">
        <v>0</v>
      </c>
      <c r="W372" s="198">
        <v>0</v>
      </c>
      <c r="X372" s="198">
        <v>0</v>
      </c>
      <c r="Y372" s="198">
        <v>0</v>
      </c>
      <c r="Z372" s="198">
        <v>0</v>
      </c>
      <c r="AA372" s="198">
        <v>0</v>
      </c>
      <c r="AB372" s="198">
        <v>0</v>
      </c>
      <c r="AC372" s="198">
        <v>0</v>
      </c>
      <c r="AD372" s="198">
        <v>0</v>
      </c>
      <c r="AE372" s="198">
        <v>0</v>
      </c>
      <c r="AF372" s="198">
        <v>0</v>
      </c>
      <c r="AG372" s="198">
        <v>0</v>
      </c>
      <c r="AH372" s="198">
        <v>0</v>
      </c>
      <c r="AI372" s="198">
        <v>0</v>
      </c>
      <c r="AJ372" s="198">
        <v>0</v>
      </c>
      <c r="AK372" s="198">
        <v>3</v>
      </c>
      <c r="AL372" s="198">
        <v>0</v>
      </c>
      <c r="AM372" s="198">
        <v>0</v>
      </c>
      <c r="AN372" s="198">
        <v>2.8</v>
      </c>
      <c r="AO372" s="198">
        <v>0</v>
      </c>
      <c r="AP372" s="198">
        <v>0</v>
      </c>
      <c r="AQ372" s="198">
        <v>2.6</v>
      </c>
      <c r="AR372" s="198">
        <v>0</v>
      </c>
      <c r="AS372" s="198">
        <v>0</v>
      </c>
      <c r="AT372" s="198">
        <v>2.2000000000000002</v>
      </c>
      <c r="AU372" s="198">
        <v>0</v>
      </c>
      <c r="AV372" s="198">
        <v>0</v>
      </c>
      <c r="AW372" s="198">
        <v>1.9</v>
      </c>
      <c r="AX372" s="198">
        <v>0</v>
      </c>
      <c r="AY372" s="198">
        <v>0</v>
      </c>
      <c r="AZ372" s="198">
        <v>1.6</v>
      </c>
      <c r="BA372" s="198">
        <v>0</v>
      </c>
      <c r="BB372" s="198">
        <v>0</v>
      </c>
      <c r="BC372" s="198">
        <v>1.3</v>
      </c>
      <c r="BD372" s="198">
        <v>0</v>
      </c>
      <c r="BE372" s="198">
        <v>0</v>
      </c>
      <c r="BF372" s="198">
        <v>1.1000000000000001</v>
      </c>
      <c r="BG372" s="198">
        <v>0</v>
      </c>
      <c r="BH372" s="198">
        <v>0</v>
      </c>
      <c r="BI372" s="198">
        <v>0.8</v>
      </c>
      <c r="BJ372" s="198">
        <v>0</v>
      </c>
      <c r="BK372" s="198">
        <v>0</v>
      </c>
      <c r="BL372" s="198">
        <v>0.4</v>
      </c>
      <c r="BM372" s="198">
        <v>0</v>
      </c>
      <c r="BN372" s="198">
        <v>0</v>
      </c>
      <c r="BO372" s="198">
        <v>0.3</v>
      </c>
      <c r="BP372" s="198">
        <v>0</v>
      </c>
      <c r="BQ372" s="198">
        <v>0</v>
      </c>
      <c r="BR372" s="198">
        <v>0.3</v>
      </c>
      <c r="BS372" s="198">
        <v>0</v>
      </c>
      <c r="BT372" s="198">
        <v>0</v>
      </c>
      <c r="BU372" s="198">
        <v>0.3</v>
      </c>
      <c r="BV372" s="198">
        <v>0</v>
      </c>
      <c r="BW372" s="198">
        <v>0</v>
      </c>
      <c r="BX372" s="198">
        <v>0.3</v>
      </c>
      <c r="BY372" s="198">
        <v>0</v>
      </c>
      <c r="BZ372" s="198">
        <v>0</v>
      </c>
      <c r="CA372" s="198">
        <v>0.3</v>
      </c>
      <c r="CB372" s="198">
        <v>0</v>
      </c>
      <c r="CC372" s="198">
        <v>0</v>
      </c>
      <c r="CD372" s="198">
        <v>0.2</v>
      </c>
      <c r="CE372" s="198">
        <v>0</v>
      </c>
      <c r="CF372" s="198">
        <v>0</v>
      </c>
      <c r="CG372" s="198">
        <v>0.2</v>
      </c>
      <c r="CH372" s="198">
        <v>0</v>
      </c>
      <c r="CI372" s="198">
        <v>0</v>
      </c>
      <c r="CJ372" s="198">
        <v>0.2</v>
      </c>
      <c r="CK372" s="88"/>
    </row>
    <row r="373" spans="1:123" x14ac:dyDescent="0.3">
      <c r="A373" s="173"/>
      <c r="B373" s="197" t="s">
        <v>290</v>
      </c>
      <c r="C373" s="198">
        <v>0</v>
      </c>
      <c r="D373" s="198">
        <v>0</v>
      </c>
      <c r="E373" s="198">
        <v>0</v>
      </c>
      <c r="F373" s="198">
        <v>0</v>
      </c>
      <c r="G373" s="198">
        <v>0</v>
      </c>
      <c r="H373" s="198">
        <v>0</v>
      </c>
      <c r="I373" s="198">
        <v>0</v>
      </c>
      <c r="J373" s="198">
        <v>0</v>
      </c>
      <c r="K373" s="198">
        <v>0</v>
      </c>
      <c r="L373" s="198">
        <v>0</v>
      </c>
      <c r="M373" s="198">
        <v>0</v>
      </c>
      <c r="N373" s="198">
        <v>0</v>
      </c>
      <c r="O373" s="198">
        <v>0</v>
      </c>
      <c r="P373" s="198">
        <v>0</v>
      </c>
      <c r="Q373" s="198">
        <v>0</v>
      </c>
      <c r="R373" s="198">
        <v>0</v>
      </c>
      <c r="S373" s="198">
        <v>0</v>
      </c>
      <c r="T373" s="198">
        <v>0</v>
      </c>
      <c r="U373" s="198">
        <v>0</v>
      </c>
      <c r="V373" s="198">
        <v>0</v>
      </c>
      <c r="W373" s="198">
        <v>0</v>
      </c>
      <c r="X373" s="198">
        <v>0</v>
      </c>
      <c r="Y373" s="198">
        <v>0</v>
      </c>
      <c r="Z373" s="198">
        <v>0</v>
      </c>
      <c r="AA373" s="198">
        <v>0</v>
      </c>
      <c r="AB373" s="198">
        <v>0</v>
      </c>
      <c r="AC373" s="198">
        <v>0</v>
      </c>
      <c r="AD373" s="198">
        <v>0</v>
      </c>
      <c r="AE373" s="198">
        <v>0</v>
      </c>
      <c r="AF373" s="198">
        <v>0</v>
      </c>
      <c r="AG373" s="198">
        <v>0</v>
      </c>
      <c r="AH373" s="198">
        <v>0</v>
      </c>
      <c r="AI373" s="198">
        <v>0</v>
      </c>
      <c r="AJ373" s="198">
        <v>0</v>
      </c>
      <c r="AK373" s="198">
        <v>0</v>
      </c>
      <c r="AL373" s="198">
        <v>0</v>
      </c>
      <c r="AM373" s="198">
        <v>0</v>
      </c>
      <c r="AN373" s="198">
        <v>0</v>
      </c>
      <c r="AO373" s="198">
        <v>0</v>
      </c>
      <c r="AP373" s="198">
        <v>0</v>
      </c>
      <c r="AQ373" s="198">
        <v>0</v>
      </c>
      <c r="AR373" s="198">
        <v>0</v>
      </c>
      <c r="AS373" s="198">
        <v>0</v>
      </c>
      <c r="AT373" s="198">
        <v>0</v>
      </c>
      <c r="AU373" s="198">
        <v>0</v>
      </c>
      <c r="AV373" s="198">
        <v>0</v>
      </c>
      <c r="AW373" s="198">
        <v>0</v>
      </c>
      <c r="AX373" s="198">
        <v>0</v>
      </c>
      <c r="AY373" s="198">
        <v>478.3</v>
      </c>
      <c r="AZ373" s="198">
        <v>36.5</v>
      </c>
      <c r="BA373" s="198">
        <v>0</v>
      </c>
      <c r="BB373" s="198">
        <v>0</v>
      </c>
      <c r="BC373" s="198">
        <v>0</v>
      </c>
      <c r="BD373" s="198">
        <v>0</v>
      </c>
      <c r="BE373" s="198">
        <v>0</v>
      </c>
      <c r="BF373" s="198">
        <v>0</v>
      </c>
      <c r="BG373" s="198">
        <v>0</v>
      </c>
      <c r="BH373" s="198">
        <v>0</v>
      </c>
      <c r="BI373" s="198">
        <v>0</v>
      </c>
      <c r="BJ373" s="198">
        <v>0</v>
      </c>
      <c r="BK373" s="198">
        <v>0</v>
      </c>
      <c r="BL373" s="198">
        <v>0</v>
      </c>
      <c r="BM373" s="198">
        <v>0</v>
      </c>
      <c r="BN373" s="198">
        <v>0</v>
      </c>
      <c r="BO373" s="198">
        <v>0</v>
      </c>
      <c r="BP373" s="198">
        <v>0</v>
      </c>
      <c r="BQ373" s="198">
        <v>0</v>
      </c>
      <c r="BR373" s="198">
        <v>0</v>
      </c>
      <c r="BS373" s="198">
        <v>0</v>
      </c>
      <c r="BT373" s="198">
        <v>0</v>
      </c>
      <c r="BU373" s="198">
        <v>0</v>
      </c>
      <c r="BV373" s="198">
        <v>0</v>
      </c>
      <c r="BW373" s="198">
        <v>0</v>
      </c>
      <c r="BX373" s="198">
        <v>0</v>
      </c>
      <c r="BY373" s="198">
        <v>0</v>
      </c>
      <c r="BZ373" s="198">
        <v>0</v>
      </c>
      <c r="CA373" s="198">
        <v>0</v>
      </c>
      <c r="CB373" s="198">
        <v>0</v>
      </c>
      <c r="CC373" s="198">
        <v>0</v>
      </c>
      <c r="CD373" s="198">
        <v>0</v>
      </c>
      <c r="CE373" s="198">
        <v>0</v>
      </c>
      <c r="CF373" s="198">
        <v>0</v>
      </c>
      <c r="CG373" s="198">
        <v>0</v>
      </c>
      <c r="CH373" s="198">
        <v>0</v>
      </c>
      <c r="CI373" s="198">
        <v>0</v>
      </c>
      <c r="CJ373" s="198">
        <v>0</v>
      </c>
      <c r="CK373" s="88"/>
    </row>
    <row r="374" spans="1:123" x14ac:dyDescent="0.3">
      <c r="A374" s="173"/>
      <c r="B374" s="197" t="s">
        <v>323</v>
      </c>
      <c r="C374" s="198">
        <v>0</v>
      </c>
      <c r="D374" s="198">
        <v>0</v>
      </c>
      <c r="E374" s="198">
        <v>0</v>
      </c>
      <c r="F374" s="198">
        <v>0</v>
      </c>
      <c r="G374" s="198">
        <v>0</v>
      </c>
      <c r="H374" s="198">
        <v>0</v>
      </c>
      <c r="I374" s="198">
        <v>0</v>
      </c>
      <c r="J374" s="198">
        <v>0</v>
      </c>
      <c r="K374" s="198">
        <v>0</v>
      </c>
      <c r="L374" s="198">
        <v>0</v>
      </c>
      <c r="M374" s="198">
        <v>0</v>
      </c>
      <c r="N374" s="198">
        <v>0</v>
      </c>
      <c r="O374" s="198">
        <v>0</v>
      </c>
      <c r="P374" s="198">
        <v>0</v>
      </c>
      <c r="Q374" s="198">
        <v>0</v>
      </c>
      <c r="R374" s="198">
        <v>0</v>
      </c>
      <c r="S374" s="198">
        <v>0</v>
      </c>
      <c r="T374" s="198">
        <v>0</v>
      </c>
      <c r="U374" s="198">
        <v>0</v>
      </c>
      <c r="V374" s="198">
        <v>0</v>
      </c>
      <c r="W374" s="198">
        <v>0</v>
      </c>
      <c r="X374" s="198">
        <v>0</v>
      </c>
      <c r="Y374" s="198">
        <v>0</v>
      </c>
      <c r="Z374" s="198">
        <v>0</v>
      </c>
      <c r="AA374" s="198">
        <v>0</v>
      </c>
      <c r="AB374" s="198">
        <v>0</v>
      </c>
      <c r="AC374" s="198">
        <v>0</v>
      </c>
      <c r="AD374" s="198">
        <v>0</v>
      </c>
      <c r="AE374" s="198">
        <v>0</v>
      </c>
      <c r="AF374" s="198">
        <v>0</v>
      </c>
      <c r="AG374" s="198">
        <v>0</v>
      </c>
      <c r="AH374" s="198">
        <v>0</v>
      </c>
      <c r="AI374" s="198">
        <v>0</v>
      </c>
      <c r="AJ374" s="198">
        <v>0</v>
      </c>
      <c r="AK374" s="198">
        <v>0</v>
      </c>
      <c r="AL374" s="198">
        <v>0</v>
      </c>
      <c r="AM374" s="198">
        <v>0</v>
      </c>
      <c r="AN374" s="198">
        <v>0</v>
      </c>
      <c r="AO374" s="198">
        <v>0</v>
      </c>
      <c r="AP374" s="198">
        <v>0</v>
      </c>
      <c r="AQ374" s="198">
        <v>0</v>
      </c>
      <c r="AR374" s="198">
        <v>0</v>
      </c>
      <c r="AS374" s="198">
        <v>0</v>
      </c>
      <c r="AT374" s="198">
        <v>0</v>
      </c>
      <c r="AU374" s="198">
        <v>0</v>
      </c>
      <c r="AV374" s="198">
        <v>0</v>
      </c>
      <c r="AW374" s="198">
        <v>0</v>
      </c>
      <c r="AX374" s="198">
        <v>0</v>
      </c>
      <c r="AY374" s="198">
        <v>0</v>
      </c>
      <c r="AZ374" s="198">
        <v>0</v>
      </c>
      <c r="BA374" s="198">
        <v>0</v>
      </c>
      <c r="BB374" s="198">
        <v>0</v>
      </c>
      <c r="BC374" s="198">
        <v>0</v>
      </c>
      <c r="BD374" s="198">
        <v>0</v>
      </c>
      <c r="BE374" s="198">
        <v>0</v>
      </c>
      <c r="BF374" s="198">
        <v>0</v>
      </c>
      <c r="BG374" s="198">
        <v>0</v>
      </c>
      <c r="BH374" s="198">
        <v>0</v>
      </c>
      <c r="BI374" s="198">
        <v>0</v>
      </c>
      <c r="BJ374" s="198">
        <v>0</v>
      </c>
      <c r="BK374" s="198">
        <v>0</v>
      </c>
      <c r="BL374" s="198">
        <v>0</v>
      </c>
      <c r="BM374" s="198">
        <v>5.2</v>
      </c>
      <c r="BN374" s="198">
        <v>5.8</v>
      </c>
      <c r="BO374" s="198">
        <v>0</v>
      </c>
      <c r="BP374" s="198">
        <v>0</v>
      </c>
      <c r="BQ374" s="198">
        <v>0</v>
      </c>
      <c r="BR374" s="198">
        <v>0</v>
      </c>
      <c r="BS374" s="198">
        <v>0</v>
      </c>
      <c r="BT374" s="198">
        <v>0</v>
      </c>
      <c r="BU374" s="198">
        <v>0</v>
      </c>
      <c r="BV374" s="198">
        <v>0</v>
      </c>
      <c r="BW374" s="198">
        <v>0</v>
      </c>
      <c r="BX374" s="198">
        <v>0</v>
      </c>
      <c r="BY374" s="198">
        <v>0</v>
      </c>
      <c r="BZ374" s="198">
        <v>0</v>
      </c>
      <c r="CA374" s="198">
        <v>0</v>
      </c>
      <c r="CB374" s="198">
        <v>0</v>
      </c>
      <c r="CC374" s="198">
        <v>0</v>
      </c>
      <c r="CD374" s="198">
        <v>0</v>
      </c>
      <c r="CE374" s="198">
        <v>0</v>
      </c>
      <c r="CF374" s="198">
        <v>0</v>
      </c>
      <c r="CG374" s="198">
        <v>0</v>
      </c>
      <c r="CH374" s="198">
        <v>0</v>
      </c>
      <c r="CI374" s="198">
        <v>0</v>
      </c>
      <c r="CJ374" s="198">
        <v>0</v>
      </c>
      <c r="CK374" s="88"/>
    </row>
    <row r="375" spans="1:123" s="417" customFormat="1" x14ac:dyDescent="0.3">
      <c r="A375" s="416"/>
      <c r="B375" s="201" t="s">
        <v>301</v>
      </c>
      <c r="C375" s="202">
        <v>0</v>
      </c>
      <c r="D375" s="202">
        <v>0</v>
      </c>
      <c r="E375" s="202">
        <v>0</v>
      </c>
      <c r="F375" s="202">
        <v>0</v>
      </c>
      <c r="G375" s="202">
        <v>0</v>
      </c>
      <c r="H375" s="202">
        <v>0</v>
      </c>
      <c r="I375" s="202">
        <v>0</v>
      </c>
      <c r="J375" s="202">
        <v>0</v>
      </c>
      <c r="K375" s="202">
        <v>0</v>
      </c>
      <c r="L375" s="202">
        <v>0</v>
      </c>
      <c r="M375" s="202">
        <v>0</v>
      </c>
      <c r="N375" s="202">
        <v>0</v>
      </c>
      <c r="O375" s="202">
        <v>0</v>
      </c>
      <c r="P375" s="202">
        <v>0</v>
      </c>
      <c r="Q375" s="202">
        <v>0</v>
      </c>
      <c r="R375" s="202">
        <v>0</v>
      </c>
      <c r="S375" s="202">
        <v>0</v>
      </c>
      <c r="T375" s="202">
        <v>0</v>
      </c>
      <c r="U375" s="202">
        <v>0</v>
      </c>
      <c r="V375" s="202">
        <v>0</v>
      </c>
      <c r="W375" s="202">
        <v>0</v>
      </c>
      <c r="X375" s="202">
        <v>0</v>
      </c>
      <c r="Y375" s="202">
        <v>0</v>
      </c>
      <c r="Z375" s="202">
        <v>0</v>
      </c>
      <c r="AA375" s="202">
        <v>0</v>
      </c>
      <c r="AB375" s="202">
        <v>0</v>
      </c>
      <c r="AC375" s="202">
        <v>0</v>
      </c>
      <c r="AD375" s="202">
        <v>0</v>
      </c>
      <c r="AE375" s="202">
        <v>0</v>
      </c>
      <c r="AF375" s="202">
        <v>0</v>
      </c>
      <c r="AG375" s="202">
        <v>0</v>
      </c>
      <c r="AH375" s="202">
        <v>0</v>
      </c>
      <c r="AI375" s="202">
        <v>0</v>
      </c>
      <c r="AJ375" s="202">
        <v>0</v>
      </c>
      <c r="AK375" s="202">
        <v>0</v>
      </c>
      <c r="AL375" s="202">
        <v>0</v>
      </c>
      <c r="AM375" s="202">
        <v>0</v>
      </c>
      <c r="AN375" s="202">
        <v>0</v>
      </c>
      <c r="AO375" s="202">
        <v>0</v>
      </c>
      <c r="AP375" s="202">
        <v>0</v>
      </c>
      <c r="AQ375" s="202">
        <v>0</v>
      </c>
      <c r="AR375" s="202">
        <v>0</v>
      </c>
      <c r="AS375" s="202">
        <v>0</v>
      </c>
      <c r="AT375" s="202">
        <v>0</v>
      </c>
      <c r="AU375" s="202">
        <v>0</v>
      </c>
      <c r="AV375" s="202">
        <v>0</v>
      </c>
      <c r="AW375" s="202">
        <v>0</v>
      </c>
      <c r="AX375" s="202">
        <v>0</v>
      </c>
      <c r="AY375" s="202">
        <v>0</v>
      </c>
      <c r="AZ375" s="202">
        <v>0</v>
      </c>
      <c r="BA375" s="202">
        <v>0</v>
      </c>
      <c r="BB375" s="202">
        <v>0</v>
      </c>
      <c r="BC375" s="202">
        <v>0</v>
      </c>
      <c r="BD375" s="202">
        <v>0</v>
      </c>
      <c r="BE375" s="202">
        <v>0</v>
      </c>
      <c r="BF375" s="202">
        <v>0</v>
      </c>
      <c r="BG375" s="202">
        <v>0</v>
      </c>
      <c r="BH375" s="202">
        <v>0</v>
      </c>
      <c r="BI375" s="202">
        <v>0</v>
      </c>
      <c r="BJ375" s="202">
        <v>0</v>
      </c>
      <c r="BK375" s="202">
        <v>0</v>
      </c>
      <c r="BL375" s="202">
        <v>0</v>
      </c>
      <c r="BM375" s="202">
        <v>0</v>
      </c>
      <c r="BN375" s="202">
        <v>0</v>
      </c>
      <c r="BO375" s="202">
        <v>0</v>
      </c>
      <c r="BP375" s="202">
        <v>0</v>
      </c>
      <c r="BQ375" s="202">
        <v>0</v>
      </c>
      <c r="BR375" s="202">
        <v>0</v>
      </c>
      <c r="BS375" s="202">
        <v>0</v>
      </c>
      <c r="BT375" s="202">
        <v>0</v>
      </c>
      <c r="BU375" s="202">
        <v>0</v>
      </c>
      <c r="BV375" s="202">
        <v>0</v>
      </c>
      <c r="BW375" s="202">
        <v>2.5</v>
      </c>
      <c r="BX375" s="202">
        <v>0</v>
      </c>
      <c r="BY375" s="202">
        <v>0</v>
      </c>
      <c r="BZ375" s="202">
        <v>0</v>
      </c>
      <c r="CA375" s="202">
        <v>0</v>
      </c>
      <c r="CB375" s="202">
        <v>0</v>
      </c>
      <c r="CC375" s="202">
        <v>2.2000000000000002</v>
      </c>
      <c r="CD375" s="202">
        <v>0</v>
      </c>
      <c r="CE375" s="202">
        <v>0</v>
      </c>
      <c r="CF375" s="202">
        <v>0</v>
      </c>
      <c r="CG375" s="202">
        <v>0</v>
      </c>
      <c r="CH375" s="202">
        <v>0</v>
      </c>
      <c r="CI375" s="202">
        <v>1.8</v>
      </c>
      <c r="CJ375" s="202">
        <v>0</v>
      </c>
      <c r="CK375" s="88"/>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row>
    <row r="376" spans="1:123" x14ac:dyDescent="0.3">
      <c r="A376" s="173"/>
      <c r="B376" s="197" t="s">
        <v>308</v>
      </c>
      <c r="C376" s="198">
        <v>0</v>
      </c>
      <c r="D376" s="198">
        <v>0</v>
      </c>
      <c r="E376" s="198">
        <v>0</v>
      </c>
      <c r="F376" s="198">
        <v>0</v>
      </c>
      <c r="G376" s="198">
        <v>0</v>
      </c>
      <c r="H376" s="198">
        <v>0</v>
      </c>
      <c r="I376" s="198">
        <v>0</v>
      </c>
      <c r="J376" s="198">
        <v>0</v>
      </c>
      <c r="K376" s="198">
        <v>0</v>
      </c>
      <c r="L376" s="198">
        <v>0</v>
      </c>
      <c r="M376" s="198">
        <v>0</v>
      </c>
      <c r="N376" s="198">
        <v>0</v>
      </c>
      <c r="O376" s="198">
        <v>0</v>
      </c>
      <c r="P376" s="198">
        <v>0</v>
      </c>
      <c r="Q376" s="198">
        <v>0</v>
      </c>
      <c r="R376" s="198">
        <v>0</v>
      </c>
      <c r="S376" s="198">
        <v>0</v>
      </c>
      <c r="T376" s="198">
        <v>0</v>
      </c>
      <c r="U376" s="198">
        <v>0</v>
      </c>
      <c r="V376" s="198">
        <v>0</v>
      </c>
      <c r="W376" s="198">
        <v>0</v>
      </c>
      <c r="X376" s="198">
        <v>0</v>
      </c>
      <c r="Y376" s="198">
        <v>0</v>
      </c>
      <c r="Z376" s="198">
        <v>0</v>
      </c>
      <c r="AA376" s="198">
        <v>0</v>
      </c>
      <c r="AB376" s="198">
        <v>0</v>
      </c>
      <c r="AC376" s="198">
        <v>0</v>
      </c>
      <c r="AD376" s="198">
        <v>0</v>
      </c>
      <c r="AE376" s="198">
        <v>0</v>
      </c>
      <c r="AF376" s="198">
        <v>0</v>
      </c>
      <c r="AG376" s="198">
        <v>0</v>
      </c>
      <c r="AH376" s="198">
        <v>0</v>
      </c>
      <c r="AI376" s="198">
        <v>0</v>
      </c>
      <c r="AJ376" s="198">
        <v>633</v>
      </c>
      <c r="AK376" s="198">
        <v>0</v>
      </c>
      <c r="AL376" s="198">
        <v>0</v>
      </c>
      <c r="AM376" s="198">
        <v>0</v>
      </c>
      <c r="AN376" s="198">
        <v>0</v>
      </c>
      <c r="AO376" s="198">
        <v>0</v>
      </c>
      <c r="AP376" s="198">
        <v>0</v>
      </c>
      <c r="AQ376" s="198">
        <v>0</v>
      </c>
      <c r="AR376" s="198">
        <v>0</v>
      </c>
      <c r="AS376" s="198">
        <v>0</v>
      </c>
      <c r="AT376" s="198">
        <v>0</v>
      </c>
      <c r="AU376" s="198">
        <v>0</v>
      </c>
      <c r="AV376" s="198">
        <v>0</v>
      </c>
      <c r="AW376" s="198">
        <v>0</v>
      </c>
      <c r="AX376" s="198">
        <v>0</v>
      </c>
      <c r="AY376" s="198">
        <v>0</v>
      </c>
      <c r="AZ376" s="198">
        <v>0</v>
      </c>
      <c r="BA376" s="198">
        <v>0</v>
      </c>
      <c r="BB376" s="198">
        <v>0</v>
      </c>
      <c r="BC376" s="198">
        <v>0</v>
      </c>
      <c r="BD376" s="198">
        <v>0</v>
      </c>
      <c r="BE376" s="198">
        <v>0</v>
      </c>
      <c r="BF376" s="198">
        <v>0</v>
      </c>
      <c r="BG376" s="198">
        <v>0</v>
      </c>
      <c r="BH376" s="198">
        <v>0</v>
      </c>
      <c r="BI376" s="198">
        <v>0</v>
      </c>
      <c r="BJ376" s="198">
        <v>0</v>
      </c>
      <c r="BK376" s="198">
        <v>0</v>
      </c>
      <c r="BL376" s="198">
        <v>0</v>
      </c>
      <c r="BM376" s="198">
        <v>0</v>
      </c>
      <c r="BN376" s="198">
        <v>0</v>
      </c>
      <c r="BO376" s="198">
        <v>0</v>
      </c>
      <c r="BP376" s="198">
        <v>0</v>
      </c>
      <c r="BQ376" s="198">
        <v>0</v>
      </c>
      <c r="BR376" s="198">
        <v>0</v>
      </c>
      <c r="BS376" s="198">
        <v>0</v>
      </c>
      <c r="BT376" s="198">
        <v>0</v>
      </c>
      <c r="BU376" s="198">
        <v>0</v>
      </c>
      <c r="BV376" s="198">
        <v>0</v>
      </c>
      <c r="BW376" s="198">
        <v>0</v>
      </c>
      <c r="BX376" s="198">
        <v>0</v>
      </c>
      <c r="BY376" s="198">
        <v>0</v>
      </c>
      <c r="BZ376" s="198">
        <v>0</v>
      </c>
      <c r="CA376" s="198">
        <v>0</v>
      </c>
      <c r="CB376" s="198">
        <v>0</v>
      </c>
      <c r="CC376" s="198">
        <v>0</v>
      </c>
      <c r="CD376" s="198">
        <v>0</v>
      </c>
      <c r="CE376" s="198">
        <v>0</v>
      </c>
      <c r="CF376" s="198">
        <v>0</v>
      </c>
      <c r="CG376" s="198">
        <v>0</v>
      </c>
      <c r="CH376" s="198">
        <v>0</v>
      </c>
      <c r="CI376" s="198">
        <v>0</v>
      </c>
      <c r="CJ376" s="198">
        <v>0</v>
      </c>
      <c r="CK376" s="88"/>
    </row>
    <row r="377" spans="1:123" x14ac:dyDescent="0.3">
      <c r="A377" s="173"/>
      <c r="B377" s="197" t="s">
        <v>215</v>
      </c>
      <c r="C377" s="198">
        <v>0</v>
      </c>
      <c r="D377" s="198">
        <v>0</v>
      </c>
      <c r="E377" s="198">
        <v>0</v>
      </c>
      <c r="F377" s="198">
        <v>0</v>
      </c>
      <c r="G377" s="198">
        <v>0</v>
      </c>
      <c r="H377" s="198">
        <v>0</v>
      </c>
      <c r="I377" s="198">
        <v>0</v>
      </c>
      <c r="J377" s="198">
        <v>0</v>
      </c>
      <c r="K377" s="198">
        <v>0</v>
      </c>
      <c r="L377" s="198">
        <v>0</v>
      </c>
      <c r="M377" s="198">
        <v>0</v>
      </c>
      <c r="N377" s="198">
        <v>0</v>
      </c>
      <c r="O377" s="198">
        <v>0</v>
      </c>
      <c r="P377" s="198">
        <v>0</v>
      </c>
      <c r="Q377" s="198">
        <v>0</v>
      </c>
      <c r="R377" s="198">
        <v>0</v>
      </c>
      <c r="S377" s="198">
        <v>0</v>
      </c>
      <c r="T377" s="198">
        <v>0</v>
      </c>
      <c r="U377" s="198">
        <v>0</v>
      </c>
      <c r="V377" s="198">
        <v>0</v>
      </c>
      <c r="W377" s="198">
        <v>0</v>
      </c>
      <c r="X377" s="198">
        <v>0</v>
      </c>
      <c r="Y377" s="198">
        <v>0</v>
      </c>
      <c r="Z377" s="198">
        <v>0</v>
      </c>
      <c r="AA377" s="198">
        <v>0</v>
      </c>
      <c r="AB377" s="198">
        <v>0</v>
      </c>
      <c r="AC377" s="198">
        <v>0</v>
      </c>
      <c r="AD377" s="198">
        <v>0</v>
      </c>
      <c r="AE377" s="198">
        <v>0</v>
      </c>
      <c r="AF377" s="198">
        <v>0</v>
      </c>
      <c r="AG377" s="198">
        <v>0</v>
      </c>
      <c r="AH377" s="198">
        <v>0</v>
      </c>
      <c r="AI377" s="198">
        <v>0</v>
      </c>
      <c r="AJ377" s="198">
        <v>0</v>
      </c>
      <c r="AK377" s="198">
        <v>0</v>
      </c>
      <c r="AL377" s="198">
        <v>0</v>
      </c>
      <c r="AM377" s="198">
        <v>0</v>
      </c>
      <c r="AN377" s="198">
        <v>0</v>
      </c>
      <c r="AO377" s="198">
        <v>0</v>
      </c>
      <c r="AP377" s="198">
        <v>0</v>
      </c>
      <c r="AQ377" s="198">
        <v>3507.9</v>
      </c>
      <c r="AR377" s="198">
        <v>0</v>
      </c>
      <c r="AS377" s="198">
        <v>0</v>
      </c>
      <c r="AT377" s="198">
        <v>0</v>
      </c>
      <c r="AU377" s="198">
        <v>0</v>
      </c>
      <c r="AV377" s="198">
        <v>0</v>
      </c>
      <c r="AW377" s="198">
        <v>0</v>
      </c>
      <c r="AX377" s="198">
        <v>0</v>
      </c>
      <c r="AY377" s="198">
        <v>0</v>
      </c>
      <c r="AZ377" s="198">
        <v>0</v>
      </c>
      <c r="BA377" s="198">
        <v>0</v>
      </c>
      <c r="BB377" s="198">
        <v>0</v>
      </c>
      <c r="BC377" s="198">
        <v>0</v>
      </c>
      <c r="BD377" s="198">
        <v>0</v>
      </c>
      <c r="BE377" s="198">
        <v>0</v>
      </c>
      <c r="BF377" s="198">
        <v>0</v>
      </c>
      <c r="BG377" s="198">
        <v>0</v>
      </c>
      <c r="BH377" s="198">
        <v>0</v>
      </c>
      <c r="BI377" s="198">
        <v>0</v>
      </c>
      <c r="BJ377" s="198">
        <v>0</v>
      </c>
      <c r="BK377" s="198">
        <v>0</v>
      </c>
      <c r="BL377" s="198">
        <v>0</v>
      </c>
      <c r="BM377" s="198">
        <v>0</v>
      </c>
      <c r="BN377" s="198">
        <v>0</v>
      </c>
      <c r="BO377" s="198">
        <v>0</v>
      </c>
      <c r="BP377" s="198">
        <v>0</v>
      </c>
      <c r="BQ377" s="198">
        <v>0</v>
      </c>
      <c r="BR377" s="198">
        <v>0</v>
      </c>
      <c r="BS377" s="198">
        <v>0</v>
      </c>
      <c r="BT377" s="198">
        <v>0</v>
      </c>
      <c r="BU377" s="198">
        <v>0</v>
      </c>
      <c r="BV377" s="198">
        <v>0</v>
      </c>
      <c r="BW377" s="198">
        <v>0</v>
      </c>
      <c r="BX377" s="198">
        <v>0</v>
      </c>
      <c r="BY377" s="198">
        <v>0</v>
      </c>
      <c r="BZ377" s="198">
        <v>0</v>
      </c>
      <c r="CA377" s="198">
        <v>0</v>
      </c>
      <c r="CB377" s="198">
        <v>0</v>
      </c>
      <c r="CC377" s="198">
        <v>0</v>
      </c>
      <c r="CD377" s="198">
        <v>0</v>
      </c>
      <c r="CE377" s="198">
        <v>0</v>
      </c>
      <c r="CF377" s="198">
        <v>0</v>
      </c>
      <c r="CG377" s="198">
        <v>0</v>
      </c>
      <c r="CH377" s="198">
        <v>0</v>
      </c>
      <c r="CI377" s="198">
        <v>0</v>
      </c>
      <c r="CJ377" s="198">
        <v>0</v>
      </c>
      <c r="CK377" s="88"/>
    </row>
    <row r="378" spans="1:123" x14ac:dyDescent="0.3">
      <c r="A378" s="173"/>
      <c r="B378" s="197" t="s">
        <v>287</v>
      </c>
      <c r="C378" s="198">
        <v>0</v>
      </c>
      <c r="D378" s="198">
        <v>0</v>
      </c>
      <c r="E378" s="198">
        <v>0</v>
      </c>
      <c r="F378" s="198">
        <v>0</v>
      </c>
      <c r="G378" s="198">
        <v>0</v>
      </c>
      <c r="H378" s="198">
        <v>0</v>
      </c>
      <c r="I378" s="198">
        <v>0</v>
      </c>
      <c r="J378" s="198">
        <v>0</v>
      </c>
      <c r="K378" s="198">
        <v>0</v>
      </c>
      <c r="L378" s="198">
        <v>0</v>
      </c>
      <c r="M378" s="198">
        <v>0</v>
      </c>
      <c r="N378" s="198">
        <v>0</v>
      </c>
      <c r="O378" s="198">
        <v>0</v>
      </c>
      <c r="P378" s="198">
        <v>0</v>
      </c>
      <c r="Q378" s="198">
        <v>0</v>
      </c>
      <c r="R378" s="198">
        <v>0</v>
      </c>
      <c r="S378" s="198">
        <v>0</v>
      </c>
      <c r="T378" s="198">
        <v>0</v>
      </c>
      <c r="U378" s="198">
        <v>0</v>
      </c>
      <c r="V378" s="198">
        <v>0</v>
      </c>
      <c r="W378" s="198">
        <v>0</v>
      </c>
      <c r="X378" s="198">
        <v>0</v>
      </c>
      <c r="Y378" s="198">
        <v>0</v>
      </c>
      <c r="Z378" s="198">
        <v>0</v>
      </c>
      <c r="AA378" s="198">
        <v>0</v>
      </c>
      <c r="AB378" s="198">
        <v>0</v>
      </c>
      <c r="AC378" s="198">
        <v>0</v>
      </c>
      <c r="AD378" s="198">
        <v>0</v>
      </c>
      <c r="AE378" s="198">
        <v>0</v>
      </c>
      <c r="AF378" s="198">
        <v>0</v>
      </c>
      <c r="AG378" s="198">
        <v>0</v>
      </c>
      <c r="AH378" s="198">
        <v>0</v>
      </c>
      <c r="AI378" s="198">
        <v>0</v>
      </c>
      <c r="AJ378" s="198">
        <v>790.5</v>
      </c>
      <c r="AK378" s="198">
        <v>976</v>
      </c>
      <c r="AL378" s="198">
        <v>0</v>
      </c>
      <c r="AM378" s="198">
        <v>0</v>
      </c>
      <c r="AN378" s="198">
        <v>0</v>
      </c>
      <c r="AO378" s="198">
        <v>0</v>
      </c>
      <c r="AP378" s="198">
        <v>0</v>
      </c>
      <c r="AQ378" s="198">
        <v>0</v>
      </c>
      <c r="AR378" s="198">
        <v>0</v>
      </c>
      <c r="AS378" s="198">
        <v>0</v>
      </c>
      <c r="AT378" s="198">
        <v>0</v>
      </c>
      <c r="AU378" s="198">
        <v>0</v>
      </c>
      <c r="AV378" s="198">
        <v>0</v>
      </c>
      <c r="AW378" s="198">
        <v>0</v>
      </c>
      <c r="AX378" s="198">
        <v>0</v>
      </c>
      <c r="AY378" s="198">
        <v>0</v>
      </c>
      <c r="AZ378" s="198">
        <v>0</v>
      </c>
      <c r="BA378" s="198">
        <v>0</v>
      </c>
      <c r="BB378" s="198">
        <v>0</v>
      </c>
      <c r="BC378" s="198">
        <v>0</v>
      </c>
      <c r="BD378" s="198">
        <v>0</v>
      </c>
      <c r="BE378" s="198">
        <v>0</v>
      </c>
      <c r="BF378" s="198">
        <v>0</v>
      </c>
      <c r="BG378" s="198">
        <v>0</v>
      </c>
      <c r="BH378" s="198">
        <v>0</v>
      </c>
      <c r="BI378" s="198">
        <v>0</v>
      </c>
      <c r="BJ378" s="198">
        <v>0</v>
      </c>
      <c r="BK378" s="198">
        <v>0</v>
      </c>
      <c r="BL378" s="198">
        <v>0</v>
      </c>
      <c r="BM378" s="198">
        <v>0</v>
      </c>
      <c r="BN378" s="198">
        <v>0</v>
      </c>
      <c r="BO378" s="198">
        <v>0</v>
      </c>
      <c r="BP378" s="198">
        <v>0</v>
      </c>
      <c r="BQ378" s="198">
        <v>0</v>
      </c>
      <c r="BR378" s="198">
        <v>0</v>
      </c>
      <c r="BS378" s="198">
        <v>0</v>
      </c>
      <c r="BT378" s="198">
        <v>0</v>
      </c>
      <c r="BU378" s="198">
        <v>0</v>
      </c>
      <c r="BV378" s="198">
        <v>0</v>
      </c>
      <c r="BW378" s="198">
        <v>0</v>
      </c>
      <c r="BX378" s="198">
        <v>0</v>
      </c>
      <c r="BY378" s="198">
        <v>0</v>
      </c>
      <c r="BZ378" s="198">
        <v>0</v>
      </c>
      <c r="CA378" s="198">
        <v>0</v>
      </c>
      <c r="CB378" s="198">
        <v>0</v>
      </c>
      <c r="CC378" s="198">
        <v>0</v>
      </c>
      <c r="CD378" s="198">
        <v>0</v>
      </c>
      <c r="CE378" s="198">
        <v>0</v>
      </c>
      <c r="CF378" s="198">
        <v>0</v>
      </c>
      <c r="CG378" s="198">
        <v>0</v>
      </c>
      <c r="CH378" s="198">
        <v>0</v>
      </c>
      <c r="CI378" s="198">
        <v>0</v>
      </c>
      <c r="CJ378" s="198">
        <v>0</v>
      </c>
      <c r="CK378" s="88"/>
    </row>
    <row r="379" spans="1:123" x14ac:dyDescent="0.3">
      <c r="A379" s="173"/>
      <c r="B379" s="197" t="s">
        <v>292</v>
      </c>
      <c r="C379" s="198">
        <v>0</v>
      </c>
      <c r="D379" s="198">
        <v>0</v>
      </c>
      <c r="E379" s="198">
        <v>0</v>
      </c>
      <c r="F379" s="198">
        <v>0</v>
      </c>
      <c r="G379" s="198">
        <v>0</v>
      </c>
      <c r="H379" s="198">
        <v>0</v>
      </c>
      <c r="I379" s="198">
        <v>0</v>
      </c>
      <c r="J379" s="198">
        <v>0</v>
      </c>
      <c r="K379" s="198">
        <v>0</v>
      </c>
      <c r="L379" s="198">
        <v>0</v>
      </c>
      <c r="M379" s="198">
        <v>0</v>
      </c>
      <c r="N379" s="198">
        <v>0</v>
      </c>
      <c r="O379" s="198">
        <v>0</v>
      </c>
      <c r="P379" s="198">
        <v>0</v>
      </c>
      <c r="Q379" s="198">
        <v>0</v>
      </c>
      <c r="R379" s="198">
        <v>0</v>
      </c>
      <c r="S379" s="198">
        <v>0</v>
      </c>
      <c r="T379" s="198">
        <v>0</v>
      </c>
      <c r="U379" s="198">
        <v>0</v>
      </c>
      <c r="V379" s="198">
        <v>0</v>
      </c>
      <c r="W379" s="198">
        <v>0</v>
      </c>
      <c r="X379" s="198">
        <v>0</v>
      </c>
      <c r="Y379" s="198">
        <v>0</v>
      </c>
      <c r="Z379" s="198">
        <v>0</v>
      </c>
      <c r="AA379" s="198">
        <v>0</v>
      </c>
      <c r="AB379" s="198">
        <v>0</v>
      </c>
      <c r="AC379" s="198">
        <v>0</v>
      </c>
      <c r="AD379" s="198">
        <v>0</v>
      </c>
      <c r="AE379" s="198">
        <v>0</v>
      </c>
      <c r="AF379" s="198">
        <v>0</v>
      </c>
      <c r="AG379" s="198">
        <v>0</v>
      </c>
      <c r="AH379" s="198">
        <v>0</v>
      </c>
      <c r="AI379" s="198">
        <v>0</v>
      </c>
      <c r="AJ379" s="198">
        <v>0</v>
      </c>
      <c r="AK379" s="198">
        <v>0</v>
      </c>
      <c r="AL379" s="198">
        <v>0</v>
      </c>
      <c r="AM379" s="198">
        <v>0</v>
      </c>
      <c r="AN379" s="198">
        <v>0</v>
      </c>
      <c r="AO379" s="198">
        <v>0</v>
      </c>
      <c r="AP379" s="198">
        <v>0</v>
      </c>
      <c r="AQ379" s="198">
        <v>0</v>
      </c>
      <c r="AR379" s="198">
        <v>0</v>
      </c>
      <c r="AS379" s="198">
        <v>0</v>
      </c>
      <c r="AT379" s="198">
        <v>0</v>
      </c>
      <c r="AU379" s="198">
        <v>0</v>
      </c>
      <c r="AV379" s="198">
        <v>0</v>
      </c>
      <c r="AW379" s="198">
        <v>1613.6</v>
      </c>
      <c r="AX379" s="198">
        <v>0</v>
      </c>
      <c r="AY379" s="198">
        <v>0</v>
      </c>
      <c r="AZ379" s="198">
        <v>0</v>
      </c>
      <c r="BA379" s="198">
        <v>0</v>
      </c>
      <c r="BB379" s="198">
        <v>0</v>
      </c>
      <c r="BC379" s="198">
        <v>0</v>
      </c>
      <c r="BD379" s="198">
        <v>0</v>
      </c>
      <c r="BE379" s="198">
        <v>0</v>
      </c>
      <c r="BF379" s="198">
        <v>0</v>
      </c>
      <c r="BG379" s="198">
        <v>0</v>
      </c>
      <c r="BH379" s="198">
        <v>0</v>
      </c>
      <c r="BI379" s="198">
        <v>0</v>
      </c>
      <c r="BJ379" s="198">
        <v>0</v>
      </c>
      <c r="BK379" s="198">
        <v>0</v>
      </c>
      <c r="BL379" s="198">
        <v>0</v>
      </c>
      <c r="BM379" s="198">
        <v>0</v>
      </c>
      <c r="BN379" s="198">
        <v>0</v>
      </c>
      <c r="BO379" s="198">
        <v>0</v>
      </c>
      <c r="BP379" s="198">
        <v>0</v>
      </c>
      <c r="BQ379" s="198">
        <v>0</v>
      </c>
      <c r="BR379" s="198">
        <v>0</v>
      </c>
      <c r="BS379" s="198">
        <v>0</v>
      </c>
      <c r="BT379" s="198">
        <v>0</v>
      </c>
      <c r="BU379" s="198">
        <v>0</v>
      </c>
      <c r="BV379" s="198">
        <v>0</v>
      </c>
      <c r="BW379" s="198">
        <v>0</v>
      </c>
      <c r="BX379" s="198">
        <v>0</v>
      </c>
      <c r="BY379" s="198">
        <v>0</v>
      </c>
      <c r="BZ379" s="198">
        <v>0</v>
      </c>
      <c r="CA379" s="198">
        <v>0</v>
      </c>
      <c r="CB379" s="198">
        <v>0</v>
      </c>
      <c r="CC379" s="198">
        <v>0</v>
      </c>
      <c r="CD379" s="198">
        <v>0</v>
      </c>
      <c r="CE379" s="198">
        <v>0</v>
      </c>
      <c r="CF379" s="198">
        <v>0</v>
      </c>
      <c r="CG379" s="198">
        <v>0</v>
      </c>
      <c r="CH379" s="198">
        <v>0</v>
      </c>
      <c r="CI379" s="198">
        <v>0</v>
      </c>
      <c r="CJ379" s="198">
        <v>0</v>
      </c>
      <c r="CK379" s="88"/>
    </row>
    <row r="380" spans="1:123" x14ac:dyDescent="0.3">
      <c r="A380" s="173"/>
      <c r="B380" s="197" t="s">
        <v>306</v>
      </c>
      <c r="C380" s="198">
        <v>0</v>
      </c>
      <c r="D380" s="198">
        <v>0</v>
      </c>
      <c r="E380" s="198">
        <v>0</v>
      </c>
      <c r="F380" s="198">
        <v>0</v>
      </c>
      <c r="G380" s="198">
        <v>0</v>
      </c>
      <c r="H380" s="198">
        <v>0</v>
      </c>
      <c r="I380" s="198">
        <v>0</v>
      </c>
      <c r="J380" s="198">
        <v>0</v>
      </c>
      <c r="K380" s="198">
        <v>0</v>
      </c>
      <c r="L380" s="198">
        <v>0</v>
      </c>
      <c r="M380" s="198">
        <v>0</v>
      </c>
      <c r="N380" s="198">
        <v>0</v>
      </c>
      <c r="O380" s="198">
        <v>0</v>
      </c>
      <c r="P380" s="198">
        <v>0</v>
      </c>
      <c r="Q380" s="198">
        <v>0</v>
      </c>
      <c r="R380" s="198">
        <v>0</v>
      </c>
      <c r="S380" s="198">
        <v>0</v>
      </c>
      <c r="T380" s="198">
        <v>0</v>
      </c>
      <c r="U380" s="198">
        <v>0</v>
      </c>
      <c r="V380" s="198">
        <v>0</v>
      </c>
      <c r="W380" s="198">
        <v>0</v>
      </c>
      <c r="X380" s="198">
        <v>0</v>
      </c>
      <c r="Y380" s="198">
        <v>0</v>
      </c>
      <c r="Z380" s="198">
        <v>0</v>
      </c>
      <c r="AA380" s="198">
        <v>0</v>
      </c>
      <c r="AB380" s="198">
        <v>0</v>
      </c>
      <c r="AC380" s="198">
        <v>0</v>
      </c>
      <c r="AD380" s="198">
        <v>0</v>
      </c>
      <c r="AE380" s="198">
        <v>0</v>
      </c>
      <c r="AF380" s="198">
        <v>0</v>
      </c>
      <c r="AG380" s="198">
        <v>0</v>
      </c>
      <c r="AH380" s="198">
        <v>0</v>
      </c>
      <c r="AI380" s="198">
        <v>0</v>
      </c>
      <c r="AJ380" s="198">
        <v>0</v>
      </c>
      <c r="AK380" s="198">
        <v>0</v>
      </c>
      <c r="AL380" s="198">
        <v>0</v>
      </c>
      <c r="AM380" s="198">
        <v>0</v>
      </c>
      <c r="AN380" s="198">
        <v>0</v>
      </c>
      <c r="AO380" s="198">
        <v>0</v>
      </c>
      <c r="AP380" s="198">
        <v>0</v>
      </c>
      <c r="AQ380" s="198">
        <v>0</v>
      </c>
      <c r="AR380" s="198">
        <v>0</v>
      </c>
      <c r="AS380" s="198">
        <v>0</v>
      </c>
      <c r="AT380" s="198">
        <v>0</v>
      </c>
      <c r="AU380" s="198">
        <v>0</v>
      </c>
      <c r="AV380" s="198">
        <v>0</v>
      </c>
      <c r="AW380" s="198">
        <v>0</v>
      </c>
      <c r="AX380" s="198">
        <v>0</v>
      </c>
      <c r="AY380" s="198">
        <v>0</v>
      </c>
      <c r="AZ380" s="198">
        <v>0</v>
      </c>
      <c r="BA380" s="198">
        <v>1309</v>
      </c>
      <c r="BB380" s="198">
        <v>1707.8</v>
      </c>
      <c r="BC380" s="198">
        <v>0</v>
      </c>
      <c r="BD380" s="198">
        <v>0</v>
      </c>
      <c r="BE380" s="198">
        <v>0</v>
      </c>
      <c r="BF380" s="198">
        <v>0</v>
      </c>
      <c r="BG380" s="198">
        <v>0</v>
      </c>
      <c r="BH380" s="198">
        <v>0</v>
      </c>
      <c r="BI380" s="198">
        <v>0</v>
      </c>
      <c r="BJ380" s="198">
        <v>0</v>
      </c>
      <c r="BK380" s="198">
        <v>0</v>
      </c>
      <c r="BL380" s="198">
        <v>0</v>
      </c>
      <c r="BM380" s="198">
        <v>0</v>
      </c>
      <c r="BN380" s="198">
        <v>0</v>
      </c>
      <c r="BO380" s="198">
        <v>0</v>
      </c>
      <c r="BP380" s="198">
        <v>0</v>
      </c>
      <c r="BQ380" s="198">
        <v>0</v>
      </c>
      <c r="BR380" s="198">
        <v>0</v>
      </c>
      <c r="BS380" s="198">
        <v>0</v>
      </c>
      <c r="BT380" s="198">
        <v>0</v>
      </c>
      <c r="BU380" s="198">
        <v>0</v>
      </c>
      <c r="BV380" s="198">
        <v>0</v>
      </c>
      <c r="BW380" s="198">
        <v>0</v>
      </c>
      <c r="BX380" s="198">
        <v>0</v>
      </c>
      <c r="BY380" s="198">
        <v>0</v>
      </c>
      <c r="BZ380" s="198">
        <v>0</v>
      </c>
      <c r="CA380" s="198">
        <v>0</v>
      </c>
      <c r="CB380" s="198">
        <v>0</v>
      </c>
      <c r="CC380" s="198">
        <v>0</v>
      </c>
      <c r="CD380" s="198">
        <v>0</v>
      </c>
      <c r="CE380" s="198">
        <v>0</v>
      </c>
      <c r="CF380" s="198">
        <v>0</v>
      </c>
      <c r="CG380" s="198">
        <v>0</v>
      </c>
      <c r="CH380" s="198">
        <v>0</v>
      </c>
      <c r="CI380" s="198">
        <v>0</v>
      </c>
      <c r="CJ380" s="198">
        <v>0</v>
      </c>
      <c r="CK380" s="88"/>
    </row>
    <row r="381" spans="1:123" x14ac:dyDescent="0.3">
      <c r="A381" s="173"/>
      <c r="B381" s="197" t="s">
        <v>339</v>
      </c>
      <c r="C381" s="198">
        <v>0</v>
      </c>
      <c r="D381" s="198">
        <v>0</v>
      </c>
      <c r="E381" s="198">
        <v>0</v>
      </c>
      <c r="F381" s="198">
        <v>0</v>
      </c>
      <c r="G381" s="198">
        <v>0</v>
      </c>
      <c r="H381" s="198">
        <v>0</v>
      </c>
      <c r="I381" s="198">
        <v>0</v>
      </c>
      <c r="J381" s="198">
        <v>0</v>
      </c>
      <c r="K381" s="198">
        <v>0</v>
      </c>
      <c r="L381" s="198">
        <v>0</v>
      </c>
      <c r="M381" s="198">
        <v>0</v>
      </c>
      <c r="N381" s="198">
        <v>0</v>
      </c>
      <c r="O381" s="198">
        <v>0</v>
      </c>
      <c r="P381" s="198">
        <v>0</v>
      </c>
      <c r="Q381" s="198">
        <v>0</v>
      </c>
      <c r="R381" s="198">
        <v>0</v>
      </c>
      <c r="S381" s="198">
        <v>0</v>
      </c>
      <c r="T381" s="198">
        <v>0</v>
      </c>
      <c r="U381" s="198">
        <v>0</v>
      </c>
      <c r="V381" s="198">
        <v>0</v>
      </c>
      <c r="W381" s="198">
        <v>0</v>
      </c>
      <c r="X381" s="198">
        <v>0</v>
      </c>
      <c r="Y381" s="198">
        <v>0</v>
      </c>
      <c r="Z381" s="198">
        <v>0</v>
      </c>
      <c r="AA381" s="198">
        <v>0</v>
      </c>
      <c r="AB381" s="198">
        <v>0</v>
      </c>
      <c r="AC381" s="198">
        <v>0</v>
      </c>
      <c r="AD381" s="198">
        <v>0</v>
      </c>
      <c r="AE381" s="198">
        <v>0</v>
      </c>
      <c r="AF381" s="198">
        <v>0</v>
      </c>
      <c r="AG381" s="198">
        <v>0</v>
      </c>
      <c r="AH381" s="198">
        <v>0</v>
      </c>
      <c r="AI381" s="198">
        <v>0</v>
      </c>
      <c r="AJ381" s="198">
        <v>0</v>
      </c>
      <c r="AK381" s="198">
        <v>0</v>
      </c>
      <c r="AL381" s="198">
        <v>0</v>
      </c>
      <c r="AM381" s="198">
        <v>0</v>
      </c>
      <c r="AN381" s="198">
        <v>0</v>
      </c>
      <c r="AO381" s="198">
        <v>0</v>
      </c>
      <c r="AP381" s="198">
        <v>0</v>
      </c>
      <c r="AQ381" s="198">
        <v>0</v>
      </c>
      <c r="AR381" s="198">
        <v>0</v>
      </c>
      <c r="AS381" s="198">
        <v>0</v>
      </c>
      <c r="AT381" s="198">
        <v>0</v>
      </c>
      <c r="AU381" s="198">
        <v>0</v>
      </c>
      <c r="AV381" s="198">
        <v>0</v>
      </c>
      <c r="AW381" s="198">
        <v>0</v>
      </c>
      <c r="AX381" s="198">
        <v>0</v>
      </c>
      <c r="AY381" s="198">
        <v>0</v>
      </c>
      <c r="AZ381" s="198">
        <v>36.9</v>
      </c>
      <c r="BA381" s="198">
        <v>36.9</v>
      </c>
      <c r="BB381" s="198">
        <v>38</v>
      </c>
      <c r="BC381" s="198">
        <v>0</v>
      </c>
      <c r="BD381" s="198">
        <v>0</v>
      </c>
      <c r="BE381" s="198">
        <v>0</v>
      </c>
      <c r="BF381" s="198">
        <v>0</v>
      </c>
      <c r="BG381" s="198">
        <v>0</v>
      </c>
      <c r="BH381" s="198">
        <v>0</v>
      </c>
      <c r="BI381" s="198">
        <v>0</v>
      </c>
      <c r="BJ381" s="198">
        <v>0</v>
      </c>
      <c r="BK381" s="198">
        <v>0</v>
      </c>
      <c r="BL381" s="198">
        <v>0</v>
      </c>
      <c r="BM381" s="198">
        <v>0</v>
      </c>
      <c r="BN381" s="198">
        <v>0</v>
      </c>
      <c r="BO381" s="198">
        <v>0</v>
      </c>
      <c r="BP381" s="198">
        <v>0</v>
      </c>
      <c r="BQ381" s="198">
        <v>0</v>
      </c>
      <c r="BR381" s="198">
        <v>0</v>
      </c>
      <c r="BS381" s="198">
        <v>0</v>
      </c>
      <c r="BT381" s="198">
        <v>0</v>
      </c>
      <c r="BU381" s="198">
        <v>0</v>
      </c>
      <c r="BV381" s="198">
        <v>0</v>
      </c>
      <c r="BW381" s="198">
        <v>0</v>
      </c>
      <c r="BX381" s="198">
        <v>0</v>
      </c>
      <c r="BY381" s="198">
        <v>0</v>
      </c>
      <c r="BZ381" s="198">
        <v>0</v>
      </c>
      <c r="CA381" s="198">
        <v>0</v>
      </c>
      <c r="CB381" s="198">
        <v>0</v>
      </c>
      <c r="CC381" s="198">
        <v>0</v>
      </c>
      <c r="CD381" s="198">
        <v>0</v>
      </c>
      <c r="CE381" s="198">
        <v>0</v>
      </c>
      <c r="CF381" s="198">
        <v>0</v>
      </c>
      <c r="CG381" s="198">
        <v>0</v>
      </c>
      <c r="CH381" s="198">
        <v>0</v>
      </c>
      <c r="CI381" s="198">
        <v>0</v>
      </c>
      <c r="CJ381" s="198">
        <v>0</v>
      </c>
      <c r="CK381" s="88"/>
    </row>
    <row r="382" spans="1:123" x14ac:dyDescent="0.3">
      <c r="A382" s="173"/>
      <c r="B382" s="197" t="s">
        <v>327</v>
      </c>
      <c r="C382" s="198">
        <v>0</v>
      </c>
      <c r="D382" s="198">
        <v>0</v>
      </c>
      <c r="E382" s="198">
        <v>0</v>
      </c>
      <c r="F382" s="198">
        <v>0</v>
      </c>
      <c r="G382" s="198">
        <v>0</v>
      </c>
      <c r="H382" s="198">
        <v>0</v>
      </c>
      <c r="I382" s="198">
        <v>0</v>
      </c>
      <c r="J382" s="198">
        <v>0</v>
      </c>
      <c r="K382" s="198">
        <v>0</v>
      </c>
      <c r="L382" s="198">
        <v>0</v>
      </c>
      <c r="M382" s="198">
        <v>0</v>
      </c>
      <c r="N382" s="198">
        <v>0</v>
      </c>
      <c r="O382" s="198">
        <v>0</v>
      </c>
      <c r="P382" s="198">
        <v>0</v>
      </c>
      <c r="Q382" s="198">
        <v>0</v>
      </c>
      <c r="R382" s="198">
        <v>0</v>
      </c>
      <c r="S382" s="198">
        <v>0</v>
      </c>
      <c r="T382" s="198">
        <v>0</v>
      </c>
      <c r="U382" s="198">
        <v>0</v>
      </c>
      <c r="V382" s="198">
        <v>0</v>
      </c>
      <c r="W382" s="198">
        <v>0</v>
      </c>
      <c r="X382" s="198">
        <v>0</v>
      </c>
      <c r="Y382" s="198">
        <v>0</v>
      </c>
      <c r="Z382" s="198">
        <v>0</v>
      </c>
      <c r="AA382" s="198">
        <v>0</v>
      </c>
      <c r="AB382" s="198">
        <v>0</v>
      </c>
      <c r="AC382" s="198">
        <v>0</v>
      </c>
      <c r="AD382" s="198">
        <v>0</v>
      </c>
      <c r="AE382" s="198">
        <v>0</v>
      </c>
      <c r="AF382" s="198">
        <v>0</v>
      </c>
      <c r="AG382" s="198">
        <v>0</v>
      </c>
      <c r="AH382" s="198">
        <v>0</v>
      </c>
      <c r="AI382" s="198">
        <v>0</v>
      </c>
      <c r="AJ382" s="198">
        <v>0</v>
      </c>
      <c r="AK382" s="198">
        <v>0</v>
      </c>
      <c r="AL382" s="198">
        <v>0</v>
      </c>
      <c r="AM382" s="198">
        <v>0</v>
      </c>
      <c r="AN382" s="198">
        <v>0</v>
      </c>
      <c r="AO382" s="198">
        <v>0</v>
      </c>
      <c r="AP382" s="198">
        <v>0</v>
      </c>
      <c r="AQ382" s="198">
        <v>0</v>
      </c>
      <c r="AR382" s="198">
        <v>0</v>
      </c>
      <c r="AS382" s="198">
        <v>0</v>
      </c>
      <c r="AT382" s="198">
        <v>0</v>
      </c>
      <c r="AU382" s="198">
        <v>0</v>
      </c>
      <c r="AV382" s="198">
        <v>0</v>
      </c>
      <c r="AW382" s="198">
        <v>0</v>
      </c>
      <c r="AX382" s="198">
        <v>0</v>
      </c>
      <c r="AY382" s="198">
        <v>0</v>
      </c>
      <c r="AZ382" s="198">
        <v>0</v>
      </c>
      <c r="BA382" s="198">
        <v>0</v>
      </c>
      <c r="BB382" s="198">
        <v>0</v>
      </c>
      <c r="BC382" s="198">
        <v>0</v>
      </c>
      <c r="BD382" s="198">
        <v>1070.8</v>
      </c>
      <c r="BE382" s="198">
        <v>1105.8</v>
      </c>
      <c r="BF382" s="198">
        <v>0</v>
      </c>
      <c r="BG382" s="198">
        <v>0</v>
      </c>
      <c r="BH382" s="198">
        <v>0</v>
      </c>
      <c r="BI382" s="198">
        <v>0</v>
      </c>
      <c r="BJ382" s="198">
        <v>0</v>
      </c>
      <c r="BK382" s="198">
        <v>0</v>
      </c>
      <c r="BL382" s="198">
        <v>0</v>
      </c>
      <c r="BM382" s="198">
        <v>0</v>
      </c>
      <c r="BN382" s="198">
        <v>0</v>
      </c>
      <c r="BO382" s="198">
        <v>0</v>
      </c>
      <c r="BP382" s="198">
        <v>0</v>
      </c>
      <c r="BQ382" s="198">
        <v>0</v>
      </c>
      <c r="BR382" s="198">
        <v>0</v>
      </c>
      <c r="BS382" s="198">
        <v>0</v>
      </c>
      <c r="BT382" s="198">
        <v>0</v>
      </c>
      <c r="BU382" s="198">
        <v>0</v>
      </c>
      <c r="BV382" s="198">
        <v>0</v>
      </c>
      <c r="BW382" s="198">
        <v>0</v>
      </c>
      <c r="BX382" s="198">
        <v>0</v>
      </c>
      <c r="BY382" s="198">
        <v>0</v>
      </c>
      <c r="BZ382" s="198">
        <v>0</v>
      </c>
      <c r="CA382" s="198">
        <v>0</v>
      </c>
      <c r="CB382" s="198">
        <v>0</v>
      </c>
      <c r="CC382" s="198">
        <v>0</v>
      </c>
      <c r="CD382" s="198">
        <v>0</v>
      </c>
      <c r="CE382" s="198">
        <v>0</v>
      </c>
      <c r="CF382" s="198">
        <v>0</v>
      </c>
      <c r="CG382" s="198">
        <v>0</v>
      </c>
      <c r="CH382" s="198">
        <v>0</v>
      </c>
      <c r="CI382" s="198">
        <v>0</v>
      </c>
      <c r="CJ382" s="198">
        <v>0</v>
      </c>
      <c r="CK382" s="88"/>
    </row>
    <row r="383" spans="1:123" x14ac:dyDescent="0.3">
      <c r="A383" s="173"/>
      <c r="B383" s="197" t="s">
        <v>382</v>
      </c>
      <c r="C383" s="198">
        <v>0</v>
      </c>
      <c r="D383" s="198">
        <v>0</v>
      </c>
      <c r="E383" s="198">
        <v>0</v>
      </c>
      <c r="F383" s="198">
        <v>0</v>
      </c>
      <c r="G383" s="198">
        <v>0</v>
      </c>
      <c r="H383" s="198">
        <v>0</v>
      </c>
      <c r="I383" s="198">
        <v>0</v>
      </c>
      <c r="J383" s="198">
        <v>0</v>
      </c>
      <c r="K383" s="198">
        <v>0</v>
      </c>
      <c r="L383" s="198">
        <v>0</v>
      </c>
      <c r="M383" s="198">
        <v>0</v>
      </c>
      <c r="N383" s="198">
        <v>0</v>
      </c>
      <c r="O383" s="198">
        <v>0</v>
      </c>
      <c r="P383" s="198">
        <v>0</v>
      </c>
      <c r="Q383" s="198">
        <v>0</v>
      </c>
      <c r="R383" s="198">
        <v>0</v>
      </c>
      <c r="S383" s="198">
        <v>0</v>
      </c>
      <c r="T383" s="198">
        <v>0</v>
      </c>
      <c r="U383" s="198">
        <v>0</v>
      </c>
      <c r="V383" s="198">
        <v>0</v>
      </c>
      <c r="W383" s="198">
        <v>0</v>
      </c>
      <c r="X383" s="198">
        <v>0</v>
      </c>
      <c r="Y383" s="198">
        <v>0</v>
      </c>
      <c r="Z383" s="198">
        <v>0</v>
      </c>
      <c r="AA383" s="198">
        <v>0</v>
      </c>
      <c r="AB383" s="198">
        <v>0</v>
      </c>
      <c r="AC383" s="198">
        <v>0</v>
      </c>
      <c r="AD383" s="198">
        <v>0</v>
      </c>
      <c r="AE383" s="198">
        <v>0</v>
      </c>
      <c r="AF383" s="198">
        <v>0</v>
      </c>
      <c r="AG383" s="198">
        <v>0</v>
      </c>
      <c r="AH383" s="198">
        <v>0</v>
      </c>
      <c r="AI383" s="198">
        <v>0</v>
      </c>
      <c r="AJ383" s="198">
        <v>0</v>
      </c>
      <c r="AK383" s="198">
        <v>0</v>
      </c>
      <c r="AL383" s="198">
        <v>0</v>
      </c>
      <c r="AM383" s="198">
        <v>0</v>
      </c>
      <c r="AN383" s="198">
        <v>0</v>
      </c>
      <c r="AO383" s="198">
        <v>0</v>
      </c>
      <c r="AP383" s="198">
        <v>0</v>
      </c>
      <c r="AQ383" s="198">
        <v>0</v>
      </c>
      <c r="AR383" s="198">
        <v>0</v>
      </c>
      <c r="AS383" s="198">
        <v>0</v>
      </c>
      <c r="AT383" s="198">
        <v>0</v>
      </c>
      <c r="AU383" s="198">
        <v>0</v>
      </c>
      <c r="AV383" s="198">
        <v>0</v>
      </c>
      <c r="AW383" s="198">
        <v>0</v>
      </c>
      <c r="AX383" s="198">
        <v>0</v>
      </c>
      <c r="AY383" s="198">
        <v>0</v>
      </c>
      <c r="AZ383" s="198">
        <v>0</v>
      </c>
      <c r="BA383" s="198">
        <v>0</v>
      </c>
      <c r="BB383" s="198">
        <v>0</v>
      </c>
      <c r="BC383" s="198">
        <v>0</v>
      </c>
      <c r="BD383" s="198">
        <v>0</v>
      </c>
      <c r="BE383" s="198">
        <v>0</v>
      </c>
      <c r="BF383" s="198">
        <v>0</v>
      </c>
      <c r="BG383" s="198">
        <v>0</v>
      </c>
      <c r="BH383" s="198">
        <v>0</v>
      </c>
      <c r="BI383" s="198">
        <v>0</v>
      </c>
      <c r="BJ383" s="198">
        <v>0</v>
      </c>
      <c r="BK383" s="198">
        <v>0</v>
      </c>
      <c r="BL383" s="198">
        <v>0</v>
      </c>
      <c r="BM383" s="198">
        <v>0</v>
      </c>
      <c r="BN383" s="198">
        <v>0</v>
      </c>
      <c r="BO383" s="198">
        <v>0</v>
      </c>
      <c r="BP383" s="198">
        <v>0</v>
      </c>
      <c r="BQ383" s="198">
        <v>0</v>
      </c>
      <c r="BR383" s="198">
        <v>0</v>
      </c>
      <c r="BS383" s="198">
        <v>0</v>
      </c>
      <c r="BT383" s="198">
        <v>0</v>
      </c>
      <c r="BU383" s="198">
        <v>0</v>
      </c>
      <c r="BV383" s="198">
        <v>0</v>
      </c>
      <c r="BW383" s="198">
        <v>0</v>
      </c>
      <c r="BX383" s="198">
        <v>0</v>
      </c>
      <c r="BY383" s="198">
        <v>0</v>
      </c>
      <c r="BZ383" s="198">
        <v>0</v>
      </c>
      <c r="CA383" s="198">
        <v>0</v>
      </c>
      <c r="CB383" s="198">
        <v>2092.4</v>
      </c>
      <c r="CC383" s="198">
        <v>0</v>
      </c>
      <c r="CD383" s="198">
        <v>0</v>
      </c>
      <c r="CE383" s="198">
        <v>0</v>
      </c>
      <c r="CF383" s="198">
        <v>0</v>
      </c>
      <c r="CG383" s="198">
        <v>0</v>
      </c>
      <c r="CH383" s="198">
        <v>0</v>
      </c>
      <c r="CI383" s="198">
        <v>0</v>
      </c>
      <c r="CJ383" s="198">
        <v>0</v>
      </c>
      <c r="CK383" s="88"/>
    </row>
    <row r="384" spans="1:123" x14ac:dyDescent="0.3">
      <c r="A384" s="173"/>
      <c r="B384" s="197" t="s">
        <v>391</v>
      </c>
      <c r="C384" s="198">
        <v>0</v>
      </c>
      <c r="D384" s="198">
        <v>0</v>
      </c>
      <c r="E384" s="198">
        <v>0</v>
      </c>
      <c r="F384" s="198">
        <v>0</v>
      </c>
      <c r="G384" s="198">
        <v>0</v>
      </c>
      <c r="H384" s="198">
        <v>0</v>
      </c>
      <c r="I384" s="198">
        <v>0</v>
      </c>
      <c r="J384" s="198">
        <v>0</v>
      </c>
      <c r="K384" s="198">
        <v>0</v>
      </c>
      <c r="L384" s="198">
        <v>0</v>
      </c>
      <c r="M384" s="198">
        <v>0</v>
      </c>
      <c r="N384" s="198">
        <v>0</v>
      </c>
      <c r="O384" s="198">
        <v>0</v>
      </c>
      <c r="P384" s="198">
        <v>0</v>
      </c>
      <c r="Q384" s="198">
        <v>0</v>
      </c>
      <c r="R384" s="198">
        <v>0</v>
      </c>
      <c r="S384" s="198">
        <v>0</v>
      </c>
      <c r="T384" s="198">
        <v>0</v>
      </c>
      <c r="U384" s="198">
        <v>0</v>
      </c>
      <c r="V384" s="198">
        <v>0</v>
      </c>
      <c r="W384" s="198">
        <v>0</v>
      </c>
      <c r="X384" s="198">
        <v>0</v>
      </c>
      <c r="Y384" s="198">
        <v>0</v>
      </c>
      <c r="Z384" s="198">
        <v>0</v>
      </c>
      <c r="AA384" s="198">
        <v>0</v>
      </c>
      <c r="AB384" s="198">
        <v>0</v>
      </c>
      <c r="AC384" s="198">
        <v>0</v>
      </c>
      <c r="AD384" s="198">
        <v>0</v>
      </c>
      <c r="AE384" s="198">
        <v>0</v>
      </c>
      <c r="AF384" s="198">
        <v>0</v>
      </c>
      <c r="AG384" s="198">
        <v>0</v>
      </c>
      <c r="AH384" s="198">
        <v>0</v>
      </c>
      <c r="AI384" s="198">
        <v>0</v>
      </c>
      <c r="AJ384" s="198">
        <v>0</v>
      </c>
      <c r="AK384" s="198">
        <v>0</v>
      </c>
      <c r="AL384" s="198">
        <v>0</v>
      </c>
      <c r="AM384" s="198">
        <v>0</v>
      </c>
      <c r="AN384" s="198">
        <v>0</v>
      </c>
      <c r="AO384" s="198">
        <v>0</v>
      </c>
      <c r="AP384" s="198">
        <v>0</v>
      </c>
      <c r="AQ384" s="198">
        <v>0</v>
      </c>
      <c r="AR384" s="198">
        <v>0</v>
      </c>
      <c r="AS384" s="198">
        <v>0</v>
      </c>
      <c r="AT384" s="198">
        <v>0</v>
      </c>
      <c r="AU384" s="198">
        <v>0</v>
      </c>
      <c r="AV384" s="198">
        <v>0</v>
      </c>
      <c r="AW384" s="198">
        <v>0</v>
      </c>
      <c r="AX384" s="198">
        <v>0</v>
      </c>
      <c r="AY384" s="198">
        <v>0</v>
      </c>
      <c r="AZ384" s="198">
        <v>0</v>
      </c>
      <c r="BA384" s="198">
        <v>0</v>
      </c>
      <c r="BB384" s="198">
        <v>0</v>
      </c>
      <c r="BC384" s="198">
        <v>0</v>
      </c>
      <c r="BD384" s="198">
        <v>0</v>
      </c>
      <c r="BE384" s="198">
        <v>0</v>
      </c>
      <c r="BF384" s="198">
        <v>0</v>
      </c>
      <c r="BG384" s="198">
        <v>0</v>
      </c>
      <c r="BH384" s="198">
        <v>0</v>
      </c>
      <c r="BI384" s="198">
        <v>0</v>
      </c>
      <c r="BJ384" s="198">
        <v>0</v>
      </c>
      <c r="BK384" s="198">
        <v>0</v>
      </c>
      <c r="BL384" s="198">
        <v>0</v>
      </c>
      <c r="BM384" s="198">
        <v>0</v>
      </c>
      <c r="BN384" s="198">
        <v>0</v>
      </c>
      <c r="BO384" s="198">
        <v>0</v>
      </c>
      <c r="BP384" s="198">
        <v>0</v>
      </c>
      <c r="BQ384" s="198">
        <v>0</v>
      </c>
      <c r="BR384" s="198">
        <v>0</v>
      </c>
      <c r="BS384" s="198">
        <v>0</v>
      </c>
      <c r="BT384" s="198">
        <v>0</v>
      </c>
      <c r="BU384" s="198">
        <v>0</v>
      </c>
      <c r="BV384" s="198">
        <v>0</v>
      </c>
      <c r="BW384" s="198">
        <v>0</v>
      </c>
      <c r="BX384" s="198">
        <v>0</v>
      </c>
      <c r="BY384" s="198">
        <v>0</v>
      </c>
      <c r="BZ384" s="198">
        <v>0</v>
      </c>
      <c r="CA384" s="198">
        <v>0</v>
      </c>
      <c r="CB384" s="198">
        <v>0</v>
      </c>
      <c r="CC384" s="198">
        <v>0</v>
      </c>
      <c r="CD384" s="198">
        <v>0</v>
      </c>
      <c r="CE384" s="198">
        <v>0</v>
      </c>
      <c r="CF384" s="198">
        <v>0</v>
      </c>
      <c r="CG384" s="198">
        <v>0</v>
      </c>
      <c r="CH384" s="198">
        <v>2511.3000000000002</v>
      </c>
      <c r="CI384" s="198">
        <v>0</v>
      </c>
      <c r="CJ384" s="198">
        <v>0</v>
      </c>
      <c r="CK384" s="88"/>
    </row>
    <row r="385" spans="1:123" x14ac:dyDescent="0.3">
      <c r="A385" s="173"/>
      <c r="B385" s="197" t="s">
        <v>322</v>
      </c>
      <c r="C385" s="198">
        <v>0</v>
      </c>
      <c r="D385" s="198">
        <v>0</v>
      </c>
      <c r="E385" s="198">
        <v>0</v>
      </c>
      <c r="F385" s="198">
        <v>0</v>
      </c>
      <c r="G385" s="198">
        <v>0</v>
      </c>
      <c r="H385" s="198">
        <v>0</v>
      </c>
      <c r="I385" s="198">
        <v>0</v>
      </c>
      <c r="J385" s="198">
        <v>0</v>
      </c>
      <c r="K385" s="198">
        <v>0</v>
      </c>
      <c r="L385" s="198">
        <v>0</v>
      </c>
      <c r="M385" s="198">
        <v>0</v>
      </c>
      <c r="N385" s="198">
        <v>0</v>
      </c>
      <c r="O385" s="198">
        <v>0</v>
      </c>
      <c r="P385" s="198">
        <v>0</v>
      </c>
      <c r="Q385" s="198">
        <v>0</v>
      </c>
      <c r="R385" s="198">
        <v>0</v>
      </c>
      <c r="S385" s="198">
        <v>0</v>
      </c>
      <c r="T385" s="198">
        <v>0</v>
      </c>
      <c r="U385" s="198">
        <v>0</v>
      </c>
      <c r="V385" s="198">
        <v>0</v>
      </c>
      <c r="W385" s="198">
        <v>0</v>
      </c>
      <c r="X385" s="198">
        <v>0</v>
      </c>
      <c r="Y385" s="198">
        <v>0</v>
      </c>
      <c r="Z385" s="198">
        <v>0</v>
      </c>
      <c r="AA385" s="198">
        <v>0</v>
      </c>
      <c r="AB385" s="198">
        <v>0</v>
      </c>
      <c r="AC385" s="198">
        <v>0</v>
      </c>
      <c r="AD385" s="198">
        <v>0</v>
      </c>
      <c r="AE385" s="198">
        <v>0</v>
      </c>
      <c r="AF385" s="198">
        <v>0</v>
      </c>
      <c r="AG385" s="198">
        <v>0</v>
      </c>
      <c r="AH385" s="198">
        <v>0</v>
      </c>
      <c r="AI385" s="198">
        <v>0</v>
      </c>
      <c r="AJ385" s="198">
        <v>0</v>
      </c>
      <c r="AK385" s="198">
        <v>0</v>
      </c>
      <c r="AL385" s="198">
        <v>0</v>
      </c>
      <c r="AM385" s="198">
        <v>0</v>
      </c>
      <c r="AN385" s="198">
        <v>0</v>
      </c>
      <c r="AO385" s="198">
        <v>0</v>
      </c>
      <c r="AP385" s="198">
        <v>0</v>
      </c>
      <c r="AQ385" s="198">
        <v>0</v>
      </c>
      <c r="AR385" s="198">
        <v>0</v>
      </c>
      <c r="AS385" s="198">
        <v>0</v>
      </c>
      <c r="AT385" s="198">
        <v>0</v>
      </c>
      <c r="AU385" s="198">
        <v>0</v>
      </c>
      <c r="AV385" s="198">
        <v>0</v>
      </c>
      <c r="AW385" s="198">
        <v>0</v>
      </c>
      <c r="AX385" s="198">
        <v>0</v>
      </c>
      <c r="AY385" s="198">
        <v>0</v>
      </c>
      <c r="AZ385" s="198">
        <v>0</v>
      </c>
      <c r="BA385" s="198">
        <v>0</v>
      </c>
      <c r="BB385" s="198">
        <v>0</v>
      </c>
      <c r="BC385" s="198">
        <v>0</v>
      </c>
      <c r="BD385" s="198">
        <v>0</v>
      </c>
      <c r="BE385" s="198">
        <v>0</v>
      </c>
      <c r="BF385" s="198">
        <v>0</v>
      </c>
      <c r="BG385" s="198">
        <v>0</v>
      </c>
      <c r="BH385" s="198">
        <v>0</v>
      </c>
      <c r="BI385" s="198">
        <v>0</v>
      </c>
      <c r="BJ385" s="198">
        <v>0</v>
      </c>
      <c r="BK385" s="198">
        <v>0</v>
      </c>
      <c r="BL385" s="198">
        <v>0</v>
      </c>
      <c r="BM385" s="198">
        <v>1580.9</v>
      </c>
      <c r="BN385" s="198">
        <v>2417.4</v>
      </c>
      <c r="BO385" s="198">
        <v>0</v>
      </c>
      <c r="BP385" s="198">
        <v>0</v>
      </c>
      <c r="BQ385" s="198">
        <v>0</v>
      </c>
      <c r="BR385" s="198">
        <v>0</v>
      </c>
      <c r="BS385" s="198">
        <v>0</v>
      </c>
      <c r="BT385" s="198">
        <v>0</v>
      </c>
      <c r="BU385" s="198">
        <v>0</v>
      </c>
      <c r="BV385" s="198">
        <v>0</v>
      </c>
      <c r="BW385" s="198">
        <v>0</v>
      </c>
      <c r="BX385" s="198">
        <v>0</v>
      </c>
      <c r="BY385" s="198">
        <v>0</v>
      </c>
      <c r="BZ385" s="198">
        <v>0</v>
      </c>
      <c r="CA385" s="198">
        <v>0</v>
      </c>
      <c r="CB385" s="198">
        <v>0</v>
      </c>
      <c r="CC385" s="198">
        <v>0</v>
      </c>
      <c r="CD385" s="198">
        <v>0</v>
      </c>
      <c r="CE385" s="198">
        <v>0</v>
      </c>
      <c r="CF385" s="198">
        <v>0</v>
      </c>
      <c r="CG385" s="198">
        <v>0</v>
      </c>
      <c r="CH385" s="198">
        <v>0</v>
      </c>
      <c r="CI385" s="198">
        <v>0</v>
      </c>
      <c r="CJ385" s="198">
        <v>0</v>
      </c>
      <c r="CK385" s="88"/>
    </row>
    <row r="386" spans="1:123" x14ac:dyDescent="0.3">
      <c r="A386" s="173"/>
      <c r="B386" s="197" t="s">
        <v>374</v>
      </c>
      <c r="C386" s="198">
        <v>0</v>
      </c>
      <c r="D386" s="198">
        <v>0</v>
      </c>
      <c r="E386" s="198">
        <v>0</v>
      </c>
      <c r="F386" s="198">
        <v>0</v>
      </c>
      <c r="G386" s="198">
        <v>0</v>
      </c>
      <c r="H386" s="198">
        <v>0</v>
      </c>
      <c r="I386" s="198">
        <v>0</v>
      </c>
      <c r="J386" s="198">
        <v>0</v>
      </c>
      <c r="K386" s="198">
        <v>0</v>
      </c>
      <c r="L386" s="198">
        <v>0</v>
      </c>
      <c r="M386" s="198">
        <v>0</v>
      </c>
      <c r="N386" s="198">
        <v>0</v>
      </c>
      <c r="O386" s="198">
        <v>0</v>
      </c>
      <c r="P386" s="198">
        <v>0</v>
      </c>
      <c r="Q386" s="198">
        <v>0</v>
      </c>
      <c r="R386" s="198">
        <v>0</v>
      </c>
      <c r="S386" s="198">
        <v>0</v>
      </c>
      <c r="T386" s="198">
        <v>0</v>
      </c>
      <c r="U386" s="198">
        <v>0</v>
      </c>
      <c r="V386" s="198">
        <v>0</v>
      </c>
      <c r="W386" s="198">
        <v>0</v>
      </c>
      <c r="X386" s="198">
        <v>0</v>
      </c>
      <c r="Y386" s="198">
        <v>0</v>
      </c>
      <c r="Z386" s="198">
        <v>0</v>
      </c>
      <c r="AA386" s="198">
        <v>0</v>
      </c>
      <c r="AB386" s="198">
        <v>0</v>
      </c>
      <c r="AC386" s="198">
        <v>0</v>
      </c>
      <c r="AD386" s="198">
        <v>0</v>
      </c>
      <c r="AE386" s="198">
        <v>0</v>
      </c>
      <c r="AF386" s="198">
        <v>0</v>
      </c>
      <c r="AG386" s="198">
        <v>0</v>
      </c>
      <c r="AH386" s="198">
        <v>0</v>
      </c>
      <c r="AI386" s="198">
        <v>0</v>
      </c>
      <c r="AJ386" s="198">
        <v>0</v>
      </c>
      <c r="AK386" s="198">
        <v>0</v>
      </c>
      <c r="AL386" s="198">
        <v>0</v>
      </c>
      <c r="AM386" s="198">
        <v>0</v>
      </c>
      <c r="AN386" s="198">
        <v>0</v>
      </c>
      <c r="AO386" s="198">
        <v>0</v>
      </c>
      <c r="AP386" s="198">
        <v>0</v>
      </c>
      <c r="AQ386" s="198">
        <v>0</v>
      </c>
      <c r="AR386" s="198">
        <v>0</v>
      </c>
      <c r="AS386" s="198">
        <v>0</v>
      </c>
      <c r="AT386" s="198">
        <v>0</v>
      </c>
      <c r="AU386" s="198">
        <v>0</v>
      </c>
      <c r="AV386" s="198">
        <v>0</v>
      </c>
      <c r="AW386" s="198">
        <v>0</v>
      </c>
      <c r="AX386" s="198">
        <v>0</v>
      </c>
      <c r="AY386" s="198">
        <v>0</v>
      </c>
      <c r="AZ386" s="198">
        <v>0</v>
      </c>
      <c r="BA386" s="198">
        <v>0</v>
      </c>
      <c r="BB386" s="198">
        <v>0</v>
      </c>
      <c r="BC386" s="198">
        <v>0</v>
      </c>
      <c r="BD386" s="198">
        <v>0</v>
      </c>
      <c r="BE386" s="198">
        <v>0</v>
      </c>
      <c r="BF386" s="198">
        <v>0</v>
      </c>
      <c r="BG386" s="198">
        <v>0</v>
      </c>
      <c r="BH386" s="198">
        <v>0</v>
      </c>
      <c r="BI386" s="198">
        <v>0</v>
      </c>
      <c r="BJ386" s="198">
        <v>0</v>
      </c>
      <c r="BK386" s="198">
        <v>0</v>
      </c>
      <c r="BL386" s="198">
        <v>0</v>
      </c>
      <c r="BM386" s="198">
        <v>0</v>
      </c>
      <c r="BN386" s="198">
        <v>0</v>
      </c>
      <c r="BO386" s="198">
        <v>0</v>
      </c>
      <c r="BP386" s="198">
        <v>0</v>
      </c>
      <c r="BQ386" s="198">
        <v>0</v>
      </c>
      <c r="BR386" s="198">
        <v>0</v>
      </c>
      <c r="BS386" s="198">
        <v>0</v>
      </c>
      <c r="BT386" s="198">
        <v>0</v>
      </c>
      <c r="BU386" s="198">
        <v>0</v>
      </c>
      <c r="BV386" s="198">
        <v>0</v>
      </c>
      <c r="BW386" s="198">
        <v>0</v>
      </c>
      <c r="BX386" s="198">
        <v>0</v>
      </c>
      <c r="BY386" s="198">
        <v>328.8</v>
      </c>
      <c r="BZ386" s="198">
        <v>0</v>
      </c>
      <c r="CA386" s="198">
        <v>0</v>
      </c>
      <c r="CB386" s="198">
        <v>0</v>
      </c>
      <c r="CC386" s="198">
        <v>0</v>
      </c>
      <c r="CD386" s="198">
        <v>0</v>
      </c>
      <c r="CE386" s="198">
        <v>0</v>
      </c>
      <c r="CF386" s="198">
        <v>0</v>
      </c>
      <c r="CG386" s="198">
        <v>0</v>
      </c>
      <c r="CH386" s="198">
        <v>0</v>
      </c>
      <c r="CI386" s="198">
        <v>0</v>
      </c>
      <c r="CJ386" s="198">
        <v>0</v>
      </c>
      <c r="CK386" s="88"/>
    </row>
    <row r="387" spans="1:123" x14ac:dyDescent="0.3">
      <c r="A387" s="173"/>
      <c r="B387" s="197" t="s">
        <v>366</v>
      </c>
      <c r="C387" s="198">
        <v>0</v>
      </c>
      <c r="D387" s="198">
        <v>0</v>
      </c>
      <c r="E387" s="198">
        <v>0</v>
      </c>
      <c r="F387" s="198">
        <v>0</v>
      </c>
      <c r="G387" s="198">
        <v>0</v>
      </c>
      <c r="H387" s="198">
        <v>0</v>
      </c>
      <c r="I387" s="198">
        <v>0</v>
      </c>
      <c r="J387" s="198">
        <v>0</v>
      </c>
      <c r="K387" s="198">
        <v>0</v>
      </c>
      <c r="L387" s="198">
        <v>0</v>
      </c>
      <c r="M387" s="198">
        <v>0</v>
      </c>
      <c r="N387" s="198">
        <v>0</v>
      </c>
      <c r="O387" s="198">
        <v>0</v>
      </c>
      <c r="P387" s="198">
        <v>0</v>
      </c>
      <c r="Q387" s="198">
        <v>0</v>
      </c>
      <c r="R387" s="198">
        <v>0</v>
      </c>
      <c r="S387" s="198">
        <v>0</v>
      </c>
      <c r="T387" s="198">
        <v>0</v>
      </c>
      <c r="U387" s="198">
        <v>0</v>
      </c>
      <c r="V387" s="198">
        <v>0</v>
      </c>
      <c r="W387" s="198">
        <v>0</v>
      </c>
      <c r="X387" s="198">
        <v>0</v>
      </c>
      <c r="Y387" s="198">
        <v>0</v>
      </c>
      <c r="Z387" s="198">
        <v>0</v>
      </c>
      <c r="AA387" s="198">
        <v>0</v>
      </c>
      <c r="AB387" s="198">
        <v>0</v>
      </c>
      <c r="AC387" s="198">
        <v>0</v>
      </c>
      <c r="AD387" s="198">
        <v>0</v>
      </c>
      <c r="AE387" s="198">
        <v>0</v>
      </c>
      <c r="AF387" s="198">
        <v>0</v>
      </c>
      <c r="AG387" s="198">
        <v>0</v>
      </c>
      <c r="AH387" s="198">
        <v>0</v>
      </c>
      <c r="AI387" s="198">
        <v>0</v>
      </c>
      <c r="AJ387" s="198">
        <v>0</v>
      </c>
      <c r="AK387" s="198">
        <v>0</v>
      </c>
      <c r="AL387" s="198">
        <v>0</v>
      </c>
      <c r="AM387" s="198">
        <v>0</v>
      </c>
      <c r="AN387" s="198">
        <v>0</v>
      </c>
      <c r="AO387" s="198">
        <v>0</v>
      </c>
      <c r="AP387" s="198">
        <v>0</v>
      </c>
      <c r="AQ387" s="198">
        <v>0</v>
      </c>
      <c r="AR387" s="198">
        <v>0</v>
      </c>
      <c r="AS387" s="198">
        <v>0</v>
      </c>
      <c r="AT387" s="198">
        <v>0</v>
      </c>
      <c r="AU387" s="198">
        <v>0</v>
      </c>
      <c r="AV387" s="198">
        <v>0</v>
      </c>
      <c r="AW387" s="198">
        <v>0</v>
      </c>
      <c r="AX387" s="198">
        <v>0</v>
      </c>
      <c r="AY387" s="198">
        <v>0</v>
      </c>
      <c r="AZ387" s="198">
        <v>0</v>
      </c>
      <c r="BA387" s="198">
        <v>0</v>
      </c>
      <c r="BB387" s="198">
        <v>0</v>
      </c>
      <c r="BC387" s="198">
        <v>0</v>
      </c>
      <c r="BD387" s="198">
        <v>0</v>
      </c>
      <c r="BE387" s="198">
        <v>0</v>
      </c>
      <c r="BF387" s="198">
        <v>0</v>
      </c>
      <c r="BG387" s="198">
        <v>0</v>
      </c>
      <c r="BH387" s="198">
        <v>0</v>
      </c>
      <c r="BI387" s="198">
        <v>0</v>
      </c>
      <c r="BJ387" s="198">
        <v>0</v>
      </c>
      <c r="BK387" s="198">
        <v>0</v>
      </c>
      <c r="BL387" s="198">
        <v>0</v>
      </c>
      <c r="BM387" s="198">
        <v>1760</v>
      </c>
      <c r="BN387" s="198">
        <v>0</v>
      </c>
      <c r="BO387" s="198">
        <v>0</v>
      </c>
      <c r="BP387" s="198">
        <v>0</v>
      </c>
      <c r="BQ387" s="198">
        <v>0</v>
      </c>
      <c r="BR387" s="198">
        <v>0</v>
      </c>
      <c r="BS387" s="198">
        <v>315</v>
      </c>
      <c r="BT387" s="198">
        <v>0</v>
      </c>
      <c r="BU387" s="198">
        <v>0</v>
      </c>
      <c r="BV387" s="198">
        <v>0</v>
      </c>
      <c r="BW387" s="198">
        <v>0</v>
      </c>
      <c r="BX387" s="198">
        <v>0</v>
      </c>
      <c r="BY387" s="198">
        <v>0</v>
      </c>
      <c r="BZ387" s="198">
        <v>0</v>
      </c>
      <c r="CA387" s="198">
        <v>0</v>
      </c>
      <c r="CB387" s="198">
        <v>0</v>
      </c>
      <c r="CC387" s="198">
        <v>0</v>
      </c>
      <c r="CD387" s="198">
        <v>0</v>
      </c>
      <c r="CE387" s="198">
        <v>0</v>
      </c>
      <c r="CF387" s="198">
        <v>0</v>
      </c>
      <c r="CG387" s="198">
        <v>0</v>
      </c>
      <c r="CH387" s="198">
        <v>0</v>
      </c>
      <c r="CI387" s="198">
        <v>0</v>
      </c>
      <c r="CJ387" s="198">
        <v>0</v>
      </c>
      <c r="CK387" s="88"/>
    </row>
    <row r="388" spans="1:123" x14ac:dyDescent="0.3">
      <c r="A388" s="173"/>
      <c r="B388" s="197" t="s">
        <v>286</v>
      </c>
      <c r="C388" s="198">
        <v>0</v>
      </c>
      <c r="D388" s="198">
        <v>0</v>
      </c>
      <c r="E388" s="198">
        <v>0</v>
      </c>
      <c r="F388" s="198">
        <v>0</v>
      </c>
      <c r="G388" s="198">
        <v>0</v>
      </c>
      <c r="H388" s="198">
        <v>0</v>
      </c>
      <c r="I388" s="198">
        <v>0</v>
      </c>
      <c r="J388" s="198">
        <v>0</v>
      </c>
      <c r="K388" s="198">
        <v>0</v>
      </c>
      <c r="L388" s="198">
        <v>0</v>
      </c>
      <c r="M388" s="198">
        <v>0</v>
      </c>
      <c r="N388" s="198">
        <v>0</v>
      </c>
      <c r="O388" s="198">
        <v>0</v>
      </c>
      <c r="P388" s="198">
        <v>0</v>
      </c>
      <c r="Q388" s="198">
        <v>0</v>
      </c>
      <c r="R388" s="198">
        <v>0</v>
      </c>
      <c r="S388" s="198">
        <v>0</v>
      </c>
      <c r="T388" s="198">
        <v>0</v>
      </c>
      <c r="U388" s="198">
        <v>0</v>
      </c>
      <c r="V388" s="198">
        <v>0</v>
      </c>
      <c r="W388" s="198">
        <v>0</v>
      </c>
      <c r="X388" s="198">
        <v>0</v>
      </c>
      <c r="Y388" s="198">
        <v>0</v>
      </c>
      <c r="Z388" s="198">
        <v>0</v>
      </c>
      <c r="AA388" s="198">
        <v>0</v>
      </c>
      <c r="AB388" s="198">
        <v>0</v>
      </c>
      <c r="AC388" s="198">
        <v>0</v>
      </c>
      <c r="AD388" s="198">
        <v>0</v>
      </c>
      <c r="AE388" s="198">
        <v>0</v>
      </c>
      <c r="AF388" s="198">
        <v>0</v>
      </c>
      <c r="AG388" s="198">
        <v>0</v>
      </c>
      <c r="AH388" s="198">
        <v>0</v>
      </c>
      <c r="AI388" s="198">
        <v>0</v>
      </c>
      <c r="AJ388" s="198">
        <v>0</v>
      </c>
      <c r="AK388" s="198">
        <v>0</v>
      </c>
      <c r="AL388" s="198">
        <v>0</v>
      </c>
      <c r="AM388" s="198">
        <v>0</v>
      </c>
      <c r="AN388" s="198">
        <v>0</v>
      </c>
      <c r="AO388" s="198">
        <v>0</v>
      </c>
      <c r="AP388" s="198">
        <v>1952.4</v>
      </c>
      <c r="AQ388" s="198">
        <v>0</v>
      </c>
      <c r="AR388" s="198">
        <v>0</v>
      </c>
      <c r="AS388" s="198">
        <v>0</v>
      </c>
      <c r="AT388" s="198">
        <v>0</v>
      </c>
      <c r="AU388" s="198">
        <v>0</v>
      </c>
      <c r="AV388" s="198">
        <v>0</v>
      </c>
      <c r="AW388" s="198">
        <v>0</v>
      </c>
      <c r="AX388" s="198">
        <v>0</v>
      </c>
      <c r="AY388" s="198">
        <v>0</v>
      </c>
      <c r="AZ388" s="198">
        <v>0</v>
      </c>
      <c r="BA388" s="198">
        <v>0</v>
      </c>
      <c r="BB388" s="198">
        <v>0</v>
      </c>
      <c r="BC388" s="198">
        <v>0</v>
      </c>
      <c r="BD388" s="198">
        <v>0</v>
      </c>
      <c r="BE388" s="198">
        <v>0</v>
      </c>
      <c r="BF388" s="198">
        <v>0</v>
      </c>
      <c r="BG388" s="198">
        <v>0</v>
      </c>
      <c r="BH388" s="198">
        <v>0</v>
      </c>
      <c r="BI388" s="198">
        <v>0</v>
      </c>
      <c r="BJ388" s="198">
        <v>0</v>
      </c>
      <c r="BK388" s="198">
        <v>0</v>
      </c>
      <c r="BL388" s="198">
        <v>0</v>
      </c>
      <c r="BM388" s="198">
        <v>0</v>
      </c>
      <c r="BN388" s="198">
        <v>0</v>
      </c>
      <c r="BO388" s="198">
        <v>0</v>
      </c>
      <c r="BP388" s="198">
        <v>0</v>
      </c>
      <c r="BQ388" s="198">
        <v>0</v>
      </c>
      <c r="BR388" s="198">
        <v>0</v>
      </c>
      <c r="BS388" s="198">
        <v>0</v>
      </c>
      <c r="BT388" s="198">
        <v>0</v>
      </c>
      <c r="BU388" s="198">
        <v>0</v>
      </c>
      <c r="BV388" s="198">
        <v>0</v>
      </c>
      <c r="BW388" s="198">
        <v>0</v>
      </c>
      <c r="BX388" s="198">
        <v>0</v>
      </c>
      <c r="BY388" s="198">
        <v>0</v>
      </c>
      <c r="BZ388" s="198">
        <v>0</v>
      </c>
      <c r="CA388" s="198">
        <v>0</v>
      </c>
      <c r="CB388" s="198">
        <v>0</v>
      </c>
      <c r="CC388" s="198">
        <v>0</v>
      </c>
      <c r="CD388" s="198">
        <v>0</v>
      </c>
      <c r="CE388" s="198">
        <v>0</v>
      </c>
      <c r="CF388" s="198">
        <v>0</v>
      </c>
      <c r="CG388" s="198">
        <v>0</v>
      </c>
      <c r="CH388" s="198">
        <v>0</v>
      </c>
      <c r="CI388" s="198">
        <v>0</v>
      </c>
      <c r="CJ388" s="198">
        <v>0</v>
      </c>
      <c r="CK388" s="88"/>
    </row>
    <row r="389" spans="1:123" x14ac:dyDescent="0.3">
      <c r="A389" s="173"/>
      <c r="B389" s="197" t="s">
        <v>152</v>
      </c>
      <c r="C389" s="198">
        <v>0</v>
      </c>
      <c r="D389" s="198">
        <v>0</v>
      </c>
      <c r="E389" s="198">
        <v>0</v>
      </c>
      <c r="F389" s="198">
        <v>0</v>
      </c>
      <c r="G389" s="198">
        <v>0</v>
      </c>
      <c r="H389" s="198">
        <v>0</v>
      </c>
      <c r="I389" s="198">
        <v>0</v>
      </c>
      <c r="J389" s="198">
        <v>0</v>
      </c>
      <c r="K389" s="198">
        <v>0</v>
      </c>
      <c r="L389" s="198">
        <v>0</v>
      </c>
      <c r="M389" s="198">
        <v>0</v>
      </c>
      <c r="N389" s="198">
        <v>0</v>
      </c>
      <c r="O389" s="198">
        <v>0</v>
      </c>
      <c r="P389" s="198">
        <v>0</v>
      </c>
      <c r="Q389" s="198">
        <v>383.5</v>
      </c>
      <c r="R389" s="198">
        <v>0</v>
      </c>
      <c r="S389" s="198">
        <v>0</v>
      </c>
      <c r="T389" s="198">
        <v>1729.4</v>
      </c>
      <c r="U389" s="198">
        <v>0</v>
      </c>
      <c r="V389" s="198">
        <v>0</v>
      </c>
      <c r="W389" s="198">
        <v>0</v>
      </c>
      <c r="X389" s="198">
        <v>0</v>
      </c>
      <c r="Y389" s="198">
        <v>0</v>
      </c>
      <c r="Z389" s="198">
        <v>0</v>
      </c>
      <c r="AA389" s="198">
        <v>0</v>
      </c>
      <c r="AB389" s="198">
        <v>0</v>
      </c>
      <c r="AC389" s="198">
        <v>0</v>
      </c>
      <c r="AD389" s="198">
        <v>0</v>
      </c>
      <c r="AE389" s="198">
        <v>0</v>
      </c>
      <c r="AF389" s="198">
        <v>0</v>
      </c>
      <c r="AG389" s="198">
        <v>0</v>
      </c>
      <c r="AH389" s="198">
        <v>0</v>
      </c>
      <c r="AI389" s="198">
        <v>0</v>
      </c>
      <c r="AJ389" s="198">
        <v>0</v>
      </c>
      <c r="AK389" s="198">
        <v>0</v>
      </c>
      <c r="AL389" s="198">
        <v>0</v>
      </c>
      <c r="AM389" s="198">
        <v>0</v>
      </c>
      <c r="AN389" s="198">
        <v>0</v>
      </c>
      <c r="AO389" s="198">
        <v>0</v>
      </c>
      <c r="AP389" s="198">
        <v>0</v>
      </c>
      <c r="AQ389" s="198">
        <v>0</v>
      </c>
      <c r="AR389" s="198">
        <v>0</v>
      </c>
      <c r="AS389" s="198">
        <v>0</v>
      </c>
      <c r="AT389" s="198">
        <v>0</v>
      </c>
      <c r="AU389" s="198">
        <v>0</v>
      </c>
      <c r="AV389" s="198">
        <v>0</v>
      </c>
      <c r="AW389" s="198">
        <v>0</v>
      </c>
      <c r="AX389" s="198">
        <v>0</v>
      </c>
      <c r="AY389" s="198">
        <v>0</v>
      </c>
      <c r="AZ389" s="198">
        <v>0</v>
      </c>
      <c r="BA389" s="198">
        <v>0</v>
      </c>
      <c r="BB389" s="198">
        <v>0</v>
      </c>
      <c r="BC389" s="198">
        <v>0</v>
      </c>
      <c r="BD389" s="198">
        <v>0</v>
      </c>
      <c r="BE389" s="198">
        <v>0</v>
      </c>
      <c r="BF389" s="198">
        <v>0</v>
      </c>
      <c r="BG389" s="198">
        <v>0</v>
      </c>
      <c r="BH389" s="198">
        <v>0</v>
      </c>
      <c r="BI389" s="198">
        <v>0</v>
      </c>
      <c r="BJ389" s="198">
        <v>0</v>
      </c>
      <c r="BK389" s="198">
        <v>0</v>
      </c>
      <c r="BL389" s="198">
        <v>0</v>
      </c>
      <c r="BM389" s="198">
        <v>0</v>
      </c>
      <c r="BN389" s="198">
        <v>0</v>
      </c>
      <c r="BO389" s="198">
        <v>0</v>
      </c>
      <c r="BP389" s="198">
        <v>0</v>
      </c>
      <c r="BQ389" s="198">
        <v>0</v>
      </c>
      <c r="BR389" s="198">
        <v>0</v>
      </c>
      <c r="BS389" s="198">
        <v>0</v>
      </c>
      <c r="BT389" s="198">
        <v>0</v>
      </c>
      <c r="BU389" s="198">
        <v>0</v>
      </c>
      <c r="BV389" s="198">
        <v>0</v>
      </c>
      <c r="BW389" s="198">
        <v>0</v>
      </c>
      <c r="BX389" s="198">
        <v>0</v>
      </c>
      <c r="BY389" s="198">
        <v>0</v>
      </c>
      <c r="BZ389" s="198">
        <v>0</v>
      </c>
      <c r="CA389" s="198">
        <v>0</v>
      </c>
      <c r="CB389" s="198">
        <v>0</v>
      </c>
      <c r="CC389" s="198">
        <v>0</v>
      </c>
      <c r="CD389" s="198">
        <v>0</v>
      </c>
      <c r="CE389" s="198">
        <v>0</v>
      </c>
      <c r="CF389" s="198">
        <v>0</v>
      </c>
      <c r="CG389" s="198">
        <v>0</v>
      </c>
      <c r="CH389" s="198">
        <v>0</v>
      </c>
      <c r="CI389" s="198">
        <v>0</v>
      </c>
      <c r="CJ389" s="198">
        <v>0</v>
      </c>
      <c r="CK389" s="88"/>
    </row>
    <row r="390" spans="1:123" s="417" customFormat="1" x14ac:dyDescent="0.3">
      <c r="A390" s="416"/>
      <c r="B390" s="197" t="s">
        <v>398</v>
      </c>
      <c r="C390" s="202">
        <v>0</v>
      </c>
      <c r="D390" s="202">
        <v>0</v>
      </c>
      <c r="E390" s="202">
        <v>0</v>
      </c>
      <c r="F390" s="202">
        <v>0</v>
      </c>
      <c r="G390" s="202">
        <v>0</v>
      </c>
      <c r="H390" s="202">
        <v>0</v>
      </c>
      <c r="I390" s="202">
        <v>0</v>
      </c>
      <c r="J390" s="202">
        <v>0</v>
      </c>
      <c r="K390" s="202">
        <v>0</v>
      </c>
      <c r="L390" s="202">
        <v>0</v>
      </c>
      <c r="M390" s="202">
        <v>0</v>
      </c>
      <c r="N390" s="202">
        <v>0</v>
      </c>
      <c r="O390" s="202">
        <v>0</v>
      </c>
      <c r="P390" s="202">
        <v>0</v>
      </c>
      <c r="Q390" s="202">
        <v>0</v>
      </c>
      <c r="R390" s="202">
        <v>0</v>
      </c>
      <c r="S390" s="202">
        <v>0</v>
      </c>
      <c r="T390" s="202">
        <v>0</v>
      </c>
      <c r="U390" s="202">
        <v>0</v>
      </c>
      <c r="V390" s="202">
        <v>0</v>
      </c>
      <c r="W390" s="202">
        <v>0</v>
      </c>
      <c r="X390" s="202">
        <v>0</v>
      </c>
      <c r="Y390" s="202">
        <v>0</v>
      </c>
      <c r="Z390" s="202">
        <v>0</v>
      </c>
      <c r="AA390" s="202">
        <v>0</v>
      </c>
      <c r="AB390" s="202">
        <v>0</v>
      </c>
      <c r="AC390" s="202">
        <v>0</v>
      </c>
      <c r="AD390" s="202">
        <v>0</v>
      </c>
      <c r="AE390" s="202">
        <v>0</v>
      </c>
      <c r="AF390" s="202">
        <v>0</v>
      </c>
      <c r="AG390" s="202">
        <v>0</v>
      </c>
      <c r="AH390" s="202">
        <v>0</v>
      </c>
      <c r="AI390" s="202">
        <v>0</v>
      </c>
      <c r="AJ390" s="202">
        <v>0</v>
      </c>
      <c r="AK390" s="202">
        <v>0</v>
      </c>
      <c r="AL390" s="202">
        <v>0</v>
      </c>
      <c r="AM390" s="202">
        <v>0</v>
      </c>
      <c r="AN390" s="202">
        <v>0</v>
      </c>
      <c r="AO390" s="202">
        <v>0</v>
      </c>
      <c r="AP390" s="202">
        <v>0</v>
      </c>
      <c r="AQ390" s="202">
        <v>0</v>
      </c>
      <c r="AR390" s="202">
        <v>0</v>
      </c>
      <c r="AS390" s="202">
        <v>0</v>
      </c>
      <c r="AT390" s="202">
        <v>0</v>
      </c>
      <c r="AU390" s="202">
        <v>0</v>
      </c>
      <c r="AV390" s="202">
        <v>0</v>
      </c>
      <c r="AW390" s="202">
        <v>0</v>
      </c>
      <c r="AX390" s="202">
        <v>0</v>
      </c>
      <c r="AY390" s="202">
        <v>0</v>
      </c>
      <c r="AZ390" s="202">
        <v>0</v>
      </c>
      <c r="BA390" s="202">
        <v>0</v>
      </c>
      <c r="BB390" s="202">
        <v>0</v>
      </c>
      <c r="BC390" s="202">
        <v>0</v>
      </c>
      <c r="BD390" s="202">
        <v>0</v>
      </c>
      <c r="BE390" s="202">
        <v>0</v>
      </c>
      <c r="BF390" s="202">
        <v>0</v>
      </c>
      <c r="BG390" s="202">
        <v>0</v>
      </c>
      <c r="BH390" s="202">
        <v>0</v>
      </c>
      <c r="BI390" s="202">
        <v>0</v>
      </c>
      <c r="BJ390" s="202">
        <v>0</v>
      </c>
      <c r="BK390" s="202">
        <v>0</v>
      </c>
      <c r="BL390" s="202">
        <v>0</v>
      </c>
      <c r="BM390" s="202">
        <v>0</v>
      </c>
      <c r="BN390" s="202">
        <v>0</v>
      </c>
      <c r="BO390" s="202">
        <v>0</v>
      </c>
      <c r="BP390" s="202">
        <v>0</v>
      </c>
      <c r="BQ390" s="202">
        <v>0</v>
      </c>
      <c r="BR390" s="202">
        <v>0</v>
      </c>
      <c r="BS390" s="202">
        <v>0</v>
      </c>
      <c r="BT390" s="202">
        <v>0</v>
      </c>
      <c r="BU390" s="202">
        <v>0</v>
      </c>
      <c r="BV390" s="202">
        <v>0</v>
      </c>
      <c r="BW390" s="202">
        <v>983</v>
      </c>
      <c r="BX390" s="202">
        <v>0</v>
      </c>
      <c r="BY390" s="202">
        <v>0</v>
      </c>
      <c r="BZ390" s="202">
        <v>0</v>
      </c>
      <c r="CA390" s="202">
        <v>0</v>
      </c>
      <c r="CB390" s="202">
        <v>0</v>
      </c>
      <c r="CC390" s="202">
        <v>0</v>
      </c>
      <c r="CD390" s="202">
        <v>0</v>
      </c>
      <c r="CE390" s="202">
        <v>0</v>
      </c>
      <c r="CF390" s="202">
        <v>10267.1</v>
      </c>
      <c r="CG390" s="202">
        <v>0</v>
      </c>
      <c r="CH390" s="202">
        <v>0</v>
      </c>
      <c r="CI390" s="202">
        <v>0</v>
      </c>
      <c r="CJ390" s="202">
        <v>0</v>
      </c>
      <c r="CK390" s="88"/>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row>
    <row r="391" spans="1:123" x14ac:dyDescent="0.3">
      <c r="A391" s="173"/>
      <c r="B391" s="197" t="s">
        <v>23</v>
      </c>
      <c r="C391" s="198">
        <v>0</v>
      </c>
      <c r="D391" s="198">
        <v>0</v>
      </c>
      <c r="E391" s="198">
        <v>0</v>
      </c>
      <c r="F391" s="198">
        <v>0</v>
      </c>
      <c r="G391" s="198">
        <v>0</v>
      </c>
      <c r="H391" s="198">
        <v>0</v>
      </c>
      <c r="I391" s="198">
        <v>0</v>
      </c>
      <c r="J391" s="198">
        <v>0</v>
      </c>
      <c r="K391" s="198">
        <v>0</v>
      </c>
      <c r="L391" s="198">
        <v>0</v>
      </c>
      <c r="M391" s="198">
        <v>0</v>
      </c>
      <c r="N391" s="198">
        <v>0</v>
      </c>
      <c r="O391" s="198">
        <v>0</v>
      </c>
      <c r="P391" s="198">
        <v>0</v>
      </c>
      <c r="Q391" s="198">
        <v>0</v>
      </c>
      <c r="R391" s="198">
        <v>0</v>
      </c>
      <c r="S391" s="198">
        <v>0</v>
      </c>
      <c r="T391" s="198">
        <v>0</v>
      </c>
      <c r="U391" s="198">
        <v>0</v>
      </c>
      <c r="V391" s="198">
        <v>0</v>
      </c>
      <c r="W391" s="198">
        <v>6894.6</v>
      </c>
      <c r="X391" s="198">
        <v>0</v>
      </c>
      <c r="Y391" s="198">
        <v>0</v>
      </c>
      <c r="Z391" s="198">
        <v>0</v>
      </c>
      <c r="AA391" s="198">
        <v>0</v>
      </c>
      <c r="AB391" s="198">
        <v>0</v>
      </c>
      <c r="AC391" s="198">
        <v>0</v>
      </c>
      <c r="AD391" s="198">
        <v>0</v>
      </c>
      <c r="AE391" s="198">
        <v>0</v>
      </c>
      <c r="AF391" s="198">
        <v>0</v>
      </c>
      <c r="AG391" s="198">
        <v>0</v>
      </c>
      <c r="AH391" s="198">
        <v>0</v>
      </c>
      <c r="AI391" s="198">
        <v>0</v>
      </c>
      <c r="AJ391" s="198">
        <v>0</v>
      </c>
      <c r="AK391" s="198">
        <v>0</v>
      </c>
      <c r="AL391" s="198">
        <v>0</v>
      </c>
      <c r="AM391" s="198">
        <v>0</v>
      </c>
      <c r="AN391" s="198">
        <v>0</v>
      </c>
      <c r="AO391" s="198">
        <v>0</v>
      </c>
      <c r="AP391" s="198">
        <v>0</v>
      </c>
      <c r="AQ391" s="198">
        <v>0</v>
      </c>
      <c r="AR391" s="198">
        <v>0</v>
      </c>
      <c r="AS391" s="198">
        <v>0</v>
      </c>
      <c r="AT391" s="198">
        <v>0</v>
      </c>
      <c r="AU391" s="198">
        <v>0</v>
      </c>
      <c r="AV391" s="198">
        <v>0</v>
      </c>
      <c r="AW391" s="198">
        <v>0</v>
      </c>
      <c r="AX391" s="198">
        <v>0</v>
      </c>
      <c r="AY391" s="198">
        <v>0</v>
      </c>
      <c r="AZ391" s="198">
        <v>0</v>
      </c>
      <c r="BA391" s="198">
        <v>0</v>
      </c>
      <c r="BB391" s="198">
        <v>0</v>
      </c>
      <c r="BC391" s="198">
        <v>0</v>
      </c>
      <c r="BD391" s="198">
        <v>0</v>
      </c>
      <c r="BE391" s="198">
        <v>0</v>
      </c>
      <c r="BF391" s="198">
        <v>0</v>
      </c>
      <c r="BG391" s="198">
        <v>0</v>
      </c>
      <c r="BH391" s="198">
        <v>0</v>
      </c>
      <c r="BI391" s="198">
        <v>0</v>
      </c>
      <c r="BJ391" s="198">
        <v>0</v>
      </c>
      <c r="BK391" s="198">
        <v>0</v>
      </c>
      <c r="BL391" s="198">
        <v>0</v>
      </c>
      <c r="BM391" s="198">
        <v>0</v>
      </c>
      <c r="BN391" s="198">
        <v>0</v>
      </c>
      <c r="BO391" s="198">
        <v>0</v>
      </c>
      <c r="BP391" s="198">
        <v>0</v>
      </c>
      <c r="BQ391" s="198">
        <v>0</v>
      </c>
      <c r="BR391" s="198">
        <v>0</v>
      </c>
      <c r="BS391" s="198">
        <v>0</v>
      </c>
      <c r="BT391" s="198">
        <v>0</v>
      </c>
      <c r="BU391" s="198">
        <v>0</v>
      </c>
      <c r="BV391" s="198">
        <v>0</v>
      </c>
      <c r="BW391" s="198">
        <v>0</v>
      </c>
      <c r="BX391" s="198">
        <v>0</v>
      </c>
      <c r="BY391" s="198">
        <v>0</v>
      </c>
      <c r="BZ391" s="198">
        <v>0</v>
      </c>
      <c r="CA391" s="198">
        <v>0</v>
      </c>
      <c r="CB391" s="198">
        <v>0</v>
      </c>
      <c r="CC391" s="198">
        <v>0</v>
      </c>
      <c r="CD391" s="198">
        <v>0</v>
      </c>
      <c r="CE391" s="198">
        <v>0</v>
      </c>
      <c r="CF391" s="198">
        <v>0</v>
      </c>
      <c r="CG391" s="198">
        <v>0</v>
      </c>
      <c r="CH391" s="198">
        <v>0</v>
      </c>
      <c r="CI391" s="198">
        <v>0</v>
      </c>
      <c r="CJ391" s="198">
        <v>0</v>
      </c>
      <c r="CK391" s="88"/>
    </row>
    <row r="392" spans="1:123" x14ac:dyDescent="0.3">
      <c r="A392" s="173"/>
      <c r="B392" s="197" t="s">
        <v>12</v>
      </c>
      <c r="C392" s="198">
        <v>0</v>
      </c>
      <c r="D392" s="198">
        <v>0</v>
      </c>
      <c r="E392" s="198">
        <v>0</v>
      </c>
      <c r="F392" s="198">
        <v>0</v>
      </c>
      <c r="G392" s="198">
        <v>0</v>
      </c>
      <c r="H392" s="198">
        <v>0</v>
      </c>
      <c r="I392" s="198">
        <v>0</v>
      </c>
      <c r="J392" s="198">
        <v>0</v>
      </c>
      <c r="K392" s="198">
        <v>0</v>
      </c>
      <c r="L392" s="198">
        <v>0</v>
      </c>
      <c r="M392" s="198">
        <v>0</v>
      </c>
      <c r="N392" s="198">
        <v>0</v>
      </c>
      <c r="O392" s="198">
        <v>0</v>
      </c>
      <c r="P392" s="198">
        <v>0</v>
      </c>
      <c r="Q392" s="198">
        <v>0</v>
      </c>
      <c r="R392" s="198">
        <v>0</v>
      </c>
      <c r="S392" s="198">
        <v>0</v>
      </c>
      <c r="T392" s="198">
        <v>0</v>
      </c>
      <c r="U392" s="198">
        <v>0</v>
      </c>
      <c r="V392" s="198">
        <v>0</v>
      </c>
      <c r="W392" s="198">
        <v>0</v>
      </c>
      <c r="X392" s="198">
        <v>0</v>
      </c>
      <c r="Y392" s="198">
        <v>0</v>
      </c>
      <c r="Z392" s="198">
        <v>0</v>
      </c>
      <c r="AA392" s="198">
        <v>0</v>
      </c>
      <c r="AB392" s="198">
        <v>0</v>
      </c>
      <c r="AC392" s="198">
        <v>0</v>
      </c>
      <c r="AD392" s="198">
        <v>0</v>
      </c>
      <c r="AE392" s="198">
        <v>0</v>
      </c>
      <c r="AF392" s="198">
        <v>0</v>
      </c>
      <c r="AG392" s="198">
        <v>0</v>
      </c>
      <c r="AH392" s="198">
        <v>0</v>
      </c>
      <c r="AI392" s="198">
        <v>0</v>
      </c>
      <c r="AJ392" s="198">
        <v>0</v>
      </c>
      <c r="AK392" s="198">
        <v>0</v>
      </c>
      <c r="AL392" s="198">
        <v>0</v>
      </c>
      <c r="AM392" s="198">
        <v>0</v>
      </c>
      <c r="AN392" s="198">
        <v>0</v>
      </c>
      <c r="AO392" s="198">
        <v>0</v>
      </c>
      <c r="AP392" s="198">
        <v>0</v>
      </c>
      <c r="AQ392" s="198">
        <v>0</v>
      </c>
      <c r="AR392" s="198">
        <v>0</v>
      </c>
      <c r="AS392" s="198">
        <v>0</v>
      </c>
      <c r="AT392" s="198">
        <v>0</v>
      </c>
      <c r="AU392" s="198">
        <v>0</v>
      </c>
      <c r="AV392" s="198">
        <v>0</v>
      </c>
      <c r="AW392" s="198">
        <v>0</v>
      </c>
      <c r="AX392" s="198">
        <v>0</v>
      </c>
      <c r="AY392" s="198">
        <v>0</v>
      </c>
      <c r="AZ392" s="198">
        <v>0</v>
      </c>
      <c r="BA392" s="198">
        <v>0</v>
      </c>
      <c r="BB392" s="198">
        <v>0</v>
      </c>
      <c r="BC392" s="198">
        <v>0</v>
      </c>
      <c r="BD392" s="198">
        <v>0</v>
      </c>
      <c r="BE392" s="198">
        <v>0</v>
      </c>
      <c r="BF392" s="198">
        <v>0</v>
      </c>
      <c r="BG392" s="198">
        <v>0</v>
      </c>
      <c r="BH392" s="198">
        <v>0</v>
      </c>
      <c r="BI392" s="198">
        <v>0</v>
      </c>
      <c r="BJ392" s="198">
        <v>2515.5</v>
      </c>
      <c r="BK392" s="198">
        <v>0</v>
      </c>
      <c r="BL392" s="198">
        <v>0</v>
      </c>
      <c r="BM392" s="198">
        <v>0</v>
      </c>
      <c r="BN392" s="198">
        <v>0</v>
      </c>
      <c r="BO392" s="198">
        <v>0</v>
      </c>
      <c r="BP392" s="198">
        <v>0</v>
      </c>
      <c r="BQ392" s="198">
        <v>85.9</v>
      </c>
      <c r="BR392" s="198">
        <v>0</v>
      </c>
      <c r="BS392" s="198">
        <v>0</v>
      </c>
      <c r="BT392" s="198">
        <v>0</v>
      </c>
      <c r="BU392" s="198">
        <v>0</v>
      </c>
      <c r="BV392" s="198">
        <v>0</v>
      </c>
      <c r="BW392" s="198">
        <v>94.4</v>
      </c>
      <c r="BX392" s="198">
        <v>0</v>
      </c>
      <c r="BY392" s="198">
        <v>0</v>
      </c>
      <c r="BZ392" s="198">
        <v>0</v>
      </c>
      <c r="CA392" s="198">
        <v>0</v>
      </c>
      <c r="CB392" s="198">
        <v>93.3</v>
      </c>
      <c r="CC392" s="198">
        <v>0</v>
      </c>
      <c r="CD392" s="198">
        <v>0</v>
      </c>
      <c r="CE392" s="198">
        <v>0</v>
      </c>
      <c r="CF392" s="198">
        <v>0</v>
      </c>
      <c r="CG392" s="198">
        <v>0</v>
      </c>
      <c r="CH392" s="198">
        <v>0</v>
      </c>
      <c r="CI392" s="198">
        <v>87.7</v>
      </c>
      <c r="CJ392" s="198">
        <v>0</v>
      </c>
      <c r="CK392" s="88"/>
    </row>
    <row r="393" spans="1:123" x14ac:dyDescent="0.3">
      <c r="A393" s="173"/>
      <c r="B393" s="197" t="s">
        <v>19</v>
      </c>
      <c r="C393" s="198">
        <v>9.3000000000000007</v>
      </c>
      <c r="D393" s="198">
        <v>0</v>
      </c>
      <c r="E393" s="198">
        <v>0</v>
      </c>
      <c r="F393" s="198">
        <v>0</v>
      </c>
      <c r="G393" s="198">
        <v>0</v>
      </c>
      <c r="H393" s="198">
        <v>0</v>
      </c>
      <c r="I393" s="198">
        <v>0</v>
      </c>
      <c r="J393" s="198">
        <v>0</v>
      </c>
      <c r="K393" s="198">
        <v>0</v>
      </c>
      <c r="L393" s="198">
        <v>0</v>
      </c>
      <c r="M393" s="198">
        <v>0</v>
      </c>
      <c r="N393" s="198">
        <v>0</v>
      </c>
      <c r="O393" s="198">
        <v>0</v>
      </c>
      <c r="P393" s="198">
        <v>0</v>
      </c>
      <c r="Q393" s="198">
        <v>0</v>
      </c>
      <c r="R393" s="198">
        <v>0</v>
      </c>
      <c r="S393" s="198">
        <v>0</v>
      </c>
      <c r="T393" s="198">
        <v>0</v>
      </c>
      <c r="U393" s="198">
        <v>0</v>
      </c>
      <c r="V393" s="198">
        <v>0</v>
      </c>
      <c r="W393" s="198">
        <v>12797.4</v>
      </c>
      <c r="X393" s="198">
        <v>0</v>
      </c>
      <c r="Y393" s="198">
        <v>3</v>
      </c>
      <c r="Z393" s="198">
        <v>0.2</v>
      </c>
      <c r="AA393" s="198">
        <v>0.8</v>
      </c>
      <c r="AB393" s="198">
        <v>0.4</v>
      </c>
      <c r="AC393" s="198">
        <v>0.2</v>
      </c>
      <c r="AD393" s="198">
        <v>0.1</v>
      </c>
      <c r="AE393" s="198">
        <v>0.1</v>
      </c>
      <c r="AF393" s="198">
        <v>0</v>
      </c>
      <c r="AG393" s="198">
        <v>1.6</v>
      </c>
      <c r="AH393" s="198">
        <v>0</v>
      </c>
      <c r="AI393" s="198">
        <v>0</v>
      </c>
      <c r="AJ393" s="198">
        <v>0.8</v>
      </c>
      <c r="AK393" s="198">
        <v>0.3</v>
      </c>
      <c r="AL393" s="198">
        <v>0.4</v>
      </c>
      <c r="AM393" s="198">
        <v>0.2</v>
      </c>
      <c r="AN393" s="198">
        <v>0.2</v>
      </c>
      <c r="AO393" s="198">
        <v>0</v>
      </c>
      <c r="AP393" s="198">
        <v>0.7</v>
      </c>
      <c r="AQ393" s="198">
        <v>0</v>
      </c>
      <c r="AR393" s="198">
        <v>0</v>
      </c>
      <c r="AS393" s="198">
        <v>0</v>
      </c>
      <c r="AT393" s="198">
        <v>0</v>
      </c>
      <c r="AU393" s="198">
        <v>0</v>
      </c>
      <c r="AV393" s="198">
        <v>12.7</v>
      </c>
      <c r="AW393" s="198">
        <v>0</v>
      </c>
      <c r="AX393" s="198">
        <v>0</v>
      </c>
      <c r="AY393" s="198">
        <v>0</v>
      </c>
      <c r="AZ393" s="198">
        <v>0</v>
      </c>
      <c r="BA393" s="198">
        <v>0</v>
      </c>
      <c r="BB393" s="198">
        <v>0</v>
      </c>
      <c r="BC393" s="198">
        <v>0</v>
      </c>
      <c r="BD393" s="198">
        <v>0</v>
      </c>
      <c r="BE393" s="198">
        <v>0</v>
      </c>
      <c r="BF393" s="198">
        <v>0</v>
      </c>
      <c r="BG393" s="198">
        <v>0</v>
      </c>
      <c r="BH393" s="198">
        <v>0</v>
      </c>
      <c r="BI393" s="198">
        <v>0</v>
      </c>
      <c r="BJ393" s="198">
        <v>0</v>
      </c>
      <c r="BK393" s="198">
        <v>0</v>
      </c>
      <c r="BL393" s="198">
        <v>0</v>
      </c>
      <c r="BM393" s="198">
        <v>0</v>
      </c>
      <c r="BN393" s="198">
        <v>0</v>
      </c>
      <c r="BO393" s="198">
        <v>0</v>
      </c>
      <c r="BP393" s="198">
        <v>0</v>
      </c>
      <c r="BQ393" s="198">
        <v>0</v>
      </c>
      <c r="BR393" s="198">
        <v>0</v>
      </c>
      <c r="BS393" s="198">
        <v>0</v>
      </c>
      <c r="BT393" s="198">
        <v>0</v>
      </c>
      <c r="BU393" s="198">
        <v>0</v>
      </c>
      <c r="BV393" s="198">
        <v>0</v>
      </c>
      <c r="BW393" s="198">
        <v>0</v>
      </c>
      <c r="BX393" s="198">
        <v>0</v>
      </c>
      <c r="BY393" s="198">
        <v>0</v>
      </c>
      <c r="BZ393" s="198">
        <v>0</v>
      </c>
      <c r="CA393" s="198">
        <v>0</v>
      </c>
      <c r="CB393" s="198">
        <v>0</v>
      </c>
      <c r="CC393" s="198">
        <v>0</v>
      </c>
      <c r="CD393" s="198">
        <v>0</v>
      </c>
      <c r="CE393" s="198">
        <v>0</v>
      </c>
      <c r="CF393" s="198">
        <v>0</v>
      </c>
      <c r="CG393" s="198">
        <v>0</v>
      </c>
      <c r="CH393" s="198">
        <v>0</v>
      </c>
      <c r="CI393" s="198">
        <v>0</v>
      </c>
      <c r="CJ393" s="198">
        <v>0</v>
      </c>
      <c r="CK393" s="88"/>
    </row>
    <row r="394" spans="1:123" x14ac:dyDescent="0.3">
      <c r="A394" s="173"/>
      <c r="B394" s="197" t="s">
        <v>26</v>
      </c>
      <c r="C394" s="198">
        <v>0</v>
      </c>
      <c r="D394" s="198">
        <v>0</v>
      </c>
      <c r="E394" s="198">
        <v>0</v>
      </c>
      <c r="F394" s="198">
        <v>0</v>
      </c>
      <c r="G394" s="198">
        <v>0</v>
      </c>
      <c r="H394" s="198">
        <v>0</v>
      </c>
      <c r="I394" s="198">
        <v>0</v>
      </c>
      <c r="J394" s="198">
        <v>0</v>
      </c>
      <c r="K394" s="198">
        <v>0</v>
      </c>
      <c r="L394" s="198">
        <v>0</v>
      </c>
      <c r="M394" s="198">
        <v>0</v>
      </c>
      <c r="N394" s="198">
        <v>0</v>
      </c>
      <c r="O394" s="198">
        <v>0</v>
      </c>
      <c r="P394" s="198">
        <v>0</v>
      </c>
      <c r="Q394" s="198">
        <v>0</v>
      </c>
      <c r="R394" s="198">
        <v>0</v>
      </c>
      <c r="S394" s="198">
        <v>0</v>
      </c>
      <c r="T394" s="198">
        <v>0</v>
      </c>
      <c r="U394" s="198">
        <v>0</v>
      </c>
      <c r="V394" s="198">
        <v>0</v>
      </c>
      <c r="W394" s="198">
        <v>0</v>
      </c>
      <c r="X394" s="198">
        <v>0</v>
      </c>
      <c r="Y394" s="198">
        <v>0</v>
      </c>
      <c r="Z394" s="198">
        <v>0</v>
      </c>
      <c r="AA394" s="198">
        <v>0</v>
      </c>
      <c r="AB394" s="198">
        <v>0</v>
      </c>
      <c r="AC394" s="198">
        <v>0</v>
      </c>
      <c r="AD394" s="198">
        <v>0</v>
      </c>
      <c r="AE394" s="198">
        <v>0</v>
      </c>
      <c r="AF394" s="198">
        <v>0</v>
      </c>
      <c r="AG394" s="198">
        <v>0</v>
      </c>
      <c r="AH394" s="198">
        <v>0</v>
      </c>
      <c r="AI394" s="198">
        <v>0</v>
      </c>
      <c r="AJ394" s="198">
        <v>0</v>
      </c>
      <c r="AK394" s="198">
        <v>0</v>
      </c>
      <c r="AL394" s="198">
        <v>0</v>
      </c>
      <c r="AM394" s="198">
        <v>0</v>
      </c>
      <c r="AN394" s="198">
        <v>0</v>
      </c>
      <c r="AO394" s="198">
        <v>0</v>
      </c>
      <c r="AP394" s="198">
        <v>0</v>
      </c>
      <c r="AQ394" s="198">
        <v>0</v>
      </c>
      <c r="AR394" s="198">
        <v>0</v>
      </c>
      <c r="AS394" s="198">
        <v>0</v>
      </c>
      <c r="AT394" s="198">
        <v>0</v>
      </c>
      <c r="AU394" s="198">
        <v>0</v>
      </c>
      <c r="AV394" s="198">
        <v>0</v>
      </c>
      <c r="AW394" s="198">
        <v>0</v>
      </c>
      <c r="AX394" s="198">
        <v>0</v>
      </c>
      <c r="AY394" s="198">
        <v>0</v>
      </c>
      <c r="AZ394" s="198">
        <v>0</v>
      </c>
      <c r="BA394" s="198">
        <v>0</v>
      </c>
      <c r="BB394" s="198">
        <v>0</v>
      </c>
      <c r="BC394" s="198">
        <v>0</v>
      </c>
      <c r="BD394" s="198">
        <v>0</v>
      </c>
      <c r="BE394" s="198">
        <v>0</v>
      </c>
      <c r="BF394" s="198">
        <v>0</v>
      </c>
      <c r="BG394" s="198">
        <v>0</v>
      </c>
      <c r="BH394" s="198">
        <v>0</v>
      </c>
      <c r="BI394" s="198">
        <v>0</v>
      </c>
      <c r="BJ394" s="198">
        <v>0</v>
      </c>
      <c r="BK394" s="198">
        <v>0</v>
      </c>
      <c r="BL394" s="198">
        <v>0</v>
      </c>
      <c r="BM394" s="198">
        <v>0</v>
      </c>
      <c r="BN394" s="198">
        <v>0</v>
      </c>
      <c r="BO394" s="198">
        <v>0</v>
      </c>
      <c r="BP394" s="198">
        <v>3.1</v>
      </c>
      <c r="BQ394" s="198">
        <v>0</v>
      </c>
      <c r="BR394" s="198">
        <v>0</v>
      </c>
      <c r="BS394" s="198">
        <v>0</v>
      </c>
      <c r="BT394" s="198">
        <v>0</v>
      </c>
      <c r="BU394" s="198">
        <v>0</v>
      </c>
      <c r="BV394" s="198">
        <v>3.3</v>
      </c>
      <c r="BW394" s="198">
        <v>0</v>
      </c>
      <c r="BX394" s="198">
        <v>0</v>
      </c>
      <c r="BY394" s="198">
        <v>0</v>
      </c>
      <c r="BZ394" s="198">
        <v>0</v>
      </c>
      <c r="CA394" s="198">
        <v>0</v>
      </c>
      <c r="CB394" s="198">
        <v>3.4</v>
      </c>
      <c r="CC394" s="198">
        <v>0</v>
      </c>
      <c r="CD394" s="198">
        <v>0</v>
      </c>
      <c r="CE394" s="198">
        <v>0</v>
      </c>
      <c r="CF394" s="198">
        <v>0</v>
      </c>
      <c r="CG394" s="198">
        <v>0</v>
      </c>
      <c r="CH394" s="198">
        <v>3.1</v>
      </c>
      <c r="CI394" s="198">
        <v>0</v>
      </c>
      <c r="CJ394" s="198">
        <v>0</v>
      </c>
      <c r="CK394" s="88"/>
    </row>
    <row r="395" spans="1:123" x14ac:dyDescent="0.3">
      <c r="A395" s="173"/>
      <c r="B395" s="197" t="s">
        <v>213</v>
      </c>
      <c r="C395" s="198">
        <v>0</v>
      </c>
      <c r="D395" s="198">
        <v>0</v>
      </c>
      <c r="E395" s="198">
        <v>0</v>
      </c>
      <c r="F395" s="198">
        <v>0</v>
      </c>
      <c r="G395" s="198">
        <v>0</v>
      </c>
      <c r="H395" s="198">
        <v>0</v>
      </c>
      <c r="I395" s="198">
        <v>0</v>
      </c>
      <c r="J395" s="198">
        <v>0</v>
      </c>
      <c r="K395" s="198">
        <v>0</v>
      </c>
      <c r="L395" s="198">
        <v>0</v>
      </c>
      <c r="M395" s="198">
        <v>0</v>
      </c>
      <c r="N395" s="198">
        <v>0</v>
      </c>
      <c r="O395" s="198">
        <v>0</v>
      </c>
      <c r="P395" s="198">
        <v>0</v>
      </c>
      <c r="Q395" s="198">
        <v>0</v>
      </c>
      <c r="R395" s="198">
        <v>0</v>
      </c>
      <c r="S395" s="198">
        <v>0</v>
      </c>
      <c r="T395" s="198">
        <v>0</v>
      </c>
      <c r="U395" s="198">
        <v>0</v>
      </c>
      <c r="V395" s="198">
        <v>0</v>
      </c>
      <c r="W395" s="198">
        <v>0</v>
      </c>
      <c r="X395" s="198">
        <v>0</v>
      </c>
      <c r="Y395" s="198">
        <v>0</v>
      </c>
      <c r="Z395" s="198">
        <v>0</v>
      </c>
      <c r="AA395" s="198">
        <v>7504</v>
      </c>
      <c r="AB395" s="198">
        <v>0</v>
      </c>
      <c r="AC395" s="198">
        <v>2121.4</v>
      </c>
      <c r="AD395" s="198">
        <v>0</v>
      </c>
      <c r="AE395" s="198">
        <v>0</v>
      </c>
      <c r="AF395" s="198">
        <v>0</v>
      </c>
      <c r="AG395" s="198">
        <v>0</v>
      </c>
      <c r="AH395" s="198">
        <v>0</v>
      </c>
      <c r="AI395" s="198">
        <v>0</v>
      </c>
      <c r="AJ395" s="198">
        <v>0</v>
      </c>
      <c r="AK395" s="198">
        <v>0</v>
      </c>
      <c r="AL395" s="198">
        <v>0</v>
      </c>
      <c r="AM395" s="198">
        <v>0</v>
      </c>
      <c r="AN395" s="198">
        <v>0</v>
      </c>
      <c r="AO395" s="198">
        <v>0</v>
      </c>
      <c r="AP395" s="198">
        <v>5674</v>
      </c>
      <c r="AQ395" s="198">
        <v>0</v>
      </c>
      <c r="AR395" s="198">
        <v>2083.6</v>
      </c>
      <c r="AS395" s="198">
        <v>0</v>
      </c>
      <c r="AT395" s="198">
        <v>0</v>
      </c>
      <c r="AU395" s="198">
        <v>0</v>
      </c>
      <c r="AV395" s="198">
        <v>0</v>
      </c>
      <c r="AW395" s="198">
        <v>0</v>
      </c>
      <c r="AX395" s="198">
        <v>0</v>
      </c>
      <c r="AY395" s="198">
        <v>7132.7</v>
      </c>
      <c r="AZ395" s="198">
        <v>0</v>
      </c>
      <c r="BA395" s="198">
        <v>0</v>
      </c>
      <c r="BB395" s="198">
        <v>0</v>
      </c>
      <c r="BC395" s="198">
        <v>0</v>
      </c>
      <c r="BD395" s="198">
        <v>0</v>
      </c>
      <c r="BE395" s="198">
        <v>0</v>
      </c>
      <c r="BF395" s="198">
        <v>2292.3000000000002</v>
      </c>
      <c r="BG395" s="198">
        <v>0</v>
      </c>
      <c r="BH395" s="198">
        <v>0</v>
      </c>
      <c r="BI395" s="198">
        <v>0</v>
      </c>
      <c r="BJ395" s="198">
        <v>0</v>
      </c>
      <c r="BK395" s="198">
        <v>7896.8</v>
      </c>
      <c r="BL395" s="198">
        <v>0</v>
      </c>
      <c r="BM395" s="198">
        <v>0</v>
      </c>
      <c r="BN395" s="198">
        <v>0</v>
      </c>
      <c r="BO395" s="198">
        <v>0</v>
      </c>
      <c r="BP395" s="198">
        <v>0</v>
      </c>
      <c r="BQ395" s="198">
        <v>2652.3</v>
      </c>
      <c r="BR395" s="198">
        <v>3043</v>
      </c>
      <c r="BS395" s="198">
        <v>0</v>
      </c>
      <c r="BT395" s="198">
        <v>0</v>
      </c>
      <c r="BU395" s="198">
        <v>0</v>
      </c>
      <c r="BV395" s="198">
        <v>0</v>
      </c>
      <c r="BW395" s="198">
        <v>0</v>
      </c>
      <c r="BX395" s="198">
        <v>0</v>
      </c>
      <c r="BY395" s="198">
        <v>0</v>
      </c>
      <c r="BZ395" s="198">
        <v>0</v>
      </c>
      <c r="CA395" s="198">
        <v>13616.9</v>
      </c>
      <c r="CB395" s="198">
        <v>0</v>
      </c>
      <c r="CC395" s="198">
        <v>0</v>
      </c>
      <c r="CD395" s="198">
        <v>3268.8</v>
      </c>
      <c r="CE395" s="198">
        <v>0</v>
      </c>
      <c r="CF395" s="198">
        <v>0</v>
      </c>
      <c r="CG395" s="198">
        <v>0</v>
      </c>
      <c r="CH395" s="198">
        <v>3.7</v>
      </c>
      <c r="CI395" s="198">
        <v>0</v>
      </c>
      <c r="CJ395" s="198">
        <v>0</v>
      </c>
      <c r="CK395" s="88"/>
    </row>
    <row r="396" spans="1:123" x14ac:dyDescent="0.3">
      <c r="A396" s="173"/>
      <c r="B396" s="197" t="s">
        <v>24</v>
      </c>
      <c r="C396" s="198">
        <v>0</v>
      </c>
      <c r="D396" s="198">
        <v>0</v>
      </c>
      <c r="E396" s="198">
        <v>0</v>
      </c>
      <c r="F396" s="198">
        <v>0</v>
      </c>
      <c r="G396" s="198">
        <v>0</v>
      </c>
      <c r="H396" s="198">
        <v>0</v>
      </c>
      <c r="I396" s="198">
        <v>0</v>
      </c>
      <c r="J396" s="198">
        <v>0</v>
      </c>
      <c r="K396" s="198">
        <v>0</v>
      </c>
      <c r="L396" s="198">
        <v>0</v>
      </c>
      <c r="M396" s="198">
        <v>0</v>
      </c>
      <c r="N396" s="198">
        <v>0</v>
      </c>
      <c r="O396" s="198">
        <v>0</v>
      </c>
      <c r="P396" s="198">
        <v>0</v>
      </c>
      <c r="Q396" s="198">
        <v>0</v>
      </c>
      <c r="R396" s="198">
        <v>0</v>
      </c>
      <c r="S396" s="198">
        <v>0</v>
      </c>
      <c r="T396" s="198">
        <v>0</v>
      </c>
      <c r="U396" s="198">
        <v>0</v>
      </c>
      <c r="V396" s="198">
        <v>0</v>
      </c>
      <c r="W396" s="198">
        <v>7048.3</v>
      </c>
      <c r="X396" s="198">
        <v>0</v>
      </c>
      <c r="Y396" s="198">
        <v>0</v>
      </c>
      <c r="Z396" s="198">
        <v>0</v>
      </c>
      <c r="AA396" s="198">
        <v>0</v>
      </c>
      <c r="AB396" s="198">
        <v>0</v>
      </c>
      <c r="AC396" s="198">
        <v>0</v>
      </c>
      <c r="AD396" s="198">
        <v>0</v>
      </c>
      <c r="AE396" s="198">
        <v>0</v>
      </c>
      <c r="AF396" s="198">
        <v>0</v>
      </c>
      <c r="AG396" s="198">
        <v>0</v>
      </c>
      <c r="AH396" s="198">
        <v>0</v>
      </c>
      <c r="AI396" s="198">
        <v>0</v>
      </c>
      <c r="AJ396" s="198">
        <v>0</v>
      </c>
      <c r="AK396" s="198">
        <v>0</v>
      </c>
      <c r="AL396" s="198">
        <v>0</v>
      </c>
      <c r="AM396" s="198">
        <v>0</v>
      </c>
      <c r="AN396" s="198">
        <v>0</v>
      </c>
      <c r="AO396" s="198">
        <v>0</v>
      </c>
      <c r="AP396" s="198">
        <v>0</v>
      </c>
      <c r="AQ396" s="198">
        <v>0</v>
      </c>
      <c r="AR396" s="198">
        <v>0</v>
      </c>
      <c r="AS396" s="198">
        <v>0</v>
      </c>
      <c r="AT396" s="198">
        <v>0</v>
      </c>
      <c r="AU396" s="198">
        <v>0</v>
      </c>
      <c r="AV396" s="198">
        <v>0</v>
      </c>
      <c r="AW396" s="198">
        <v>0</v>
      </c>
      <c r="AX396" s="198">
        <v>0</v>
      </c>
      <c r="AY396" s="198">
        <v>0</v>
      </c>
      <c r="AZ396" s="198">
        <v>0</v>
      </c>
      <c r="BA396" s="198">
        <v>0</v>
      </c>
      <c r="BB396" s="198">
        <v>0</v>
      </c>
      <c r="BC396" s="198">
        <v>0</v>
      </c>
      <c r="BD396" s="198">
        <v>0</v>
      </c>
      <c r="BE396" s="198">
        <v>0</v>
      </c>
      <c r="BF396" s="198">
        <v>0</v>
      </c>
      <c r="BG396" s="198">
        <v>0</v>
      </c>
      <c r="BH396" s="198">
        <v>0</v>
      </c>
      <c r="BI396" s="198">
        <v>0</v>
      </c>
      <c r="BJ396" s="198">
        <v>0</v>
      </c>
      <c r="BK396" s="198">
        <v>0</v>
      </c>
      <c r="BL396" s="198">
        <v>0</v>
      </c>
      <c r="BM396" s="198">
        <v>0</v>
      </c>
      <c r="BN396" s="198">
        <v>0</v>
      </c>
      <c r="BO396" s="198">
        <v>0</v>
      </c>
      <c r="BP396" s="198">
        <v>0</v>
      </c>
      <c r="BQ396" s="198">
        <v>0</v>
      </c>
      <c r="BR396" s="198">
        <v>0</v>
      </c>
      <c r="BS396" s="198">
        <v>0</v>
      </c>
      <c r="BT396" s="198">
        <v>0</v>
      </c>
      <c r="BU396" s="198">
        <v>0</v>
      </c>
      <c r="BV396" s="198">
        <v>0</v>
      </c>
      <c r="BW396" s="198">
        <v>0</v>
      </c>
      <c r="BX396" s="198">
        <v>0</v>
      </c>
      <c r="BY396" s="198">
        <v>0</v>
      </c>
      <c r="BZ396" s="198">
        <v>0</v>
      </c>
      <c r="CA396" s="198">
        <v>0</v>
      </c>
      <c r="CB396" s="198">
        <v>0</v>
      </c>
      <c r="CC396" s="198">
        <v>0</v>
      </c>
      <c r="CD396" s="198">
        <v>0</v>
      </c>
      <c r="CE396" s="198">
        <v>0</v>
      </c>
      <c r="CF396" s="198">
        <v>0</v>
      </c>
      <c r="CG396" s="198">
        <v>0</v>
      </c>
      <c r="CH396" s="198">
        <v>0</v>
      </c>
      <c r="CI396" s="198">
        <v>0</v>
      </c>
      <c r="CJ396" s="198">
        <v>0</v>
      </c>
      <c r="CK396" s="88"/>
    </row>
    <row r="397" spans="1:123" x14ac:dyDescent="0.3">
      <c r="A397" s="173"/>
      <c r="B397" s="197" t="s">
        <v>20</v>
      </c>
      <c r="C397" s="198">
        <v>0</v>
      </c>
      <c r="D397" s="198">
        <v>0</v>
      </c>
      <c r="E397" s="198">
        <v>0</v>
      </c>
      <c r="F397" s="198">
        <v>0</v>
      </c>
      <c r="G397" s="198">
        <v>0</v>
      </c>
      <c r="H397" s="198">
        <v>0</v>
      </c>
      <c r="I397" s="198">
        <v>0</v>
      </c>
      <c r="J397" s="198">
        <v>0</v>
      </c>
      <c r="K397" s="198">
        <v>0</v>
      </c>
      <c r="L397" s="198">
        <v>0</v>
      </c>
      <c r="M397" s="198">
        <v>0</v>
      </c>
      <c r="N397" s="198">
        <v>0</v>
      </c>
      <c r="O397" s="198">
        <v>0</v>
      </c>
      <c r="P397" s="198">
        <v>0</v>
      </c>
      <c r="Q397" s="198">
        <v>0</v>
      </c>
      <c r="R397" s="198">
        <v>0</v>
      </c>
      <c r="S397" s="198">
        <v>0</v>
      </c>
      <c r="T397" s="198">
        <v>0</v>
      </c>
      <c r="U397" s="198">
        <v>0</v>
      </c>
      <c r="V397" s="198">
        <v>0</v>
      </c>
      <c r="W397" s="198">
        <v>6615.3</v>
      </c>
      <c r="X397" s="198">
        <v>0</v>
      </c>
      <c r="Y397" s="198">
        <v>1.4</v>
      </c>
      <c r="Z397" s="198">
        <v>0.3</v>
      </c>
      <c r="AA397" s="198">
        <v>1.2</v>
      </c>
      <c r="AB397" s="198">
        <v>0.4</v>
      </c>
      <c r="AC397" s="198">
        <v>0.9</v>
      </c>
      <c r="AD397" s="198">
        <v>0.4</v>
      </c>
      <c r="AE397" s="198">
        <v>0.6</v>
      </c>
      <c r="AF397" s="198">
        <v>0</v>
      </c>
      <c r="AG397" s="198">
        <v>1.6</v>
      </c>
      <c r="AH397" s="198">
        <v>0</v>
      </c>
      <c r="AI397" s="198">
        <v>0</v>
      </c>
      <c r="AJ397" s="198">
        <v>0.4</v>
      </c>
      <c r="AK397" s="198">
        <v>1.1000000000000001</v>
      </c>
      <c r="AL397" s="198">
        <v>0.7</v>
      </c>
      <c r="AM397" s="198">
        <v>0.3</v>
      </c>
      <c r="AN397" s="198">
        <v>0.5</v>
      </c>
      <c r="AO397" s="198">
        <v>0</v>
      </c>
      <c r="AP397" s="198">
        <v>4.3</v>
      </c>
      <c r="AQ397" s="198">
        <v>0</v>
      </c>
      <c r="AR397" s="198">
        <v>0</v>
      </c>
      <c r="AS397" s="198">
        <v>0</v>
      </c>
      <c r="AT397" s="198">
        <v>0</v>
      </c>
      <c r="AU397" s="198">
        <v>0</v>
      </c>
      <c r="AV397" s="198">
        <v>29.5</v>
      </c>
      <c r="AW397" s="198">
        <v>0</v>
      </c>
      <c r="AX397" s="198">
        <v>0</v>
      </c>
      <c r="AY397" s="198">
        <v>0</v>
      </c>
      <c r="AZ397" s="198">
        <v>0</v>
      </c>
      <c r="BA397" s="198">
        <v>0</v>
      </c>
      <c r="BB397" s="198">
        <v>0</v>
      </c>
      <c r="BC397" s="198">
        <v>0</v>
      </c>
      <c r="BD397" s="198">
        <v>0</v>
      </c>
      <c r="BE397" s="198">
        <v>0</v>
      </c>
      <c r="BF397" s="198">
        <v>0</v>
      </c>
      <c r="BG397" s="198">
        <v>0</v>
      </c>
      <c r="BH397" s="198">
        <v>0</v>
      </c>
      <c r="BI397" s="198">
        <v>0</v>
      </c>
      <c r="BJ397" s="198">
        <v>0</v>
      </c>
      <c r="BK397" s="198">
        <v>0</v>
      </c>
      <c r="BL397" s="198">
        <v>0</v>
      </c>
      <c r="BM397" s="198">
        <v>0</v>
      </c>
      <c r="BN397" s="198">
        <v>0</v>
      </c>
      <c r="BO397" s="198">
        <v>0</v>
      </c>
      <c r="BP397" s="198">
        <v>0</v>
      </c>
      <c r="BQ397" s="198">
        <v>0</v>
      </c>
      <c r="BR397" s="198">
        <v>0</v>
      </c>
      <c r="BS397" s="198">
        <v>0</v>
      </c>
      <c r="BT397" s="198">
        <v>0</v>
      </c>
      <c r="BU397" s="198">
        <v>0</v>
      </c>
      <c r="BV397" s="198">
        <v>0</v>
      </c>
      <c r="BW397" s="198">
        <v>0</v>
      </c>
      <c r="BX397" s="198">
        <v>0</v>
      </c>
      <c r="BY397" s="198">
        <v>0</v>
      </c>
      <c r="BZ397" s="198">
        <v>0</v>
      </c>
      <c r="CA397" s="198">
        <v>0</v>
      </c>
      <c r="CB397" s="198">
        <v>0</v>
      </c>
      <c r="CC397" s="198">
        <v>0</v>
      </c>
      <c r="CD397" s="198">
        <v>0</v>
      </c>
      <c r="CE397" s="198">
        <v>0</v>
      </c>
      <c r="CF397" s="198">
        <v>0</v>
      </c>
      <c r="CG397" s="198">
        <v>0</v>
      </c>
      <c r="CH397" s="198">
        <v>0</v>
      </c>
      <c r="CI397" s="198">
        <v>0</v>
      </c>
      <c r="CJ397" s="198">
        <v>0</v>
      </c>
      <c r="CK397" s="88"/>
    </row>
    <row r="398" spans="1:123" x14ac:dyDescent="0.3">
      <c r="A398" s="173"/>
      <c r="B398" s="192" t="s">
        <v>310</v>
      </c>
      <c r="C398" s="193">
        <v>103.2</v>
      </c>
      <c r="D398" s="193">
        <v>82.8</v>
      </c>
      <c r="E398" s="193">
        <v>273.2</v>
      </c>
      <c r="F398" s="193">
        <v>131.5</v>
      </c>
      <c r="G398" s="193">
        <v>142.9</v>
      </c>
      <c r="H398" s="193">
        <v>168.1</v>
      </c>
      <c r="I398" s="193">
        <v>103.7</v>
      </c>
      <c r="J398" s="193">
        <v>106.4</v>
      </c>
      <c r="K398" s="193">
        <v>241.9</v>
      </c>
      <c r="L398" s="193">
        <v>127</v>
      </c>
      <c r="M398" s="193">
        <v>146</v>
      </c>
      <c r="N398" s="193">
        <v>171</v>
      </c>
      <c r="O398" s="193">
        <f t="shared" ref="O398:BZ398" si="68">+SUM(O399:O407)</f>
        <v>106.6</v>
      </c>
      <c r="P398" s="193">
        <f t="shared" si="68"/>
        <v>143.6</v>
      </c>
      <c r="Q398" s="193">
        <f t="shared" si="68"/>
        <v>262.7</v>
      </c>
      <c r="R398" s="193">
        <f t="shared" si="68"/>
        <v>121</v>
      </c>
      <c r="S398" s="193">
        <f t="shared" si="68"/>
        <v>140.10000000000002</v>
      </c>
      <c r="T398" s="193">
        <f t="shared" si="68"/>
        <v>170.1</v>
      </c>
      <c r="U398" s="193">
        <f t="shared" si="68"/>
        <v>113.1</v>
      </c>
      <c r="V398" s="193">
        <f t="shared" si="68"/>
        <v>161.6</v>
      </c>
      <c r="W398" s="193">
        <f t="shared" si="68"/>
        <v>229.1</v>
      </c>
      <c r="X398" s="193">
        <f t="shared" si="68"/>
        <v>114.39999999999999</v>
      </c>
      <c r="Y398" s="193">
        <f t="shared" si="68"/>
        <v>148.69999999999999</v>
      </c>
      <c r="Z398" s="193">
        <f t="shared" si="68"/>
        <v>167.79999999999998</v>
      </c>
      <c r="AA398" s="193">
        <f t="shared" si="68"/>
        <v>114</v>
      </c>
      <c r="AB398" s="193">
        <f t="shared" si="68"/>
        <v>147.1</v>
      </c>
      <c r="AC398" s="193">
        <f t="shared" si="68"/>
        <v>264.50000000000006</v>
      </c>
      <c r="AD398" s="193">
        <f t="shared" si="68"/>
        <v>110.79999999999998</v>
      </c>
      <c r="AE398" s="193">
        <f t="shared" si="68"/>
        <v>150.70000000000002</v>
      </c>
      <c r="AF398" s="193">
        <f t="shared" si="68"/>
        <v>155.10000000000002</v>
      </c>
      <c r="AG398" s="193">
        <f t="shared" si="68"/>
        <v>78.400000000000006</v>
      </c>
      <c r="AH398" s="193">
        <f t="shared" si="68"/>
        <v>186.2</v>
      </c>
      <c r="AI398" s="193">
        <f t="shared" si="68"/>
        <v>2152.7000000000003</v>
      </c>
      <c r="AJ398" s="193">
        <f t="shared" si="68"/>
        <v>105.3</v>
      </c>
      <c r="AK398" s="193">
        <f t="shared" si="68"/>
        <v>155.9</v>
      </c>
      <c r="AL398" s="193">
        <f t="shared" si="68"/>
        <v>1999.3000000000002</v>
      </c>
      <c r="AM398" s="193">
        <f t="shared" si="68"/>
        <v>826.59999999999991</v>
      </c>
      <c r="AN398" s="193">
        <f t="shared" si="68"/>
        <v>143.29999999999998</v>
      </c>
      <c r="AO398" s="193">
        <f t="shared" si="68"/>
        <v>3053.1000000000004</v>
      </c>
      <c r="AP398" s="193">
        <f t="shared" si="68"/>
        <v>808.6</v>
      </c>
      <c r="AQ398" s="193">
        <f t="shared" si="68"/>
        <v>145.29999999999998</v>
      </c>
      <c r="AR398" s="193">
        <f t="shared" si="68"/>
        <v>2878.9</v>
      </c>
      <c r="AS398" s="193">
        <f t="shared" si="68"/>
        <v>2046.4</v>
      </c>
      <c r="AT398" s="193">
        <f t="shared" si="68"/>
        <v>204.9</v>
      </c>
      <c r="AU398" s="193">
        <f t="shared" si="68"/>
        <v>2868.4</v>
      </c>
      <c r="AV398" s="193">
        <f t="shared" si="68"/>
        <v>2639.5</v>
      </c>
      <c r="AW398" s="193">
        <f t="shared" si="68"/>
        <v>148.00000000000003</v>
      </c>
      <c r="AX398" s="193">
        <f t="shared" si="68"/>
        <v>2791.2999999999997</v>
      </c>
      <c r="AY398" s="193">
        <f t="shared" si="68"/>
        <v>2724.3</v>
      </c>
      <c r="AZ398" s="193">
        <f t="shared" si="68"/>
        <v>128.60000000000002</v>
      </c>
      <c r="BA398" s="193">
        <f t="shared" si="68"/>
        <v>2939.2000000000003</v>
      </c>
      <c r="BB398" s="193">
        <f t="shared" si="68"/>
        <v>2774</v>
      </c>
      <c r="BC398" s="193">
        <f t="shared" si="68"/>
        <v>149.6</v>
      </c>
      <c r="BD398" s="193">
        <f t="shared" si="68"/>
        <v>2810.6</v>
      </c>
      <c r="BE398" s="193">
        <f t="shared" si="68"/>
        <v>2718.2</v>
      </c>
      <c r="BF398" s="193">
        <f t="shared" si="68"/>
        <v>1057.0999999999999</v>
      </c>
      <c r="BG398" s="193">
        <f t="shared" si="68"/>
        <v>256.7</v>
      </c>
      <c r="BH398" s="193">
        <f t="shared" si="68"/>
        <v>122.99999999999999</v>
      </c>
      <c r="BI398" s="193">
        <f t="shared" si="68"/>
        <v>2744.1000000000004</v>
      </c>
      <c r="BJ398" s="193">
        <f t="shared" si="68"/>
        <v>1053.2</v>
      </c>
      <c r="BK398" s="193">
        <f t="shared" si="68"/>
        <v>2063.1999999999998</v>
      </c>
      <c r="BL398" s="193">
        <f t="shared" si="68"/>
        <v>1108.4999999999998</v>
      </c>
      <c r="BM398" s="193">
        <f t="shared" si="68"/>
        <v>274.09999999999997</v>
      </c>
      <c r="BN398" s="193">
        <f t="shared" si="68"/>
        <v>2055.1999999999998</v>
      </c>
      <c r="BO398" s="193">
        <f t="shared" si="68"/>
        <v>192.7</v>
      </c>
      <c r="BP398" s="193">
        <f t="shared" si="68"/>
        <v>137.6</v>
      </c>
      <c r="BQ398" s="193">
        <f t="shared" si="68"/>
        <v>751.30000000000007</v>
      </c>
      <c r="BR398" s="193">
        <f t="shared" si="68"/>
        <v>153.6</v>
      </c>
      <c r="BS398" s="193">
        <f t="shared" si="68"/>
        <v>293.2</v>
      </c>
      <c r="BT398" s="193">
        <f t="shared" si="68"/>
        <v>135.6</v>
      </c>
      <c r="BU398" s="193">
        <f t="shared" si="68"/>
        <v>535.6</v>
      </c>
      <c r="BV398" s="193">
        <f t="shared" si="68"/>
        <v>143.29999999999998</v>
      </c>
      <c r="BW398" s="193">
        <f t="shared" si="68"/>
        <v>95.2</v>
      </c>
      <c r="BX398" s="193">
        <f t="shared" si="68"/>
        <v>166.6</v>
      </c>
      <c r="BY398" s="193">
        <f t="shared" si="68"/>
        <v>276.40000000000003</v>
      </c>
      <c r="BZ398" s="193">
        <f t="shared" si="68"/>
        <v>161.9</v>
      </c>
      <c r="CA398" s="193">
        <f t="shared" ref="CA398:CB398" si="69">+SUM(CA399:CA407)</f>
        <v>217.4</v>
      </c>
      <c r="CB398" s="193">
        <f t="shared" si="69"/>
        <v>114.7</v>
      </c>
      <c r="CC398" s="193">
        <f t="shared" ref="CC398:CD398" si="70">+SUM(CC399:CC407)</f>
        <v>137.80000000000001</v>
      </c>
      <c r="CD398" s="193">
        <f t="shared" si="70"/>
        <v>173.9</v>
      </c>
      <c r="CE398" s="193">
        <f t="shared" ref="CE398:CF398" si="71">+SUM(CE399:CE407)</f>
        <v>397.1</v>
      </c>
      <c r="CF398" s="193">
        <f t="shared" si="71"/>
        <v>143.5</v>
      </c>
      <c r="CG398" s="193">
        <f t="shared" ref="CG398:CH398" si="72">+SUM(CG399:CG407)</f>
        <v>227.29999999999998</v>
      </c>
      <c r="CH398" s="193">
        <f t="shared" si="72"/>
        <v>119.80000000000001</v>
      </c>
      <c r="CI398" s="193">
        <f t="shared" ref="CI398:CJ398" si="73">+SUM(CI399:CI407)</f>
        <v>48.8</v>
      </c>
      <c r="CJ398" s="193">
        <f t="shared" si="73"/>
        <v>133.5</v>
      </c>
      <c r="CK398" s="88"/>
    </row>
    <row r="399" spans="1:123" x14ac:dyDescent="0.3">
      <c r="A399" s="173"/>
      <c r="B399" s="197" t="s">
        <v>164</v>
      </c>
      <c r="C399" s="198">
        <v>0</v>
      </c>
      <c r="D399" s="198">
        <v>0</v>
      </c>
      <c r="E399" s="198">
        <v>0</v>
      </c>
      <c r="F399" s="198">
        <v>0</v>
      </c>
      <c r="G399" s="198">
        <v>0</v>
      </c>
      <c r="H399" s="198">
        <v>0</v>
      </c>
      <c r="I399" s="198">
        <v>0</v>
      </c>
      <c r="J399" s="198">
        <v>0</v>
      </c>
      <c r="K399" s="198">
        <v>0</v>
      </c>
      <c r="L399" s="198">
        <v>0</v>
      </c>
      <c r="M399" s="198">
        <v>0</v>
      </c>
      <c r="N399" s="198">
        <v>0</v>
      </c>
      <c r="O399" s="198">
        <v>0</v>
      </c>
      <c r="P399" s="198">
        <v>0</v>
      </c>
      <c r="Q399" s="198">
        <v>0</v>
      </c>
      <c r="R399" s="198">
        <v>0</v>
      </c>
      <c r="S399" s="198">
        <v>0</v>
      </c>
      <c r="T399" s="198">
        <v>0</v>
      </c>
      <c r="U399" s="198">
        <v>0</v>
      </c>
      <c r="V399" s="198">
        <v>0</v>
      </c>
      <c r="W399" s="198">
        <v>0</v>
      </c>
      <c r="X399" s="198">
        <v>0</v>
      </c>
      <c r="Y399" s="198">
        <v>0</v>
      </c>
      <c r="Z399" s="198">
        <v>0</v>
      </c>
      <c r="AA399" s="198">
        <v>0</v>
      </c>
      <c r="AB399" s="198">
        <v>0</v>
      </c>
      <c r="AC399" s="198">
        <v>0</v>
      </c>
      <c r="AD399" s="198">
        <v>0</v>
      </c>
      <c r="AE399" s="198">
        <v>0</v>
      </c>
      <c r="AF399" s="198">
        <v>0.1</v>
      </c>
      <c r="AG399" s="198">
        <v>0</v>
      </c>
      <c r="AH399" s="198">
        <v>0</v>
      </c>
      <c r="AI399" s="198">
        <v>0</v>
      </c>
      <c r="AJ399" s="198">
        <v>0</v>
      </c>
      <c r="AK399" s="198">
        <v>0</v>
      </c>
      <c r="AL399" s="198">
        <v>0.5</v>
      </c>
      <c r="AM399" s="198">
        <v>0</v>
      </c>
      <c r="AN399" s="198">
        <v>0</v>
      </c>
      <c r="AO399" s="198">
        <v>0</v>
      </c>
      <c r="AP399" s="198">
        <v>0</v>
      </c>
      <c r="AQ399" s="198">
        <v>0</v>
      </c>
      <c r="AR399" s="198">
        <v>0.5</v>
      </c>
      <c r="AS399" s="198">
        <v>0</v>
      </c>
      <c r="AT399" s="198">
        <v>0</v>
      </c>
      <c r="AU399" s="198">
        <v>0</v>
      </c>
      <c r="AV399" s="198">
        <v>0</v>
      </c>
      <c r="AW399" s="198">
        <v>0</v>
      </c>
      <c r="AX399" s="198">
        <v>0.9</v>
      </c>
      <c r="AY399" s="198">
        <v>0</v>
      </c>
      <c r="AZ399" s="198">
        <v>0</v>
      </c>
      <c r="BA399" s="198">
        <v>0</v>
      </c>
      <c r="BB399" s="198">
        <v>0</v>
      </c>
      <c r="BC399" s="198">
        <v>0</v>
      </c>
      <c r="BD399" s="198">
        <v>0.9</v>
      </c>
      <c r="BE399" s="198">
        <v>0</v>
      </c>
      <c r="BF399" s="198">
        <v>0</v>
      </c>
      <c r="BG399" s="198">
        <v>0</v>
      </c>
      <c r="BH399" s="198">
        <v>0</v>
      </c>
      <c r="BI399" s="198">
        <v>0</v>
      </c>
      <c r="BJ399" s="198">
        <v>1.4</v>
      </c>
      <c r="BK399" s="198">
        <v>0</v>
      </c>
      <c r="BL399" s="198">
        <v>0</v>
      </c>
      <c r="BM399" s="198">
        <v>0</v>
      </c>
      <c r="BN399" s="198">
        <v>0</v>
      </c>
      <c r="BO399" s="198">
        <v>0</v>
      </c>
      <c r="BP399" s="198">
        <v>1.4</v>
      </c>
      <c r="BQ399" s="198">
        <v>0</v>
      </c>
      <c r="BR399" s="198">
        <v>0.2</v>
      </c>
      <c r="BS399" s="198">
        <v>0</v>
      </c>
      <c r="BT399" s="198">
        <v>0</v>
      </c>
      <c r="BU399" s="198">
        <v>0</v>
      </c>
      <c r="BV399" s="198">
        <v>1.4</v>
      </c>
      <c r="BW399" s="198">
        <v>0</v>
      </c>
      <c r="BX399" s="198">
        <v>1.1000000000000001</v>
      </c>
      <c r="BY399" s="198">
        <v>0</v>
      </c>
      <c r="BZ399" s="198">
        <v>0</v>
      </c>
      <c r="CA399" s="198">
        <v>0</v>
      </c>
      <c r="CB399" s="198">
        <v>1.4</v>
      </c>
      <c r="CC399" s="198">
        <v>0</v>
      </c>
      <c r="CD399" s="198">
        <v>1.1000000000000001</v>
      </c>
      <c r="CE399" s="198">
        <v>0</v>
      </c>
      <c r="CF399" s="198">
        <v>0</v>
      </c>
      <c r="CG399" s="198">
        <v>0</v>
      </c>
      <c r="CH399" s="198">
        <v>1.4</v>
      </c>
      <c r="CI399" s="198">
        <v>0</v>
      </c>
      <c r="CJ399" s="198">
        <v>1.1000000000000001</v>
      </c>
      <c r="CK399" s="88"/>
    </row>
    <row r="400" spans="1:123" x14ac:dyDescent="0.3">
      <c r="A400" s="173"/>
      <c r="B400" s="197" t="s">
        <v>145</v>
      </c>
      <c r="C400" s="198">
        <v>0</v>
      </c>
      <c r="D400" s="198">
        <v>0</v>
      </c>
      <c r="E400" s="198">
        <v>0</v>
      </c>
      <c r="F400" s="198">
        <v>0</v>
      </c>
      <c r="G400" s="198">
        <v>0</v>
      </c>
      <c r="H400" s="198">
        <v>0</v>
      </c>
      <c r="I400" s="198">
        <v>0</v>
      </c>
      <c r="J400" s="198">
        <v>0</v>
      </c>
      <c r="K400" s="198">
        <v>0</v>
      </c>
      <c r="L400" s="198">
        <v>0</v>
      </c>
      <c r="M400" s="198">
        <v>0</v>
      </c>
      <c r="N400" s="198">
        <v>0</v>
      </c>
      <c r="O400" s="198">
        <v>0</v>
      </c>
      <c r="P400" s="198">
        <v>0</v>
      </c>
      <c r="Q400" s="198">
        <v>0</v>
      </c>
      <c r="R400" s="198">
        <v>0</v>
      </c>
      <c r="S400" s="198">
        <v>0</v>
      </c>
      <c r="T400" s="198">
        <v>0</v>
      </c>
      <c r="U400" s="198">
        <v>0</v>
      </c>
      <c r="V400" s="198">
        <v>0</v>
      </c>
      <c r="W400" s="198">
        <v>0</v>
      </c>
      <c r="X400" s="198">
        <v>0</v>
      </c>
      <c r="Y400" s="198">
        <v>0</v>
      </c>
      <c r="Z400" s="198">
        <v>0</v>
      </c>
      <c r="AA400" s="198">
        <v>0</v>
      </c>
      <c r="AB400" s="198">
        <v>0</v>
      </c>
      <c r="AC400" s="198">
        <v>5</v>
      </c>
      <c r="AD400" s="198">
        <v>0</v>
      </c>
      <c r="AE400" s="198">
        <v>0</v>
      </c>
      <c r="AF400" s="198">
        <v>0</v>
      </c>
      <c r="AG400" s="198">
        <v>0</v>
      </c>
      <c r="AH400" s="198">
        <v>0</v>
      </c>
      <c r="AI400" s="198">
        <v>5</v>
      </c>
      <c r="AJ400" s="198">
        <v>0.2</v>
      </c>
      <c r="AK400" s="198">
        <v>0</v>
      </c>
      <c r="AL400" s="198">
        <v>0</v>
      </c>
      <c r="AM400" s="198">
        <v>0</v>
      </c>
      <c r="AN400" s="198">
        <v>0</v>
      </c>
      <c r="AO400" s="198">
        <v>5</v>
      </c>
      <c r="AP400" s="198">
        <v>0.5</v>
      </c>
      <c r="AQ400" s="198">
        <v>0</v>
      </c>
      <c r="AR400" s="198">
        <v>0</v>
      </c>
      <c r="AS400" s="198">
        <v>0</v>
      </c>
      <c r="AT400" s="198">
        <v>0</v>
      </c>
      <c r="AU400" s="198">
        <v>5</v>
      </c>
      <c r="AV400" s="198">
        <v>0.6</v>
      </c>
      <c r="AW400" s="198">
        <v>0</v>
      </c>
      <c r="AX400" s="198">
        <v>0</v>
      </c>
      <c r="AY400" s="198">
        <v>0</v>
      </c>
      <c r="AZ400" s="198">
        <v>0</v>
      </c>
      <c r="BA400" s="198">
        <v>5</v>
      </c>
      <c r="BB400" s="198">
        <v>0.6</v>
      </c>
      <c r="BC400" s="198">
        <v>0</v>
      </c>
      <c r="BD400" s="198">
        <v>0</v>
      </c>
      <c r="BE400" s="198">
        <v>0</v>
      </c>
      <c r="BF400" s="198">
        <v>0</v>
      </c>
      <c r="BG400" s="198">
        <v>5</v>
      </c>
      <c r="BH400" s="198">
        <v>0.6</v>
      </c>
      <c r="BI400" s="198">
        <v>0</v>
      </c>
      <c r="BJ400" s="198">
        <v>0</v>
      </c>
      <c r="BK400" s="198">
        <v>0</v>
      </c>
      <c r="BL400" s="198">
        <v>0</v>
      </c>
      <c r="BM400" s="198">
        <v>5</v>
      </c>
      <c r="BN400" s="198">
        <v>0.6</v>
      </c>
      <c r="BO400" s="198">
        <v>0</v>
      </c>
      <c r="BP400" s="198">
        <v>0</v>
      </c>
      <c r="BQ400" s="198">
        <v>0</v>
      </c>
      <c r="BR400" s="198">
        <v>0</v>
      </c>
      <c r="BS400" s="198">
        <v>5</v>
      </c>
      <c r="BT400" s="198">
        <v>0.9</v>
      </c>
      <c r="BU400" s="198">
        <v>0</v>
      </c>
      <c r="BV400" s="198">
        <v>0</v>
      </c>
      <c r="BW400" s="198">
        <v>0</v>
      </c>
      <c r="BX400" s="198">
        <v>0</v>
      </c>
      <c r="BY400" s="198">
        <v>5</v>
      </c>
      <c r="BZ400" s="198">
        <v>1.2</v>
      </c>
      <c r="CA400" s="198">
        <v>0</v>
      </c>
      <c r="CB400" s="198">
        <v>0</v>
      </c>
      <c r="CC400" s="198">
        <v>0</v>
      </c>
      <c r="CD400" s="198">
        <v>0</v>
      </c>
      <c r="CE400" s="198">
        <v>5</v>
      </c>
      <c r="CF400" s="198">
        <v>1.9</v>
      </c>
      <c r="CG400" s="198">
        <v>0</v>
      </c>
      <c r="CH400" s="198">
        <v>0</v>
      </c>
      <c r="CI400" s="198">
        <v>0</v>
      </c>
      <c r="CJ400" s="198">
        <v>0</v>
      </c>
      <c r="CK400" s="88"/>
    </row>
    <row r="401" spans="1:89" x14ac:dyDescent="0.3">
      <c r="A401" s="173"/>
      <c r="B401" s="197" t="s">
        <v>81</v>
      </c>
      <c r="C401" s="198">
        <v>53.3</v>
      </c>
      <c r="D401" s="198">
        <v>56.2</v>
      </c>
      <c r="E401" s="198">
        <v>112.4</v>
      </c>
      <c r="F401" s="198">
        <v>60.1</v>
      </c>
      <c r="G401" s="198">
        <v>94.2</v>
      </c>
      <c r="H401" s="198">
        <v>51.8</v>
      </c>
      <c r="I401" s="198">
        <v>53.4</v>
      </c>
      <c r="J401" s="198">
        <v>66.599999999999994</v>
      </c>
      <c r="K401" s="198">
        <v>122.5</v>
      </c>
      <c r="L401" s="198">
        <v>56</v>
      </c>
      <c r="M401" s="198">
        <v>95</v>
      </c>
      <c r="N401" s="198">
        <v>52</v>
      </c>
      <c r="O401" s="198">
        <v>53.9</v>
      </c>
      <c r="P401" s="198">
        <v>65.099999999999994</v>
      </c>
      <c r="Q401" s="198">
        <v>121.1</v>
      </c>
      <c r="R401" s="198">
        <v>50.7</v>
      </c>
      <c r="S401" s="198">
        <v>90.2</v>
      </c>
      <c r="T401" s="198">
        <v>51.5</v>
      </c>
      <c r="U401" s="198">
        <v>60.4</v>
      </c>
      <c r="V401" s="198">
        <v>62.9</v>
      </c>
      <c r="W401" s="198">
        <v>123.2</v>
      </c>
      <c r="X401" s="198">
        <v>45.6</v>
      </c>
      <c r="Y401" s="198">
        <v>96.6</v>
      </c>
      <c r="Z401" s="198">
        <v>43.4</v>
      </c>
      <c r="AA401" s="198">
        <v>55.1</v>
      </c>
      <c r="AB401" s="198">
        <v>62.9</v>
      </c>
      <c r="AC401" s="198">
        <v>129.9</v>
      </c>
      <c r="AD401" s="198">
        <v>50.9</v>
      </c>
      <c r="AE401" s="198">
        <v>99.9</v>
      </c>
      <c r="AF401" s="198">
        <v>43.4</v>
      </c>
      <c r="AG401" s="198">
        <v>2.8</v>
      </c>
      <c r="AH401" s="198">
        <v>86.2</v>
      </c>
      <c r="AI401" s="198">
        <v>146.69999999999999</v>
      </c>
      <c r="AJ401" s="198">
        <v>53.5</v>
      </c>
      <c r="AK401" s="198">
        <v>108.8</v>
      </c>
      <c r="AL401" s="198">
        <v>27.1</v>
      </c>
      <c r="AM401" s="198">
        <v>48.7</v>
      </c>
      <c r="AN401" s="198">
        <v>55.8</v>
      </c>
      <c r="AO401" s="198">
        <v>121.3</v>
      </c>
      <c r="AP401" s="198">
        <v>55.6</v>
      </c>
      <c r="AQ401" s="198">
        <v>111</v>
      </c>
      <c r="AR401" s="198">
        <v>27.5</v>
      </c>
      <c r="AS401" s="198">
        <v>3</v>
      </c>
      <c r="AT401" s="198">
        <v>84.2</v>
      </c>
      <c r="AU401" s="198">
        <v>139.4</v>
      </c>
      <c r="AV401" s="198">
        <v>60.7</v>
      </c>
      <c r="AW401" s="198">
        <v>111.9</v>
      </c>
      <c r="AX401" s="198">
        <v>27.1</v>
      </c>
      <c r="AY401" s="198">
        <v>49.2</v>
      </c>
      <c r="AZ401" s="198">
        <v>39.1</v>
      </c>
      <c r="BA401" s="198">
        <v>149.69999999999999</v>
      </c>
      <c r="BB401" s="198">
        <v>65.599999999999994</v>
      </c>
      <c r="BC401" s="198">
        <v>112.6</v>
      </c>
      <c r="BD401" s="198">
        <v>27.1</v>
      </c>
      <c r="BE401" s="198">
        <v>51.8</v>
      </c>
      <c r="BF401" s="198">
        <v>39.6</v>
      </c>
      <c r="BG401" s="198">
        <v>149.30000000000001</v>
      </c>
      <c r="BH401" s="198">
        <v>68.599999999999994</v>
      </c>
      <c r="BI401" s="198">
        <v>113.5</v>
      </c>
      <c r="BJ401" s="198">
        <v>29.9</v>
      </c>
      <c r="BK401" s="198">
        <v>52.4</v>
      </c>
      <c r="BL401" s="198">
        <v>54.8</v>
      </c>
      <c r="BM401" s="198">
        <v>154.1</v>
      </c>
      <c r="BN401" s="198">
        <v>68.7</v>
      </c>
      <c r="BO401" s="198">
        <v>143.6</v>
      </c>
      <c r="BP401" s="198">
        <v>30.1</v>
      </c>
      <c r="BQ401" s="198">
        <v>56.2</v>
      </c>
      <c r="BR401" s="198">
        <v>55.4</v>
      </c>
      <c r="BS401" s="198">
        <v>154.9</v>
      </c>
      <c r="BT401" s="198">
        <v>70.2</v>
      </c>
      <c r="BU401" s="198">
        <v>485.4</v>
      </c>
      <c r="BV401" s="198">
        <v>33.200000000000003</v>
      </c>
      <c r="BW401" s="198">
        <v>55.9</v>
      </c>
      <c r="BX401" s="198">
        <v>70.7</v>
      </c>
      <c r="BY401" s="198">
        <v>139.80000000000001</v>
      </c>
      <c r="BZ401" s="198">
        <v>65.8</v>
      </c>
      <c r="CA401" s="198">
        <v>165.3</v>
      </c>
      <c r="CB401" s="198">
        <v>17.2</v>
      </c>
      <c r="CC401" s="198">
        <v>98.8</v>
      </c>
      <c r="CD401" s="198">
        <v>73.400000000000006</v>
      </c>
      <c r="CE401" s="198">
        <v>253</v>
      </c>
      <c r="CF401" s="198">
        <v>66.900000000000006</v>
      </c>
      <c r="CG401" s="198">
        <v>174.1</v>
      </c>
      <c r="CH401" s="198">
        <v>18.3</v>
      </c>
      <c r="CI401" s="198">
        <v>11</v>
      </c>
      <c r="CJ401" s="198">
        <v>96.4</v>
      </c>
      <c r="CK401" s="88"/>
    </row>
    <row r="402" spans="1:89" x14ac:dyDescent="0.3">
      <c r="A402" s="173"/>
      <c r="B402" s="197" t="s">
        <v>80</v>
      </c>
      <c r="C402" s="198">
        <v>30.6</v>
      </c>
      <c r="D402" s="198">
        <v>9.1999999999999993</v>
      </c>
      <c r="E402" s="198">
        <v>117.4</v>
      </c>
      <c r="F402" s="198">
        <v>57.8</v>
      </c>
      <c r="G402" s="198">
        <v>22.5</v>
      </c>
      <c r="H402" s="198">
        <v>33.6</v>
      </c>
      <c r="I402" s="198">
        <v>30.6</v>
      </c>
      <c r="J402" s="198">
        <v>2.8</v>
      </c>
      <c r="K402" s="198">
        <v>92.2</v>
      </c>
      <c r="L402" s="198">
        <v>58</v>
      </c>
      <c r="M402" s="198">
        <v>23</v>
      </c>
      <c r="N402" s="198">
        <v>34</v>
      </c>
      <c r="O402" s="198">
        <v>30.6</v>
      </c>
      <c r="P402" s="198">
        <v>2.8</v>
      </c>
      <c r="Q402" s="198">
        <v>99.5</v>
      </c>
      <c r="R402" s="198">
        <v>55.7</v>
      </c>
      <c r="S402" s="198">
        <v>17.600000000000001</v>
      </c>
      <c r="T402" s="198">
        <v>33.6</v>
      </c>
      <c r="U402" s="198">
        <v>30.6</v>
      </c>
      <c r="V402" s="198">
        <v>2.8</v>
      </c>
      <c r="W402" s="198">
        <v>75</v>
      </c>
      <c r="X402" s="198">
        <v>52.6</v>
      </c>
      <c r="Y402" s="198">
        <v>19.2</v>
      </c>
      <c r="Z402" s="198">
        <v>33.799999999999997</v>
      </c>
      <c r="AA402" s="198">
        <v>30.6</v>
      </c>
      <c r="AB402" s="198">
        <v>2.9</v>
      </c>
      <c r="AC402" s="198">
        <v>76.099999999999994</v>
      </c>
      <c r="AD402" s="198">
        <v>43.8</v>
      </c>
      <c r="AE402" s="198">
        <v>17.600000000000001</v>
      </c>
      <c r="AF402" s="198">
        <v>34</v>
      </c>
      <c r="AG402" s="198">
        <v>30.6</v>
      </c>
      <c r="AH402" s="198">
        <v>2.8</v>
      </c>
      <c r="AI402" s="198">
        <v>73</v>
      </c>
      <c r="AJ402" s="198">
        <v>35.5</v>
      </c>
      <c r="AK402" s="198">
        <v>13.5</v>
      </c>
      <c r="AL402" s="198">
        <v>34.200000000000003</v>
      </c>
      <c r="AM402" s="198">
        <v>15.2</v>
      </c>
      <c r="AN402" s="198">
        <v>2.8</v>
      </c>
      <c r="AO402" s="198">
        <v>61.9</v>
      </c>
      <c r="AP402" s="198">
        <v>26.3</v>
      </c>
      <c r="AQ402" s="198">
        <v>13.5</v>
      </c>
      <c r="AR402" s="198">
        <v>48.6</v>
      </c>
      <c r="AS402" s="198">
        <v>2.5</v>
      </c>
      <c r="AT402" s="198">
        <v>3.4</v>
      </c>
      <c r="AU402" s="198">
        <v>57.3</v>
      </c>
      <c r="AV402" s="198">
        <v>32.6</v>
      </c>
      <c r="AW402" s="198">
        <v>13.5</v>
      </c>
      <c r="AX402" s="198">
        <v>28.8</v>
      </c>
      <c r="AY402" s="198">
        <v>0</v>
      </c>
      <c r="AZ402" s="198">
        <v>3.2</v>
      </c>
      <c r="BA402" s="198">
        <v>57.5</v>
      </c>
      <c r="BB402" s="198">
        <v>31.6</v>
      </c>
      <c r="BC402" s="198">
        <v>13.6</v>
      </c>
      <c r="BD402" s="198">
        <v>32.299999999999997</v>
      </c>
      <c r="BE402" s="198">
        <v>1.5</v>
      </c>
      <c r="BF402" s="198">
        <v>3.2</v>
      </c>
      <c r="BG402" s="198">
        <v>57.5</v>
      </c>
      <c r="BH402" s="198">
        <v>32.200000000000003</v>
      </c>
      <c r="BI402" s="198">
        <v>26</v>
      </c>
      <c r="BJ402" s="198">
        <v>32.5</v>
      </c>
      <c r="BK402" s="198">
        <v>1</v>
      </c>
      <c r="BL402" s="198">
        <v>3.2</v>
      </c>
      <c r="BM402" s="198">
        <v>63.1</v>
      </c>
      <c r="BN402" s="198">
        <v>30.3</v>
      </c>
      <c r="BO402" s="198">
        <v>29.1</v>
      </c>
      <c r="BP402" s="198">
        <v>32.6</v>
      </c>
      <c r="BQ402" s="198">
        <v>11.1</v>
      </c>
      <c r="BR402" s="198">
        <v>3.4</v>
      </c>
      <c r="BS402" s="198">
        <v>60</v>
      </c>
      <c r="BT402" s="198">
        <v>32.5</v>
      </c>
      <c r="BU402" s="198">
        <v>29.1</v>
      </c>
      <c r="BV402" s="198">
        <v>32.6</v>
      </c>
      <c r="BW402" s="198">
        <v>2.9</v>
      </c>
      <c r="BX402" s="198">
        <v>3.2</v>
      </c>
      <c r="BY402" s="198">
        <v>60.1</v>
      </c>
      <c r="BZ402" s="198">
        <v>61.8</v>
      </c>
      <c r="CA402" s="198">
        <v>29.1</v>
      </c>
      <c r="CB402" s="198">
        <v>32.6</v>
      </c>
      <c r="CC402" s="198">
        <v>4.2</v>
      </c>
      <c r="CD402" s="198">
        <v>3.8</v>
      </c>
      <c r="CE402" s="198">
        <v>60.7</v>
      </c>
      <c r="CF402" s="198">
        <v>38.6</v>
      </c>
      <c r="CG402" s="198">
        <v>29.1</v>
      </c>
      <c r="CH402" s="198">
        <v>32.6</v>
      </c>
      <c r="CI402" s="198">
        <v>3.3</v>
      </c>
      <c r="CJ402" s="198">
        <v>4.0999999999999996</v>
      </c>
      <c r="CK402" s="88"/>
    </row>
    <row r="403" spans="1:89" x14ac:dyDescent="0.3">
      <c r="A403" s="173"/>
      <c r="B403" s="197" t="s">
        <v>82</v>
      </c>
      <c r="C403" s="198">
        <v>2</v>
      </c>
      <c r="D403" s="198">
        <v>0.4</v>
      </c>
      <c r="E403" s="198">
        <v>33.700000000000003</v>
      </c>
      <c r="F403" s="198">
        <v>12.9</v>
      </c>
      <c r="G403" s="198">
        <v>24</v>
      </c>
      <c r="H403" s="198">
        <v>78.5</v>
      </c>
      <c r="I403" s="198">
        <v>17.7</v>
      </c>
      <c r="J403" s="198">
        <v>36.5</v>
      </c>
      <c r="K403" s="198">
        <v>22.1</v>
      </c>
      <c r="L403" s="198">
        <v>12</v>
      </c>
      <c r="M403" s="198">
        <v>27</v>
      </c>
      <c r="N403" s="198">
        <v>81</v>
      </c>
      <c r="O403" s="198">
        <v>20.100000000000001</v>
      </c>
      <c r="P403" s="198">
        <v>75.599999999999994</v>
      </c>
      <c r="Q403" s="198">
        <v>38.4</v>
      </c>
      <c r="R403" s="198">
        <v>14</v>
      </c>
      <c r="S403" s="198">
        <v>31.3</v>
      </c>
      <c r="T403" s="198">
        <v>81.900000000000006</v>
      </c>
      <c r="U403" s="198">
        <v>20</v>
      </c>
      <c r="V403" s="198">
        <v>95.8</v>
      </c>
      <c r="W403" s="198">
        <v>25.1</v>
      </c>
      <c r="X403" s="198">
        <v>15.6</v>
      </c>
      <c r="Y403" s="198">
        <v>31.3</v>
      </c>
      <c r="Z403" s="198">
        <v>83.1</v>
      </c>
      <c r="AA403" s="198">
        <v>26.3</v>
      </c>
      <c r="AB403" s="198">
        <v>81.2</v>
      </c>
      <c r="AC403" s="198">
        <v>47.6</v>
      </c>
      <c r="AD403" s="198">
        <v>15.5</v>
      </c>
      <c r="AE403" s="198">
        <v>31.3</v>
      </c>
      <c r="AF403" s="198">
        <v>68.900000000000006</v>
      </c>
      <c r="AG403" s="198">
        <v>43</v>
      </c>
      <c r="AH403" s="198">
        <v>97.1</v>
      </c>
      <c r="AI403" s="198">
        <v>32.6</v>
      </c>
      <c r="AJ403" s="198">
        <v>15.5</v>
      </c>
      <c r="AK403" s="198">
        <v>31.5</v>
      </c>
      <c r="AL403" s="198">
        <v>70.599999999999994</v>
      </c>
      <c r="AM403" s="198">
        <v>43.4</v>
      </c>
      <c r="AN403" s="198">
        <v>82.8</v>
      </c>
      <c r="AO403" s="198">
        <v>48.7</v>
      </c>
      <c r="AP403" s="198">
        <v>17.100000000000001</v>
      </c>
      <c r="AQ403" s="198">
        <v>18.2</v>
      </c>
      <c r="AR403" s="198">
        <v>74.8</v>
      </c>
      <c r="AS403" s="198">
        <v>63.7</v>
      </c>
      <c r="AT403" s="198">
        <v>115.4</v>
      </c>
      <c r="AU403" s="198">
        <v>35</v>
      </c>
      <c r="AV403" s="198">
        <v>17.2</v>
      </c>
      <c r="AW403" s="198">
        <v>18.5</v>
      </c>
      <c r="AX403" s="198">
        <v>75.400000000000006</v>
      </c>
      <c r="AY403" s="198">
        <v>34.799999999999997</v>
      </c>
      <c r="AZ403" s="198">
        <v>84.4</v>
      </c>
      <c r="BA403" s="198">
        <v>40.700000000000003</v>
      </c>
      <c r="BB403" s="198">
        <v>17.399999999999999</v>
      </c>
      <c r="BC403" s="198">
        <v>18.7</v>
      </c>
      <c r="BD403" s="198">
        <v>65.8</v>
      </c>
      <c r="BE403" s="198">
        <v>35.9</v>
      </c>
      <c r="BF403" s="198">
        <v>89.1</v>
      </c>
      <c r="BG403" s="198">
        <v>34.9</v>
      </c>
      <c r="BH403" s="198">
        <v>19.5</v>
      </c>
      <c r="BI403" s="198">
        <v>14.3</v>
      </c>
      <c r="BJ403" s="198">
        <v>65.8</v>
      </c>
      <c r="BK403" s="198">
        <v>36.799999999999997</v>
      </c>
      <c r="BL403" s="198">
        <v>1048.5999999999999</v>
      </c>
      <c r="BM403" s="198">
        <v>40.200000000000003</v>
      </c>
      <c r="BN403" s="198">
        <v>13.7</v>
      </c>
      <c r="BO403" s="198">
        <v>15.2</v>
      </c>
      <c r="BP403" s="198">
        <v>66.2</v>
      </c>
      <c r="BQ403" s="198">
        <v>36.6</v>
      </c>
      <c r="BR403" s="198">
        <v>92.7</v>
      </c>
      <c r="BS403" s="198">
        <v>52</v>
      </c>
      <c r="BT403" s="198">
        <v>28.2</v>
      </c>
      <c r="BU403" s="198">
        <v>16.2</v>
      </c>
      <c r="BV403" s="198">
        <v>64.5</v>
      </c>
      <c r="BW403" s="198">
        <v>32.6</v>
      </c>
      <c r="BX403" s="198">
        <v>89.7</v>
      </c>
      <c r="BY403" s="198">
        <v>49.5</v>
      </c>
      <c r="BZ403" s="198">
        <v>29.9</v>
      </c>
      <c r="CA403" s="198">
        <v>18.100000000000001</v>
      </c>
      <c r="CB403" s="198">
        <v>53.9</v>
      </c>
      <c r="CC403" s="198">
        <v>32.799999999999997</v>
      </c>
      <c r="CD403" s="198">
        <v>93.7</v>
      </c>
      <c r="CE403" s="198">
        <v>58.8</v>
      </c>
      <c r="CF403" s="198">
        <v>32.9</v>
      </c>
      <c r="CG403" s="198">
        <v>19.100000000000001</v>
      </c>
      <c r="CH403" s="198">
        <v>57.3</v>
      </c>
      <c r="CI403" s="198">
        <v>32.5</v>
      </c>
      <c r="CJ403" s="198">
        <v>30.5</v>
      </c>
      <c r="CK403" s="88"/>
    </row>
    <row r="404" spans="1:89" x14ac:dyDescent="0.3">
      <c r="A404" s="173"/>
      <c r="B404" s="197" t="s">
        <v>92</v>
      </c>
      <c r="C404" s="198">
        <v>0</v>
      </c>
      <c r="D404" s="198">
        <v>0</v>
      </c>
      <c r="E404" s="198">
        <v>0</v>
      </c>
      <c r="F404" s="198">
        <v>0.6</v>
      </c>
      <c r="G404" s="198">
        <v>0</v>
      </c>
      <c r="H404" s="198">
        <v>2.2000000000000002</v>
      </c>
      <c r="I404" s="198">
        <v>0</v>
      </c>
      <c r="J404" s="198">
        <v>0</v>
      </c>
      <c r="K404" s="198">
        <v>0</v>
      </c>
      <c r="L404" s="198">
        <v>1</v>
      </c>
      <c r="M404" s="198">
        <v>0</v>
      </c>
      <c r="N404" s="198">
        <v>2</v>
      </c>
      <c r="O404" s="198">
        <v>0</v>
      </c>
      <c r="P404" s="198">
        <v>0</v>
      </c>
      <c r="Q404" s="198">
        <v>0</v>
      </c>
      <c r="R404" s="198">
        <v>0.6</v>
      </c>
      <c r="S404" s="198">
        <v>0</v>
      </c>
      <c r="T404" s="198">
        <v>2.2000000000000002</v>
      </c>
      <c r="U404" s="198">
        <v>0</v>
      </c>
      <c r="V404" s="198">
        <v>0</v>
      </c>
      <c r="W404" s="198">
        <v>0</v>
      </c>
      <c r="X404" s="198">
        <v>0.6</v>
      </c>
      <c r="Y404" s="198">
        <v>0</v>
      </c>
      <c r="Z404" s="198">
        <v>2.2999999999999998</v>
      </c>
      <c r="AA404" s="198">
        <v>0</v>
      </c>
      <c r="AB404" s="198">
        <v>0</v>
      </c>
      <c r="AC404" s="198">
        <v>0.1</v>
      </c>
      <c r="AD404" s="198">
        <v>0.6</v>
      </c>
      <c r="AE404" s="198">
        <v>0.1</v>
      </c>
      <c r="AF404" s="198">
        <v>3.3</v>
      </c>
      <c r="AG404" s="198">
        <v>0</v>
      </c>
      <c r="AH404" s="198">
        <v>0</v>
      </c>
      <c r="AI404" s="198">
        <v>0</v>
      </c>
      <c r="AJ404" s="198">
        <v>0.6</v>
      </c>
      <c r="AK404" s="198">
        <v>0</v>
      </c>
      <c r="AL404" s="198">
        <v>3.1</v>
      </c>
      <c r="AM404" s="198">
        <v>0</v>
      </c>
      <c r="AN404" s="198">
        <v>0</v>
      </c>
      <c r="AO404" s="198">
        <v>0</v>
      </c>
      <c r="AP404" s="198">
        <v>0.6</v>
      </c>
      <c r="AQ404" s="198">
        <v>0</v>
      </c>
      <c r="AR404" s="198">
        <v>2.5</v>
      </c>
      <c r="AS404" s="198">
        <v>0</v>
      </c>
      <c r="AT404" s="198">
        <v>0</v>
      </c>
      <c r="AU404" s="198">
        <v>0</v>
      </c>
      <c r="AV404" s="198">
        <v>0.6</v>
      </c>
      <c r="AW404" s="198">
        <v>0</v>
      </c>
      <c r="AX404" s="198">
        <v>2.5</v>
      </c>
      <c r="AY404" s="198">
        <v>0</v>
      </c>
      <c r="AZ404" s="198">
        <v>0</v>
      </c>
      <c r="BA404" s="198">
        <v>0</v>
      </c>
      <c r="BB404" s="198">
        <v>0.6</v>
      </c>
      <c r="BC404" s="198">
        <v>0</v>
      </c>
      <c r="BD404" s="198">
        <v>1.9</v>
      </c>
      <c r="BE404" s="198">
        <v>0</v>
      </c>
      <c r="BF404" s="198">
        <v>0</v>
      </c>
      <c r="BG404" s="198">
        <v>0</v>
      </c>
      <c r="BH404" s="198">
        <v>0.6</v>
      </c>
      <c r="BI404" s="198">
        <v>0</v>
      </c>
      <c r="BJ404" s="198">
        <v>1.9</v>
      </c>
      <c r="BK404" s="198">
        <v>0</v>
      </c>
      <c r="BL404" s="198">
        <v>0</v>
      </c>
      <c r="BM404" s="198">
        <v>0</v>
      </c>
      <c r="BN404" s="198">
        <v>0.6</v>
      </c>
      <c r="BO404" s="198">
        <v>0</v>
      </c>
      <c r="BP404" s="198">
        <v>1.9</v>
      </c>
      <c r="BQ404" s="198">
        <v>0</v>
      </c>
      <c r="BR404" s="198">
        <v>0</v>
      </c>
      <c r="BS404" s="198">
        <v>0</v>
      </c>
      <c r="BT404" s="198">
        <v>0.6</v>
      </c>
      <c r="BU404" s="198">
        <v>0</v>
      </c>
      <c r="BV404" s="198">
        <v>1.9</v>
      </c>
      <c r="BW404" s="198">
        <v>0</v>
      </c>
      <c r="BX404" s="198">
        <v>0</v>
      </c>
      <c r="BY404" s="198">
        <v>0</v>
      </c>
      <c r="BZ404" s="198">
        <v>0</v>
      </c>
      <c r="CA404" s="198">
        <v>0</v>
      </c>
      <c r="CB404" s="198">
        <v>2</v>
      </c>
      <c r="CC404" s="198">
        <v>0</v>
      </c>
      <c r="CD404" s="198">
        <v>0</v>
      </c>
      <c r="CE404" s="198">
        <v>0</v>
      </c>
      <c r="CF404" s="198">
        <v>0</v>
      </c>
      <c r="CG404" s="198">
        <v>0</v>
      </c>
      <c r="CH404" s="198">
        <v>2.4</v>
      </c>
      <c r="CI404" s="198">
        <v>0</v>
      </c>
      <c r="CJ404" s="198">
        <v>0</v>
      </c>
      <c r="CK404" s="88"/>
    </row>
    <row r="405" spans="1:89" x14ac:dyDescent="0.3">
      <c r="A405" s="173"/>
      <c r="B405" s="197" t="s">
        <v>85</v>
      </c>
      <c r="C405" s="198">
        <v>0</v>
      </c>
      <c r="D405" s="198">
        <v>0</v>
      </c>
      <c r="E405" s="198">
        <v>0</v>
      </c>
      <c r="F405" s="198">
        <v>0</v>
      </c>
      <c r="G405" s="198">
        <v>0</v>
      </c>
      <c r="H405" s="198">
        <v>0</v>
      </c>
      <c r="I405" s="198">
        <v>0</v>
      </c>
      <c r="J405" s="198">
        <v>0</v>
      </c>
      <c r="K405" s="198">
        <v>0</v>
      </c>
      <c r="L405" s="198">
        <v>0</v>
      </c>
      <c r="M405" s="198">
        <v>0</v>
      </c>
      <c r="N405" s="198">
        <v>0</v>
      </c>
      <c r="O405" s="198">
        <v>0</v>
      </c>
      <c r="P405" s="198">
        <v>0</v>
      </c>
      <c r="Q405" s="198">
        <v>0</v>
      </c>
      <c r="R405" s="198">
        <v>0</v>
      </c>
      <c r="S405" s="198">
        <v>0</v>
      </c>
      <c r="T405" s="198">
        <v>0</v>
      </c>
      <c r="U405" s="198">
        <v>0</v>
      </c>
      <c r="V405" s="198">
        <v>0</v>
      </c>
      <c r="W405" s="198">
        <v>0</v>
      </c>
      <c r="X405" s="198">
        <v>0</v>
      </c>
      <c r="Y405" s="198">
        <v>0</v>
      </c>
      <c r="Z405" s="198">
        <v>0</v>
      </c>
      <c r="AA405" s="198">
        <v>0</v>
      </c>
      <c r="AB405" s="198">
        <v>0</v>
      </c>
      <c r="AC405" s="198">
        <v>0</v>
      </c>
      <c r="AD405" s="198">
        <v>0</v>
      </c>
      <c r="AE405" s="198">
        <v>0</v>
      </c>
      <c r="AF405" s="198">
        <v>0</v>
      </c>
      <c r="AG405" s="198">
        <v>0</v>
      </c>
      <c r="AH405" s="198">
        <v>0</v>
      </c>
      <c r="AI405" s="198">
        <v>1889.6</v>
      </c>
      <c r="AJ405" s="198">
        <v>0</v>
      </c>
      <c r="AK405" s="198">
        <v>0</v>
      </c>
      <c r="AL405" s="198">
        <v>1858.4</v>
      </c>
      <c r="AM405" s="198">
        <v>717.3</v>
      </c>
      <c r="AN405" s="198">
        <v>0</v>
      </c>
      <c r="AO405" s="198">
        <v>2809.6</v>
      </c>
      <c r="AP405" s="198">
        <v>708.5</v>
      </c>
      <c r="AQ405" s="198">
        <v>0</v>
      </c>
      <c r="AR405" s="198">
        <v>2718.6</v>
      </c>
      <c r="AS405" s="198">
        <v>1975.2</v>
      </c>
      <c r="AT405" s="198">
        <v>0</v>
      </c>
      <c r="AU405" s="198">
        <v>2621.3000000000002</v>
      </c>
      <c r="AV405" s="198">
        <v>2527.8000000000002</v>
      </c>
      <c r="AW405" s="198">
        <v>0</v>
      </c>
      <c r="AX405" s="198">
        <v>2648.5</v>
      </c>
      <c r="AY405" s="198">
        <v>2638.3</v>
      </c>
      <c r="AZ405" s="198">
        <v>0</v>
      </c>
      <c r="BA405" s="198">
        <v>2676.3</v>
      </c>
      <c r="BB405" s="198">
        <v>2656.7</v>
      </c>
      <c r="BC405" s="198">
        <v>0</v>
      </c>
      <c r="BD405" s="198">
        <v>2673.9</v>
      </c>
      <c r="BE405" s="198">
        <v>2627</v>
      </c>
      <c r="BF405" s="198">
        <v>923.3</v>
      </c>
      <c r="BG405" s="198">
        <v>0</v>
      </c>
      <c r="BH405" s="198">
        <v>0</v>
      </c>
      <c r="BI405" s="198">
        <v>2585.5</v>
      </c>
      <c r="BJ405" s="198">
        <v>916.7</v>
      </c>
      <c r="BK405" s="198">
        <v>1966.8</v>
      </c>
      <c r="BL405" s="198">
        <v>0</v>
      </c>
      <c r="BM405" s="198">
        <v>0</v>
      </c>
      <c r="BN405" s="198">
        <v>1936.3</v>
      </c>
      <c r="BO405" s="198">
        <v>0</v>
      </c>
      <c r="BP405" s="198">
        <v>0</v>
      </c>
      <c r="BQ405" s="198">
        <v>641.20000000000005</v>
      </c>
      <c r="BR405" s="198">
        <v>0</v>
      </c>
      <c r="BS405" s="198">
        <v>0</v>
      </c>
      <c r="BT405" s="198">
        <v>0</v>
      </c>
      <c r="BU405" s="198">
        <v>0</v>
      </c>
      <c r="BV405" s="198">
        <v>0</v>
      </c>
      <c r="BW405" s="198">
        <v>0</v>
      </c>
      <c r="BX405" s="198">
        <v>0</v>
      </c>
      <c r="BY405" s="198">
        <v>0</v>
      </c>
      <c r="BZ405" s="198">
        <v>0</v>
      </c>
      <c r="CA405" s="198">
        <v>0</v>
      </c>
      <c r="CB405" s="198">
        <v>0</v>
      </c>
      <c r="CC405" s="198">
        <v>0</v>
      </c>
      <c r="CD405" s="198">
        <v>0</v>
      </c>
      <c r="CE405" s="198">
        <v>0</v>
      </c>
      <c r="CF405" s="198">
        <v>0</v>
      </c>
      <c r="CG405" s="198">
        <v>0</v>
      </c>
      <c r="CH405" s="198">
        <v>0</v>
      </c>
      <c r="CI405" s="198">
        <v>0</v>
      </c>
      <c r="CJ405" s="198">
        <v>0</v>
      </c>
      <c r="CK405" s="88"/>
    </row>
    <row r="406" spans="1:89" x14ac:dyDescent="0.3">
      <c r="A406" s="173"/>
      <c r="B406" s="197" t="s">
        <v>83</v>
      </c>
      <c r="C406" s="198">
        <v>17.3</v>
      </c>
      <c r="D406" s="198">
        <v>17</v>
      </c>
      <c r="E406" s="198">
        <v>7.9</v>
      </c>
      <c r="F406" s="198">
        <v>0</v>
      </c>
      <c r="G406" s="198">
        <v>2.1</v>
      </c>
      <c r="H406" s="198">
        <v>2</v>
      </c>
      <c r="I406" s="198">
        <v>2</v>
      </c>
      <c r="J406" s="198">
        <v>0.4</v>
      </c>
      <c r="K406" s="198">
        <v>3.4</v>
      </c>
      <c r="L406" s="198">
        <v>0</v>
      </c>
      <c r="M406" s="198">
        <v>1</v>
      </c>
      <c r="N406" s="198">
        <v>3</v>
      </c>
      <c r="O406" s="198">
        <v>2</v>
      </c>
      <c r="P406" s="198">
        <v>0.1</v>
      </c>
      <c r="Q406" s="198">
        <v>1.9</v>
      </c>
      <c r="R406" s="198">
        <v>0</v>
      </c>
      <c r="S406" s="198">
        <v>1</v>
      </c>
      <c r="T406" s="198">
        <v>0.9</v>
      </c>
      <c r="U406" s="198">
        <v>2.1</v>
      </c>
      <c r="V406" s="198">
        <v>0.1</v>
      </c>
      <c r="W406" s="198">
        <v>4</v>
      </c>
      <c r="X406" s="198">
        <v>0</v>
      </c>
      <c r="Y406" s="198">
        <v>1.6</v>
      </c>
      <c r="Z406" s="198">
        <v>5.2</v>
      </c>
      <c r="AA406" s="198">
        <v>2</v>
      </c>
      <c r="AB406" s="198">
        <v>0.1</v>
      </c>
      <c r="AC406" s="198">
        <v>4</v>
      </c>
      <c r="AD406" s="198">
        <v>0</v>
      </c>
      <c r="AE406" s="198">
        <v>1.8</v>
      </c>
      <c r="AF406" s="198">
        <v>5.4</v>
      </c>
      <c r="AG406" s="198">
        <v>2</v>
      </c>
      <c r="AH406" s="198">
        <v>0.1</v>
      </c>
      <c r="AI406" s="198">
        <v>4</v>
      </c>
      <c r="AJ406" s="198">
        <v>0</v>
      </c>
      <c r="AK406" s="198">
        <v>2.1</v>
      </c>
      <c r="AL406" s="198">
        <v>5.4</v>
      </c>
      <c r="AM406" s="198">
        <v>2</v>
      </c>
      <c r="AN406" s="198">
        <v>0.1</v>
      </c>
      <c r="AO406" s="198">
        <v>4.8</v>
      </c>
      <c r="AP406" s="198">
        <v>0</v>
      </c>
      <c r="AQ406" s="198">
        <v>2.6</v>
      </c>
      <c r="AR406" s="198">
        <v>6.4</v>
      </c>
      <c r="AS406" s="198">
        <v>2</v>
      </c>
      <c r="AT406" s="198">
        <v>0.1</v>
      </c>
      <c r="AU406" s="198">
        <v>8.6</v>
      </c>
      <c r="AV406" s="198">
        <v>0</v>
      </c>
      <c r="AW406" s="198">
        <v>2.8</v>
      </c>
      <c r="AX406" s="198">
        <v>6.9</v>
      </c>
      <c r="AY406" s="198">
        <v>2</v>
      </c>
      <c r="AZ406" s="198">
        <v>0.1</v>
      </c>
      <c r="BA406" s="198">
        <v>8.1999999999999993</v>
      </c>
      <c r="BB406" s="198">
        <v>1.5</v>
      </c>
      <c r="BC406" s="198">
        <v>3.3</v>
      </c>
      <c r="BD406" s="198">
        <v>7</v>
      </c>
      <c r="BE406" s="198">
        <v>2</v>
      </c>
      <c r="BF406" s="198">
        <v>0.1</v>
      </c>
      <c r="BG406" s="198">
        <v>8.1999999999999993</v>
      </c>
      <c r="BH406" s="198">
        <v>1.5</v>
      </c>
      <c r="BI406" s="198">
        <v>3.3</v>
      </c>
      <c r="BJ406" s="198">
        <v>2.8</v>
      </c>
      <c r="BK406" s="198">
        <v>6.2</v>
      </c>
      <c r="BL406" s="198">
        <v>0.1</v>
      </c>
      <c r="BM406" s="198">
        <v>9.9</v>
      </c>
      <c r="BN406" s="198">
        <v>5</v>
      </c>
      <c r="BO406" s="198">
        <v>3.3</v>
      </c>
      <c r="BP406" s="198">
        <v>3.2</v>
      </c>
      <c r="BQ406" s="198">
        <v>6.2</v>
      </c>
      <c r="BR406" s="198">
        <v>0.1</v>
      </c>
      <c r="BS406" s="198">
        <v>19.5</v>
      </c>
      <c r="BT406" s="198">
        <v>3.2</v>
      </c>
      <c r="BU406" s="198">
        <v>3.4</v>
      </c>
      <c r="BV406" s="198">
        <v>7.5</v>
      </c>
      <c r="BW406" s="198">
        <v>3.8</v>
      </c>
      <c r="BX406" s="198">
        <v>0.1</v>
      </c>
      <c r="BY406" s="198">
        <v>20.2</v>
      </c>
      <c r="BZ406" s="198">
        <v>3.2</v>
      </c>
      <c r="CA406" s="198">
        <v>3.4</v>
      </c>
      <c r="CB406" s="198">
        <v>5.4</v>
      </c>
      <c r="CC406" s="198">
        <v>2</v>
      </c>
      <c r="CD406" s="198">
        <v>0.1</v>
      </c>
      <c r="CE406" s="198">
        <v>17.8</v>
      </c>
      <c r="CF406" s="198">
        <v>3.2</v>
      </c>
      <c r="CG406" s="198">
        <v>3.4</v>
      </c>
      <c r="CH406" s="198">
        <v>3.4</v>
      </c>
      <c r="CI406" s="198">
        <v>2</v>
      </c>
      <c r="CJ406" s="198">
        <v>0.1</v>
      </c>
      <c r="CK406" s="88"/>
    </row>
    <row r="407" spans="1:89" x14ac:dyDescent="0.3">
      <c r="A407" s="173"/>
      <c r="B407" s="197" t="s">
        <v>84</v>
      </c>
      <c r="C407" s="198">
        <v>0</v>
      </c>
      <c r="D407" s="198">
        <v>0</v>
      </c>
      <c r="E407" s="198">
        <v>1.8</v>
      </c>
      <c r="F407" s="198">
        <v>0</v>
      </c>
      <c r="G407" s="198">
        <v>0</v>
      </c>
      <c r="H407" s="198">
        <v>0</v>
      </c>
      <c r="I407" s="198">
        <v>0</v>
      </c>
      <c r="J407" s="198">
        <v>0</v>
      </c>
      <c r="K407" s="198">
        <v>1.8</v>
      </c>
      <c r="L407" s="198">
        <v>0</v>
      </c>
      <c r="M407" s="198">
        <v>0</v>
      </c>
      <c r="N407" s="198">
        <v>0</v>
      </c>
      <c r="O407" s="198">
        <v>0</v>
      </c>
      <c r="P407" s="198">
        <v>0</v>
      </c>
      <c r="Q407" s="198">
        <v>1.8</v>
      </c>
      <c r="R407" s="198">
        <v>0</v>
      </c>
      <c r="S407" s="198">
        <v>0</v>
      </c>
      <c r="T407" s="198">
        <v>0</v>
      </c>
      <c r="U407" s="198">
        <v>0</v>
      </c>
      <c r="V407" s="198">
        <v>0</v>
      </c>
      <c r="W407" s="198">
        <v>1.8</v>
      </c>
      <c r="X407" s="198">
        <v>0</v>
      </c>
      <c r="Y407" s="198">
        <v>0</v>
      </c>
      <c r="Z407" s="198">
        <v>0</v>
      </c>
      <c r="AA407" s="198">
        <v>0</v>
      </c>
      <c r="AB407" s="198">
        <v>0</v>
      </c>
      <c r="AC407" s="198">
        <v>1.8</v>
      </c>
      <c r="AD407" s="198">
        <v>0</v>
      </c>
      <c r="AE407" s="198">
        <v>0</v>
      </c>
      <c r="AF407" s="198">
        <v>0</v>
      </c>
      <c r="AG407" s="198">
        <v>0</v>
      </c>
      <c r="AH407" s="198">
        <v>0</v>
      </c>
      <c r="AI407" s="198">
        <v>1.8</v>
      </c>
      <c r="AJ407" s="198">
        <v>0</v>
      </c>
      <c r="AK407" s="198">
        <v>0</v>
      </c>
      <c r="AL407" s="198">
        <v>0</v>
      </c>
      <c r="AM407" s="198">
        <v>0</v>
      </c>
      <c r="AN407" s="198">
        <v>1.8</v>
      </c>
      <c r="AO407" s="198">
        <v>1.8</v>
      </c>
      <c r="AP407" s="198">
        <v>0</v>
      </c>
      <c r="AQ407" s="198">
        <v>0</v>
      </c>
      <c r="AR407" s="198">
        <v>0</v>
      </c>
      <c r="AS407" s="198">
        <v>0</v>
      </c>
      <c r="AT407" s="198">
        <v>1.8</v>
      </c>
      <c r="AU407" s="198">
        <v>1.8</v>
      </c>
      <c r="AV407" s="198">
        <v>0</v>
      </c>
      <c r="AW407" s="198">
        <v>1.3</v>
      </c>
      <c r="AX407" s="198">
        <v>1.2</v>
      </c>
      <c r="AY407" s="198">
        <v>0</v>
      </c>
      <c r="AZ407" s="198">
        <v>1.8</v>
      </c>
      <c r="BA407" s="198">
        <v>1.8</v>
      </c>
      <c r="BB407" s="198">
        <v>0</v>
      </c>
      <c r="BC407" s="198">
        <v>1.4</v>
      </c>
      <c r="BD407" s="198">
        <v>1.7</v>
      </c>
      <c r="BE407" s="198">
        <v>0</v>
      </c>
      <c r="BF407" s="198">
        <v>1.8</v>
      </c>
      <c r="BG407" s="198">
        <v>1.8</v>
      </c>
      <c r="BH407" s="198">
        <v>0</v>
      </c>
      <c r="BI407" s="198">
        <v>1.5</v>
      </c>
      <c r="BJ407" s="198">
        <v>2.2000000000000002</v>
      </c>
      <c r="BK407" s="198">
        <v>0</v>
      </c>
      <c r="BL407" s="198">
        <v>1.8</v>
      </c>
      <c r="BM407" s="198">
        <v>1.8</v>
      </c>
      <c r="BN407" s="198">
        <v>0</v>
      </c>
      <c r="BO407" s="198">
        <v>1.5</v>
      </c>
      <c r="BP407" s="198">
        <v>2.2000000000000002</v>
      </c>
      <c r="BQ407" s="198">
        <v>0</v>
      </c>
      <c r="BR407" s="198">
        <v>1.8</v>
      </c>
      <c r="BS407" s="198">
        <v>1.8</v>
      </c>
      <c r="BT407" s="198">
        <v>0</v>
      </c>
      <c r="BU407" s="198">
        <v>1.5</v>
      </c>
      <c r="BV407" s="198">
        <v>2.2000000000000002</v>
      </c>
      <c r="BW407" s="198">
        <v>0</v>
      </c>
      <c r="BX407" s="198">
        <v>1.8</v>
      </c>
      <c r="BY407" s="198">
        <v>1.8</v>
      </c>
      <c r="BZ407" s="198">
        <v>0</v>
      </c>
      <c r="CA407" s="198">
        <v>1.5</v>
      </c>
      <c r="CB407" s="198">
        <v>2.2000000000000002</v>
      </c>
      <c r="CC407" s="198">
        <v>0</v>
      </c>
      <c r="CD407" s="198">
        <v>1.8</v>
      </c>
      <c r="CE407" s="198">
        <v>1.8</v>
      </c>
      <c r="CF407" s="198">
        <v>0</v>
      </c>
      <c r="CG407" s="198">
        <v>1.6</v>
      </c>
      <c r="CH407" s="198">
        <v>4.4000000000000004</v>
      </c>
      <c r="CI407" s="198">
        <v>0</v>
      </c>
      <c r="CJ407" s="198">
        <v>1.3</v>
      </c>
      <c r="CK407" s="88"/>
    </row>
    <row r="408" spans="1:89" x14ac:dyDescent="0.3">
      <c r="A408" s="173"/>
      <c r="B408" s="192" t="s">
        <v>311</v>
      </c>
      <c r="C408" s="193">
        <v>111.2</v>
      </c>
      <c r="D408" s="193">
        <v>0</v>
      </c>
      <c r="E408" s="193">
        <v>1.2</v>
      </c>
      <c r="F408" s="193">
        <v>18.8</v>
      </c>
      <c r="G408" s="193">
        <v>7.5</v>
      </c>
      <c r="H408" s="193">
        <v>0.6</v>
      </c>
      <c r="I408" s="193">
        <v>111.2</v>
      </c>
      <c r="J408" s="193">
        <v>0</v>
      </c>
      <c r="K408" s="193">
        <v>1.3</v>
      </c>
      <c r="L408" s="193">
        <v>20</v>
      </c>
      <c r="M408" s="193">
        <v>8</v>
      </c>
      <c r="N408" s="193">
        <v>1</v>
      </c>
      <c r="O408" s="193">
        <v>118.5</v>
      </c>
      <c r="P408" s="193">
        <v>0</v>
      </c>
      <c r="Q408" s="193">
        <v>1.3</v>
      </c>
      <c r="R408" s="193">
        <v>19.899999999999999</v>
      </c>
      <c r="S408" s="193">
        <v>7.7</v>
      </c>
      <c r="T408" s="193">
        <v>0.4</v>
      </c>
      <c r="U408" s="193">
        <v>150.80000000000001</v>
      </c>
      <c r="V408" s="193">
        <v>0</v>
      </c>
      <c r="W408" s="193">
        <v>0.1</v>
      </c>
      <c r="X408" s="193">
        <v>20</v>
      </c>
      <c r="Y408" s="193">
        <v>7.8</v>
      </c>
      <c r="Z408" s="193">
        <v>0.4</v>
      </c>
      <c r="AA408" s="193">
        <v>172.6</v>
      </c>
      <c r="AB408" s="198">
        <v>0.5</v>
      </c>
      <c r="AC408" s="198">
        <v>0.1</v>
      </c>
      <c r="AD408" s="198">
        <v>20.8</v>
      </c>
      <c r="AE408" s="198">
        <v>7.6</v>
      </c>
      <c r="AF408" s="198">
        <v>0.4</v>
      </c>
      <c r="AG408" s="198">
        <v>172.6</v>
      </c>
      <c r="AH408" s="198">
        <v>0.5</v>
      </c>
      <c r="AI408" s="198">
        <v>0.1</v>
      </c>
      <c r="AJ408" s="198">
        <v>2.7</v>
      </c>
      <c r="AK408" s="198">
        <v>7.3</v>
      </c>
      <c r="AL408" s="198">
        <v>3.7</v>
      </c>
      <c r="AM408" s="198">
        <v>170</v>
      </c>
      <c r="AN408" s="198">
        <v>0.5</v>
      </c>
      <c r="AO408" s="198">
        <v>0.1</v>
      </c>
      <c r="AP408" s="198">
        <v>6</v>
      </c>
      <c r="AQ408" s="198">
        <v>6.7</v>
      </c>
      <c r="AR408" s="198">
        <v>0.4</v>
      </c>
      <c r="AS408" s="198">
        <v>170</v>
      </c>
      <c r="AT408" s="198">
        <v>0.5</v>
      </c>
      <c r="AU408" s="198">
        <v>0.1</v>
      </c>
      <c r="AV408" s="198">
        <v>5.9</v>
      </c>
      <c r="AW408" s="198">
        <v>6.2</v>
      </c>
      <c r="AX408" s="198">
        <v>1.1000000000000001</v>
      </c>
      <c r="AY408" s="198">
        <v>198.1</v>
      </c>
      <c r="AZ408" s="198">
        <v>0.5</v>
      </c>
      <c r="BA408" s="198">
        <v>1.3</v>
      </c>
      <c r="BB408" s="198">
        <v>5.8</v>
      </c>
      <c r="BC408" s="198">
        <v>6.5</v>
      </c>
      <c r="BD408" s="198">
        <v>0.9</v>
      </c>
      <c r="BE408" s="198">
        <v>216.3</v>
      </c>
      <c r="BF408" s="198">
        <v>780.6</v>
      </c>
      <c r="BG408" s="198">
        <v>1.3</v>
      </c>
      <c r="BH408" s="198">
        <v>5.7</v>
      </c>
      <c r="BI408" s="198">
        <v>7.3</v>
      </c>
      <c r="BJ408" s="198">
        <v>0.8</v>
      </c>
      <c r="BK408" s="198">
        <v>216.3</v>
      </c>
      <c r="BL408" s="198">
        <v>1.7</v>
      </c>
      <c r="BM408" s="198">
        <v>1.3</v>
      </c>
      <c r="BN408" s="198">
        <v>5.7</v>
      </c>
      <c r="BO408" s="198">
        <v>3.6</v>
      </c>
      <c r="BP408" s="198">
        <v>0.8</v>
      </c>
      <c r="BQ408" s="198">
        <v>216.1</v>
      </c>
      <c r="BR408" s="198">
        <v>1.7</v>
      </c>
      <c r="BS408" s="198">
        <v>1.2</v>
      </c>
      <c r="BT408" s="198">
        <v>5.8</v>
      </c>
      <c r="BU408" s="198">
        <v>4</v>
      </c>
      <c r="BV408" s="198">
        <v>0.8</v>
      </c>
      <c r="BW408" s="198">
        <v>216.1</v>
      </c>
      <c r="BX408" s="198">
        <v>1.7</v>
      </c>
      <c r="BY408" s="198">
        <v>1.2</v>
      </c>
      <c r="BZ408" s="198">
        <v>5.7</v>
      </c>
      <c r="CA408" s="198">
        <v>4</v>
      </c>
      <c r="CB408" s="198">
        <v>1</v>
      </c>
      <c r="CC408" s="198">
        <v>215.2</v>
      </c>
      <c r="CD408" s="198">
        <v>1.7</v>
      </c>
      <c r="CE408" s="198">
        <v>1.2</v>
      </c>
      <c r="CF408" s="198">
        <v>5.8</v>
      </c>
      <c r="CG408" s="198">
        <v>4</v>
      </c>
      <c r="CH408" s="198">
        <v>1.3</v>
      </c>
      <c r="CI408" s="198">
        <v>231.1</v>
      </c>
      <c r="CJ408" s="198">
        <v>4.8</v>
      </c>
      <c r="CK408" s="88"/>
    </row>
    <row r="409" spans="1:89" x14ac:dyDescent="0.3">
      <c r="A409" s="173"/>
      <c r="B409" s="192" t="s">
        <v>312</v>
      </c>
      <c r="C409" s="193">
        <v>0</v>
      </c>
      <c r="D409" s="193">
        <v>0</v>
      </c>
      <c r="E409" s="193">
        <v>0</v>
      </c>
      <c r="F409" s="193">
        <v>0</v>
      </c>
      <c r="G409" s="193">
        <v>0</v>
      </c>
      <c r="H409" s="193">
        <v>0</v>
      </c>
      <c r="I409" s="193">
        <v>0</v>
      </c>
      <c r="J409" s="193">
        <v>0</v>
      </c>
      <c r="K409" s="193">
        <v>0</v>
      </c>
      <c r="L409" s="193">
        <v>0</v>
      </c>
      <c r="M409" s="193">
        <v>0</v>
      </c>
      <c r="N409" s="193">
        <v>0</v>
      </c>
      <c r="O409" s="193">
        <v>0</v>
      </c>
      <c r="P409" s="193">
        <v>0</v>
      </c>
      <c r="Q409" s="193">
        <v>0</v>
      </c>
      <c r="R409" s="193">
        <v>465.3</v>
      </c>
      <c r="S409" s="193">
        <v>0</v>
      </c>
      <c r="T409" s="193">
        <v>0</v>
      </c>
      <c r="U409" s="193">
        <v>0</v>
      </c>
      <c r="V409" s="193">
        <v>0</v>
      </c>
      <c r="W409" s="193">
        <v>0</v>
      </c>
      <c r="X409" s="193">
        <v>0</v>
      </c>
      <c r="Y409" s="193">
        <v>0</v>
      </c>
      <c r="Z409" s="193">
        <v>0</v>
      </c>
      <c r="AA409" s="193">
        <v>0</v>
      </c>
      <c r="AB409" s="198">
        <v>0</v>
      </c>
      <c r="AC409" s="198">
        <v>0</v>
      </c>
      <c r="AD409" s="198">
        <v>0</v>
      </c>
      <c r="AE409" s="198">
        <v>0</v>
      </c>
      <c r="AF409" s="198">
        <v>0</v>
      </c>
      <c r="AG409" s="198">
        <v>0</v>
      </c>
      <c r="AH409" s="198">
        <v>0</v>
      </c>
      <c r="AI409" s="198">
        <v>0</v>
      </c>
      <c r="AJ409" s="198">
        <v>0</v>
      </c>
      <c r="AK409" s="198">
        <v>0</v>
      </c>
      <c r="AL409" s="198">
        <v>0</v>
      </c>
      <c r="AM409" s="198">
        <v>0</v>
      </c>
      <c r="AN409" s="198">
        <v>0</v>
      </c>
      <c r="AO409" s="198">
        <v>0</v>
      </c>
      <c r="AP409" s="198">
        <v>0</v>
      </c>
      <c r="AQ409" s="198">
        <v>0</v>
      </c>
      <c r="AR409" s="198">
        <v>0</v>
      </c>
      <c r="AS409" s="198">
        <v>0</v>
      </c>
      <c r="AT409" s="198">
        <v>0</v>
      </c>
      <c r="AU409" s="198">
        <v>0</v>
      </c>
      <c r="AV409" s="198">
        <v>0</v>
      </c>
      <c r="AW409" s="198">
        <v>0</v>
      </c>
      <c r="AX409" s="198">
        <v>0</v>
      </c>
      <c r="AY409" s="198">
        <v>0</v>
      </c>
      <c r="AZ409" s="198">
        <v>0</v>
      </c>
      <c r="BA409" s="198">
        <v>0</v>
      </c>
      <c r="BB409" s="198">
        <v>0</v>
      </c>
      <c r="BC409" s="198">
        <v>0</v>
      </c>
      <c r="BD409" s="198">
        <v>0</v>
      </c>
      <c r="BE409" s="198">
        <v>0</v>
      </c>
      <c r="BF409" s="198">
        <v>0</v>
      </c>
      <c r="BG409" s="198">
        <v>0</v>
      </c>
      <c r="BH409" s="198">
        <v>0</v>
      </c>
      <c r="BI409" s="198">
        <v>0</v>
      </c>
      <c r="BJ409" s="198">
        <v>0</v>
      </c>
      <c r="BK409" s="198">
        <v>0</v>
      </c>
      <c r="BL409" s="198">
        <v>0</v>
      </c>
      <c r="BM409" s="198">
        <v>0</v>
      </c>
      <c r="BN409" s="198">
        <v>0</v>
      </c>
      <c r="BO409" s="198">
        <v>0</v>
      </c>
      <c r="BP409" s="198">
        <v>0</v>
      </c>
      <c r="BQ409" s="198">
        <v>0</v>
      </c>
      <c r="BR409" s="198">
        <v>0</v>
      </c>
      <c r="BS409" s="198">
        <v>0</v>
      </c>
      <c r="BT409" s="198">
        <v>0</v>
      </c>
      <c r="BU409" s="198">
        <v>0</v>
      </c>
      <c r="BV409" s="198">
        <v>0</v>
      </c>
      <c r="BW409" s="198">
        <v>0</v>
      </c>
      <c r="BX409" s="198">
        <v>0</v>
      </c>
      <c r="BY409" s="198">
        <v>0</v>
      </c>
      <c r="BZ409" s="198">
        <v>0</v>
      </c>
      <c r="CA409" s="198">
        <v>0</v>
      </c>
      <c r="CB409" s="198">
        <v>0</v>
      </c>
      <c r="CC409" s="198">
        <v>0</v>
      </c>
      <c r="CD409" s="198">
        <v>0</v>
      </c>
      <c r="CE409" s="198">
        <v>0</v>
      </c>
      <c r="CF409" s="198">
        <v>0</v>
      </c>
      <c r="CG409" s="198">
        <v>0</v>
      </c>
      <c r="CH409" s="198">
        <v>0</v>
      </c>
      <c r="CI409" s="198">
        <v>0</v>
      </c>
      <c r="CJ409" s="198">
        <v>0</v>
      </c>
      <c r="CK409" s="88"/>
    </row>
    <row r="410" spans="1:89" x14ac:dyDescent="0.3">
      <c r="A410" s="173"/>
      <c r="B410" s="192" t="s">
        <v>317</v>
      </c>
      <c r="C410" s="205">
        <v>0</v>
      </c>
      <c r="D410" s="205">
        <v>0</v>
      </c>
      <c r="E410" s="205">
        <v>0</v>
      </c>
      <c r="F410" s="205">
        <v>0</v>
      </c>
      <c r="G410" s="193">
        <v>1624.9</v>
      </c>
      <c r="H410" s="193">
        <v>0</v>
      </c>
      <c r="I410" s="193">
        <v>0</v>
      </c>
      <c r="J410" s="193">
        <v>0</v>
      </c>
      <c r="K410" s="193">
        <v>0</v>
      </c>
      <c r="L410" s="193">
        <v>0</v>
      </c>
      <c r="M410" s="193">
        <v>0</v>
      </c>
      <c r="N410" s="193">
        <v>0</v>
      </c>
      <c r="O410" s="193">
        <v>0</v>
      </c>
      <c r="P410" s="193">
        <v>0</v>
      </c>
      <c r="Q410" s="193">
        <v>0</v>
      </c>
      <c r="R410" s="193">
        <v>0</v>
      </c>
      <c r="S410" s="193">
        <v>0</v>
      </c>
      <c r="T410" s="193">
        <v>0</v>
      </c>
      <c r="U410" s="193">
        <v>0</v>
      </c>
      <c r="V410" s="193">
        <v>0</v>
      </c>
      <c r="W410" s="193">
        <v>0</v>
      </c>
      <c r="X410" s="193">
        <v>0</v>
      </c>
      <c r="Y410" s="193">
        <v>0</v>
      </c>
      <c r="Z410" s="193">
        <v>0</v>
      </c>
      <c r="AA410" s="193">
        <v>0</v>
      </c>
      <c r="AB410" s="198">
        <v>0</v>
      </c>
      <c r="AC410" s="198">
        <v>0</v>
      </c>
      <c r="AD410" s="198">
        <v>0</v>
      </c>
      <c r="AE410" s="198">
        <v>0</v>
      </c>
      <c r="AF410" s="198">
        <v>0</v>
      </c>
      <c r="AG410" s="198">
        <v>226.9</v>
      </c>
      <c r="AH410" s="198">
        <v>0</v>
      </c>
      <c r="AI410" s="198">
        <v>0</v>
      </c>
      <c r="AJ410" s="198">
        <v>0</v>
      </c>
      <c r="AK410" s="198">
        <v>0</v>
      </c>
      <c r="AL410" s="198">
        <v>0</v>
      </c>
      <c r="AM410" s="198">
        <v>0</v>
      </c>
      <c r="AN410" s="198">
        <v>188.5</v>
      </c>
      <c r="AO410" s="198">
        <v>0</v>
      </c>
      <c r="AP410" s="198">
        <v>0</v>
      </c>
      <c r="AQ410" s="198">
        <v>0</v>
      </c>
      <c r="AR410" s="198">
        <v>0</v>
      </c>
      <c r="AS410" s="198">
        <v>0</v>
      </c>
      <c r="AT410" s="198">
        <v>0</v>
      </c>
      <c r="AU410" s="198">
        <v>0</v>
      </c>
      <c r="AV410" s="198">
        <v>0</v>
      </c>
      <c r="AW410" s="198">
        <v>0</v>
      </c>
      <c r="AX410" s="198">
        <v>157.69999999999999</v>
      </c>
      <c r="AY410" s="198">
        <v>0</v>
      </c>
      <c r="AZ410" s="198">
        <v>0</v>
      </c>
      <c r="BA410" s="198">
        <v>159.80000000000001</v>
      </c>
      <c r="BB410" s="198">
        <v>0</v>
      </c>
      <c r="BC410" s="198">
        <v>0</v>
      </c>
      <c r="BD410" s="198">
        <v>0</v>
      </c>
      <c r="BE410" s="198">
        <v>0</v>
      </c>
      <c r="BF410" s="198">
        <v>0</v>
      </c>
      <c r="BG410" s="393">
        <v>0.3</v>
      </c>
      <c r="BH410" s="198">
        <v>158</v>
      </c>
      <c r="BI410" s="198">
        <v>0</v>
      </c>
      <c r="BJ410" s="198">
        <v>0</v>
      </c>
      <c r="BK410" s="198">
        <v>0</v>
      </c>
      <c r="BL410" s="198">
        <v>0</v>
      </c>
      <c r="BM410" s="198">
        <v>176.9</v>
      </c>
      <c r="BN410" s="198">
        <v>0</v>
      </c>
      <c r="BO410" s="198">
        <v>0</v>
      </c>
      <c r="BP410" s="198">
        <v>0</v>
      </c>
      <c r="BQ410" s="198">
        <v>0</v>
      </c>
      <c r="BR410" s="198">
        <v>0</v>
      </c>
      <c r="BS410" s="198">
        <v>180.2</v>
      </c>
      <c r="BT410" s="198">
        <v>0</v>
      </c>
      <c r="BU410" s="198">
        <v>0</v>
      </c>
      <c r="BV410" s="198">
        <v>0</v>
      </c>
      <c r="BW410" s="198">
        <v>0</v>
      </c>
      <c r="BX410" s="198">
        <v>0</v>
      </c>
      <c r="BY410" s="198">
        <v>200</v>
      </c>
      <c r="BZ410" s="198">
        <v>0</v>
      </c>
      <c r="CA410" s="198">
        <v>0</v>
      </c>
      <c r="CB410" s="198">
        <v>0</v>
      </c>
      <c r="CC410" s="198">
        <v>0</v>
      </c>
      <c r="CD410" s="198">
        <v>0</v>
      </c>
      <c r="CE410" s="198">
        <v>214.5</v>
      </c>
      <c r="CF410" s="198">
        <v>0</v>
      </c>
      <c r="CG410" s="198">
        <v>0</v>
      </c>
      <c r="CH410" s="198">
        <v>0</v>
      </c>
      <c r="CI410" s="198">
        <v>0</v>
      </c>
      <c r="CJ410" s="198">
        <v>0</v>
      </c>
      <c r="CK410" s="88"/>
    </row>
    <row r="411" spans="1:89" x14ac:dyDescent="0.3">
      <c r="A411" s="173"/>
      <c r="B411" s="192" t="s">
        <v>318</v>
      </c>
      <c r="C411" s="193">
        <v>4.5999999999999996</v>
      </c>
      <c r="D411" s="193">
        <v>4.5999999999999996</v>
      </c>
      <c r="E411" s="193">
        <v>4.5</v>
      </c>
      <c r="F411" s="193">
        <v>4.2</v>
      </c>
      <c r="G411" s="193">
        <v>4.3</v>
      </c>
      <c r="H411" s="193">
        <v>4.4000000000000004</v>
      </c>
      <c r="I411" s="193">
        <v>14</v>
      </c>
      <c r="J411" s="193">
        <v>4.7</v>
      </c>
      <c r="K411" s="193">
        <v>3.6</v>
      </c>
      <c r="L411" s="193">
        <v>12</v>
      </c>
      <c r="M411" s="193">
        <v>4</v>
      </c>
      <c r="N411" s="193">
        <v>4</v>
      </c>
      <c r="O411" s="193">
        <f t="shared" ref="O411:BZ411" si="74">+SUM(O412:O414)</f>
        <v>15.399999999999999</v>
      </c>
      <c r="P411" s="193">
        <f t="shared" si="74"/>
        <v>4.3</v>
      </c>
      <c r="Q411" s="193">
        <f t="shared" si="74"/>
        <v>4.3</v>
      </c>
      <c r="R411" s="193">
        <f t="shared" si="74"/>
        <v>15</v>
      </c>
      <c r="S411" s="193">
        <f t="shared" si="74"/>
        <v>4.2</v>
      </c>
      <c r="T411" s="193">
        <f t="shared" si="74"/>
        <v>4.2</v>
      </c>
      <c r="U411" s="193">
        <f t="shared" si="74"/>
        <v>14.299999999999999</v>
      </c>
      <c r="V411" s="193">
        <f t="shared" si="74"/>
        <v>4.0999999999999996</v>
      </c>
      <c r="W411" s="193">
        <f t="shared" si="74"/>
        <v>4.0999999999999996</v>
      </c>
      <c r="X411" s="193">
        <f t="shared" si="74"/>
        <v>14</v>
      </c>
      <c r="Y411" s="193">
        <f t="shared" si="74"/>
        <v>4.0999999999999996</v>
      </c>
      <c r="Z411" s="193">
        <f t="shared" si="74"/>
        <v>4</v>
      </c>
      <c r="AA411" s="193">
        <f t="shared" si="74"/>
        <v>26.700000000000003</v>
      </c>
      <c r="AB411" s="193">
        <f t="shared" si="74"/>
        <v>4</v>
      </c>
      <c r="AC411" s="193">
        <f t="shared" si="74"/>
        <v>4.0999999999999996</v>
      </c>
      <c r="AD411" s="193">
        <f t="shared" si="74"/>
        <v>25.6</v>
      </c>
      <c r="AE411" s="193">
        <f t="shared" si="74"/>
        <v>4.2</v>
      </c>
      <c r="AF411" s="193">
        <f t="shared" si="74"/>
        <v>4.4000000000000004</v>
      </c>
      <c r="AG411" s="193">
        <f t="shared" si="74"/>
        <v>26.4</v>
      </c>
      <c r="AH411" s="193">
        <f t="shared" si="74"/>
        <v>4.5999999999999996</v>
      </c>
      <c r="AI411" s="193">
        <f t="shared" si="74"/>
        <v>4.7</v>
      </c>
      <c r="AJ411" s="193">
        <f t="shared" si="74"/>
        <v>28</v>
      </c>
      <c r="AK411" s="193">
        <f t="shared" si="74"/>
        <v>4.9000000000000004</v>
      </c>
      <c r="AL411" s="193">
        <f t="shared" si="74"/>
        <v>5</v>
      </c>
      <c r="AM411" s="193">
        <f t="shared" si="74"/>
        <v>30.200000000000003</v>
      </c>
      <c r="AN411" s="193">
        <f t="shared" si="74"/>
        <v>5.0999999999999996</v>
      </c>
      <c r="AO411" s="193">
        <f t="shared" si="74"/>
        <v>5.0999999999999996</v>
      </c>
      <c r="AP411" s="193">
        <f t="shared" si="74"/>
        <v>30.2</v>
      </c>
      <c r="AQ411" s="193">
        <f t="shared" si="74"/>
        <v>5.3</v>
      </c>
      <c r="AR411" s="193">
        <f t="shared" si="74"/>
        <v>5.4</v>
      </c>
      <c r="AS411" s="193">
        <f t="shared" si="74"/>
        <v>30.1</v>
      </c>
      <c r="AT411" s="193">
        <f t="shared" si="74"/>
        <v>5.5</v>
      </c>
      <c r="AU411" s="193">
        <f t="shared" si="74"/>
        <v>5.5</v>
      </c>
      <c r="AV411" s="193">
        <f t="shared" si="74"/>
        <v>44.4</v>
      </c>
      <c r="AW411" s="193">
        <f t="shared" si="74"/>
        <v>5.6</v>
      </c>
      <c r="AX411" s="193">
        <f t="shared" si="74"/>
        <v>5.6</v>
      </c>
      <c r="AY411" s="193">
        <f t="shared" si="74"/>
        <v>5.5</v>
      </c>
      <c r="AZ411" s="193">
        <f t="shared" si="74"/>
        <v>5.5</v>
      </c>
      <c r="BA411" s="193">
        <f t="shared" si="74"/>
        <v>5.5</v>
      </c>
      <c r="BB411" s="193">
        <f t="shared" si="74"/>
        <v>5.5</v>
      </c>
      <c r="BC411" s="193">
        <f t="shared" si="74"/>
        <v>5.6</v>
      </c>
      <c r="BD411" s="193">
        <f t="shared" si="74"/>
        <v>5.6</v>
      </c>
      <c r="BE411" s="193">
        <f t="shared" si="74"/>
        <v>5.6</v>
      </c>
      <c r="BF411" s="193">
        <f t="shared" si="74"/>
        <v>5.6</v>
      </c>
      <c r="BG411" s="193">
        <f t="shared" si="74"/>
        <v>4.7</v>
      </c>
      <c r="BH411" s="193">
        <f t="shared" si="74"/>
        <v>5.0999999999999996</v>
      </c>
      <c r="BI411" s="193">
        <f t="shared" si="74"/>
        <v>5.8</v>
      </c>
      <c r="BJ411" s="193">
        <f t="shared" si="74"/>
        <v>6.2</v>
      </c>
      <c r="BK411" s="193">
        <f t="shared" si="74"/>
        <v>3.1</v>
      </c>
      <c r="BL411" s="193">
        <f t="shared" si="74"/>
        <v>3.6</v>
      </c>
      <c r="BM411" s="193">
        <f t="shared" si="74"/>
        <v>6.3</v>
      </c>
      <c r="BN411" s="193">
        <f t="shared" si="74"/>
        <v>0</v>
      </c>
      <c r="BO411" s="193">
        <f t="shared" si="74"/>
        <v>0</v>
      </c>
      <c r="BP411" s="193">
        <f t="shared" si="74"/>
        <v>0</v>
      </c>
      <c r="BQ411" s="193">
        <f t="shared" si="74"/>
        <v>0</v>
      </c>
      <c r="BR411" s="193">
        <f t="shared" si="74"/>
        <v>0</v>
      </c>
      <c r="BS411" s="193">
        <f t="shared" si="74"/>
        <v>0</v>
      </c>
      <c r="BT411" s="193">
        <f t="shared" si="74"/>
        <v>0</v>
      </c>
      <c r="BU411" s="193">
        <f t="shared" si="74"/>
        <v>0</v>
      </c>
      <c r="BV411" s="193">
        <f t="shared" si="74"/>
        <v>0</v>
      </c>
      <c r="BW411" s="193">
        <f t="shared" si="74"/>
        <v>0</v>
      </c>
      <c r="BX411" s="193">
        <f t="shared" si="74"/>
        <v>0</v>
      </c>
      <c r="BY411" s="193">
        <f t="shared" si="74"/>
        <v>0</v>
      </c>
      <c r="BZ411" s="193">
        <f t="shared" si="74"/>
        <v>0</v>
      </c>
      <c r="CA411" s="193">
        <f t="shared" ref="CA411:CB411" si="75">+SUM(CA412:CA414)</f>
        <v>0</v>
      </c>
      <c r="CB411" s="193">
        <f t="shared" si="75"/>
        <v>0</v>
      </c>
      <c r="CC411" s="193">
        <f t="shared" ref="CC411:CD411" si="76">+SUM(CC412:CC414)</f>
        <v>0</v>
      </c>
      <c r="CD411" s="193">
        <f t="shared" si="76"/>
        <v>0</v>
      </c>
      <c r="CE411" s="193">
        <f t="shared" ref="CE411:CF411" si="77">+SUM(CE412:CE414)</f>
        <v>0</v>
      </c>
      <c r="CF411" s="193">
        <f t="shared" si="77"/>
        <v>0</v>
      </c>
      <c r="CG411" s="193">
        <f t="shared" ref="CG411:CH411" si="78">+SUM(CG412:CG414)</f>
        <v>0</v>
      </c>
      <c r="CH411" s="193">
        <f t="shared" si="78"/>
        <v>0</v>
      </c>
      <c r="CI411" s="193">
        <f t="shared" ref="CI411:CJ411" si="79">+SUM(CI412:CI414)</f>
        <v>0</v>
      </c>
      <c r="CJ411" s="193">
        <f t="shared" si="79"/>
        <v>0</v>
      </c>
      <c r="CK411" s="88"/>
    </row>
    <row r="412" spans="1:89" x14ac:dyDescent="0.3">
      <c r="A412" s="173"/>
      <c r="B412" s="197" t="s">
        <v>93</v>
      </c>
      <c r="C412" s="198">
        <v>0.2</v>
      </c>
      <c r="D412" s="198">
        <v>0</v>
      </c>
      <c r="E412" s="198">
        <v>0</v>
      </c>
      <c r="F412" s="198">
        <v>0</v>
      </c>
      <c r="G412" s="198">
        <v>0</v>
      </c>
      <c r="H412" s="198">
        <v>0</v>
      </c>
      <c r="I412" s="198">
        <v>0</v>
      </c>
      <c r="J412" s="198">
        <v>0</v>
      </c>
      <c r="K412" s="198">
        <v>0</v>
      </c>
      <c r="L412" s="198">
        <v>0</v>
      </c>
      <c r="M412" s="198">
        <v>0</v>
      </c>
      <c r="N412" s="198">
        <v>0</v>
      </c>
      <c r="O412" s="198">
        <v>0.1</v>
      </c>
      <c r="P412" s="198">
        <v>0</v>
      </c>
      <c r="Q412" s="198">
        <v>0</v>
      </c>
      <c r="R412" s="198">
        <v>0</v>
      </c>
      <c r="S412" s="198">
        <v>0</v>
      </c>
      <c r="T412" s="198">
        <v>0</v>
      </c>
      <c r="U412" s="198">
        <v>0</v>
      </c>
      <c r="V412" s="198">
        <v>0</v>
      </c>
      <c r="W412" s="198">
        <v>0</v>
      </c>
      <c r="X412" s="198">
        <v>0</v>
      </c>
      <c r="Y412" s="198">
        <v>0</v>
      </c>
      <c r="Z412" s="198">
        <v>0</v>
      </c>
      <c r="AA412" s="198">
        <v>0.1</v>
      </c>
      <c r="AB412" s="198">
        <v>0</v>
      </c>
      <c r="AC412" s="198">
        <v>0</v>
      </c>
      <c r="AD412" s="198">
        <v>0</v>
      </c>
      <c r="AE412" s="198">
        <v>0</v>
      </c>
      <c r="AF412" s="198">
        <v>0</v>
      </c>
      <c r="AG412" s="198">
        <v>0</v>
      </c>
      <c r="AH412" s="198">
        <v>0</v>
      </c>
      <c r="AI412" s="198">
        <v>0</v>
      </c>
      <c r="AJ412" s="198">
        <v>0</v>
      </c>
      <c r="AK412" s="198">
        <v>0</v>
      </c>
      <c r="AL412" s="198">
        <v>0</v>
      </c>
      <c r="AM412" s="198">
        <v>0.1</v>
      </c>
      <c r="AN412" s="198">
        <v>0</v>
      </c>
      <c r="AO412" s="198">
        <v>0</v>
      </c>
      <c r="AP412" s="198">
        <v>0</v>
      </c>
      <c r="AQ412" s="198">
        <v>0</v>
      </c>
      <c r="AR412" s="198">
        <v>0</v>
      </c>
      <c r="AS412" s="198">
        <v>0</v>
      </c>
      <c r="AT412" s="198">
        <v>0</v>
      </c>
      <c r="AU412" s="198">
        <v>0</v>
      </c>
      <c r="AV412" s="198">
        <v>0</v>
      </c>
      <c r="AW412" s="198">
        <v>0</v>
      </c>
      <c r="AX412" s="198">
        <v>0</v>
      </c>
      <c r="AY412" s="198">
        <v>0</v>
      </c>
      <c r="AZ412" s="198">
        <v>0</v>
      </c>
      <c r="BA412" s="198">
        <v>0</v>
      </c>
      <c r="BB412" s="198">
        <v>0</v>
      </c>
      <c r="BC412" s="198">
        <v>0</v>
      </c>
      <c r="BD412" s="198">
        <v>0</v>
      </c>
      <c r="BE412" s="198">
        <v>0</v>
      </c>
      <c r="BF412" s="198">
        <v>0</v>
      </c>
      <c r="BG412" s="198">
        <v>0</v>
      </c>
      <c r="BH412" s="198">
        <v>0</v>
      </c>
      <c r="BI412" s="198">
        <v>0</v>
      </c>
      <c r="BJ412" s="198">
        <v>0</v>
      </c>
      <c r="BK412" s="198">
        <v>0</v>
      </c>
      <c r="BL412" s="198">
        <v>0</v>
      </c>
      <c r="BM412" s="198">
        <v>0</v>
      </c>
      <c r="BN412" s="198">
        <v>0</v>
      </c>
      <c r="BO412" s="198">
        <v>0</v>
      </c>
      <c r="BP412" s="198">
        <v>0</v>
      </c>
      <c r="BQ412" s="198">
        <v>0</v>
      </c>
      <c r="BR412" s="198">
        <v>0</v>
      </c>
      <c r="BS412" s="198">
        <v>0</v>
      </c>
      <c r="BT412" s="198">
        <v>0</v>
      </c>
      <c r="BU412" s="198">
        <v>0</v>
      </c>
      <c r="BV412" s="198">
        <v>0</v>
      </c>
      <c r="BW412" s="198">
        <v>0</v>
      </c>
      <c r="BX412" s="198">
        <v>0</v>
      </c>
      <c r="BY412" s="198">
        <v>0</v>
      </c>
      <c r="BZ412" s="198">
        <v>0</v>
      </c>
      <c r="CA412" s="198">
        <v>0</v>
      </c>
      <c r="CB412" s="198">
        <v>0</v>
      </c>
      <c r="CC412" s="198">
        <v>0</v>
      </c>
      <c r="CD412" s="198">
        <v>0</v>
      </c>
      <c r="CE412" s="198">
        <v>0</v>
      </c>
      <c r="CF412" s="198">
        <v>0</v>
      </c>
      <c r="CG412" s="198">
        <v>0</v>
      </c>
      <c r="CH412" s="198">
        <v>0</v>
      </c>
      <c r="CI412" s="198">
        <v>0</v>
      </c>
      <c r="CJ412" s="198">
        <v>0</v>
      </c>
      <c r="CK412" s="88"/>
    </row>
    <row r="413" spans="1:89" x14ac:dyDescent="0.3">
      <c r="A413" s="173"/>
      <c r="B413" s="197" t="s">
        <v>94</v>
      </c>
      <c r="C413" s="198">
        <v>4.4000000000000004</v>
      </c>
      <c r="D413" s="198">
        <v>4.5999999999999996</v>
      </c>
      <c r="E413" s="198">
        <v>4.5</v>
      </c>
      <c r="F413" s="198">
        <v>4.2</v>
      </c>
      <c r="G413" s="198">
        <v>4.3</v>
      </c>
      <c r="H413" s="198">
        <v>4.4000000000000004</v>
      </c>
      <c r="I413" s="198">
        <v>4.7</v>
      </c>
      <c r="J413" s="198">
        <v>4.7</v>
      </c>
      <c r="K413" s="198">
        <v>3.6</v>
      </c>
      <c r="L413" s="198">
        <v>4</v>
      </c>
      <c r="M413" s="198">
        <v>4</v>
      </c>
      <c r="N413" s="198">
        <v>4</v>
      </c>
      <c r="O413" s="198">
        <v>4.2</v>
      </c>
      <c r="P413" s="198">
        <v>4.3</v>
      </c>
      <c r="Q413" s="198">
        <v>4.3</v>
      </c>
      <c r="R413" s="198">
        <v>4.2</v>
      </c>
      <c r="S413" s="198">
        <v>4.2</v>
      </c>
      <c r="T413" s="198">
        <v>4.2</v>
      </c>
      <c r="U413" s="198">
        <v>4.0999999999999996</v>
      </c>
      <c r="V413" s="198">
        <v>4.0999999999999996</v>
      </c>
      <c r="W413" s="198">
        <v>4.0999999999999996</v>
      </c>
      <c r="X413" s="198">
        <v>4.0999999999999996</v>
      </c>
      <c r="Y413" s="198">
        <v>4.0999999999999996</v>
      </c>
      <c r="Z413" s="198">
        <v>4</v>
      </c>
      <c r="AA413" s="198">
        <v>4</v>
      </c>
      <c r="AB413" s="198">
        <v>4</v>
      </c>
      <c r="AC413" s="198">
        <v>4.0999999999999996</v>
      </c>
      <c r="AD413" s="198">
        <v>4.0999999999999996</v>
      </c>
      <c r="AE413" s="198">
        <v>4.2</v>
      </c>
      <c r="AF413" s="198">
        <v>4.4000000000000004</v>
      </c>
      <c r="AG413" s="198">
        <v>4.5</v>
      </c>
      <c r="AH413" s="198">
        <v>4.5999999999999996</v>
      </c>
      <c r="AI413" s="198">
        <v>4.7</v>
      </c>
      <c r="AJ413" s="198">
        <v>4.8</v>
      </c>
      <c r="AK413" s="198">
        <v>4.9000000000000004</v>
      </c>
      <c r="AL413" s="198">
        <v>5</v>
      </c>
      <c r="AM413" s="198">
        <v>5</v>
      </c>
      <c r="AN413" s="198">
        <v>5.0999999999999996</v>
      </c>
      <c r="AO413" s="198">
        <v>5.0999999999999996</v>
      </c>
      <c r="AP413" s="198">
        <v>5.2</v>
      </c>
      <c r="AQ413" s="198">
        <v>5.3</v>
      </c>
      <c r="AR413" s="198">
        <v>5.4</v>
      </c>
      <c r="AS413" s="198">
        <v>5.5</v>
      </c>
      <c r="AT413" s="198">
        <v>5.5</v>
      </c>
      <c r="AU413" s="198">
        <v>5.5</v>
      </c>
      <c r="AV413" s="198">
        <v>5.6</v>
      </c>
      <c r="AW413" s="198">
        <v>5.6</v>
      </c>
      <c r="AX413" s="198">
        <v>5.6</v>
      </c>
      <c r="AY413" s="198">
        <v>5.5</v>
      </c>
      <c r="AZ413" s="198">
        <v>5.5</v>
      </c>
      <c r="BA413" s="198">
        <v>5.5</v>
      </c>
      <c r="BB413" s="198">
        <v>5.5</v>
      </c>
      <c r="BC413" s="198">
        <v>5.6</v>
      </c>
      <c r="BD413" s="198">
        <v>5.6</v>
      </c>
      <c r="BE413" s="198">
        <v>5.6</v>
      </c>
      <c r="BF413" s="198">
        <v>5.6</v>
      </c>
      <c r="BG413" s="198">
        <v>4.7</v>
      </c>
      <c r="BH413" s="198">
        <v>5.0999999999999996</v>
      </c>
      <c r="BI413" s="198">
        <v>5.8</v>
      </c>
      <c r="BJ413" s="198">
        <v>6.2</v>
      </c>
      <c r="BK413" s="198">
        <v>3.1</v>
      </c>
      <c r="BL413" s="198">
        <v>3.6</v>
      </c>
      <c r="BM413" s="198">
        <v>6.3</v>
      </c>
      <c r="BN413" s="198">
        <v>0</v>
      </c>
      <c r="BO413" s="198">
        <v>0</v>
      </c>
      <c r="BP413" s="198">
        <v>0</v>
      </c>
      <c r="BQ413" s="198">
        <v>0</v>
      </c>
      <c r="BR413" s="198">
        <v>0</v>
      </c>
      <c r="BS413" s="198">
        <v>0</v>
      </c>
      <c r="BT413" s="198">
        <v>0</v>
      </c>
      <c r="BU413" s="198">
        <v>0</v>
      </c>
      <c r="BV413" s="198">
        <v>0</v>
      </c>
      <c r="BW413" s="198">
        <v>0</v>
      </c>
      <c r="BX413" s="198">
        <v>0</v>
      </c>
      <c r="BY413" s="198">
        <v>0</v>
      </c>
      <c r="BZ413" s="198">
        <v>0</v>
      </c>
      <c r="CA413" s="198">
        <v>0</v>
      </c>
      <c r="CB413" s="198">
        <v>0</v>
      </c>
      <c r="CC413" s="198">
        <v>0</v>
      </c>
      <c r="CD413" s="198">
        <v>0</v>
      </c>
      <c r="CE413" s="198">
        <v>0</v>
      </c>
      <c r="CF413" s="198">
        <v>0</v>
      </c>
      <c r="CG413" s="198">
        <v>0</v>
      </c>
      <c r="CH413" s="198">
        <v>0</v>
      </c>
      <c r="CI413" s="198">
        <v>0</v>
      </c>
      <c r="CJ413" s="198">
        <v>0</v>
      </c>
      <c r="CK413" s="88"/>
    </row>
    <row r="414" spans="1:89" x14ac:dyDescent="0.3">
      <c r="A414" s="173"/>
      <c r="B414" s="197" t="s">
        <v>98</v>
      </c>
      <c r="C414" s="198">
        <v>0</v>
      </c>
      <c r="D414" s="198">
        <v>0</v>
      </c>
      <c r="E414" s="198">
        <v>0</v>
      </c>
      <c r="F414" s="198">
        <v>0</v>
      </c>
      <c r="G414" s="198">
        <v>0</v>
      </c>
      <c r="H414" s="198">
        <v>0</v>
      </c>
      <c r="I414" s="198">
        <v>9.3000000000000007</v>
      </c>
      <c r="J414" s="198">
        <v>0</v>
      </c>
      <c r="K414" s="198">
        <v>0</v>
      </c>
      <c r="L414" s="198">
        <v>8</v>
      </c>
      <c r="M414" s="198">
        <v>0</v>
      </c>
      <c r="N414" s="198">
        <v>0</v>
      </c>
      <c r="O414" s="198">
        <v>11.1</v>
      </c>
      <c r="P414" s="198">
        <v>0</v>
      </c>
      <c r="Q414" s="198">
        <v>0</v>
      </c>
      <c r="R414" s="198">
        <v>10.8</v>
      </c>
      <c r="S414" s="198">
        <v>0</v>
      </c>
      <c r="T414" s="198">
        <v>0</v>
      </c>
      <c r="U414" s="198">
        <v>10.199999999999999</v>
      </c>
      <c r="V414" s="198">
        <v>0</v>
      </c>
      <c r="W414" s="198">
        <v>0</v>
      </c>
      <c r="X414" s="198">
        <v>9.9</v>
      </c>
      <c r="Y414" s="198">
        <v>0</v>
      </c>
      <c r="Z414" s="198">
        <v>0</v>
      </c>
      <c r="AA414" s="198">
        <v>22.6</v>
      </c>
      <c r="AB414" s="198">
        <v>0</v>
      </c>
      <c r="AC414" s="198">
        <v>0</v>
      </c>
      <c r="AD414" s="198">
        <v>21.5</v>
      </c>
      <c r="AE414" s="198">
        <v>0</v>
      </c>
      <c r="AF414" s="198">
        <v>0</v>
      </c>
      <c r="AG414" s="198">
        <v>21.9</v>
      </c>
      <c r="AH414" s="198">
        <v>0</v>
      </c>
      <c r="AI414" s="198">
        <v>0</v>
      </c>
      <c r="AJ414" s="198">
        <v>23.2</v>
      </c>
      <c r="AK414" s="198">
        <v>0</v>
      </c>
      <c r="AL414" s="198">
        <v>0</v>
      </c>
      <c r="AM414" s="198">
        <v>25.1</v>
      </c>
      <c r="AN414" s="198">
        <v>0</v>
      </c>
      <c r="AO414" s="198">
        <v>0</v>
      </c>
      <c r="AP414" s="198">
        <v>25</v>
      </c>
      <c r="AQ414" s="198">
        <v>0</v>
      </c>
      <c r="AR414" s="198">
        <v>0</v>
      </c>
      <c r="AS414" s="198">
        <v>24.6</v>
      </c>
      <c r="AT414" s="198">
        <v>0</v>
      </c>
      <c r="AU414" s="198">
        <v>0</v>
      </c>
      <c r="AV414" s="198">
        <v>38.799999999999997</v>
      </c>
      <c r="AW414" s="198">
        <v>0</v>
      </c>
      <c r="AX414" s="198">
        <v>0</v>
      </c>
      <c r="AY414" s="198">
        <v>0</v>
      </c>
      <c r="AZ414" s="198">
        <v>0</v>
      </c>
      <c r="BA414" s="198">
        <v>0</v>
      </c>
      <c r="BB414" s="198">
        <v>0</v>
      </c>
      <c r="BC414" s="198">
        <v>0</v>
      </c>
      <c r="BD414" s="198">
        <v>0</v>
      </c>
      <c r="BE414" s="198">
        <v>0</v>
      </c>
      <c r="BF414" s="198">
        <v>0</v>
      </c>
      <c r="BG414" s="198">
        <v>0</v>
      </c>
      <c r="BH414" s="198">
        <v>0</v>
      </c>
      <c r="BI414" s="198">
        <v>0</v>
      </c>
      <c r="BJ414" s="198">
        <v>0</v>
      </c>
      <c r="BK414" s="198">
        <v>0</v>
      </c>
      <c r="BL414" s="198">
        <v>0</v>
      </c>
      <c r="BM414" s="198">
        <v>0</v>
      </c>
      <c r="BN414" s="198">
        <v>0</v>
      </c>
      <c r="BO414" s="198">
        <v>0</v>
      </c>
      <c r="BP414" s="198">
        <v>0</v>
      </c>
      <c r="BQ414" s="198">
        <v>0</v>
      </c>
      <c r="BR414" s="198">
        <v>0</v>
      </c>
      <c r="BS414" s="198">
        <v>0</v>
      </c>
      <c r="BT414" s="198">
        <v>0</v>
      </c>
      <c r="BU414" s="198">
        <v>0</v>
      </c>
      <c r="BV414" s="198">
        <v>0</v>
      </c>
      <c r="BW414" s="198">
        <v>0</v>
      </c>
      <c r="BX414" s="198">
        <v>0</v>
      </c>
      <c r="BY414" s="198">
        <v>0</v>
      </c>
      <c r="BZ414" s="198">
        <v>0</v>
      </c>
      <c r="CA414" s="198">
        <v>0</v>
      </c>
      <c r="CB414" s="198">
        <v>0</v>
      </c>
      <c r="CC414" s="198">
        <v>0</v>
      </c>
      <c r="CD414" s="198">
        <v>0</v>
      </c>
      <c r="CE414" s="198">
        <v>0</v>
      </c>
      <c r="CF414" s="198">
        <v>0</v>
      </c>
      <c r="CG414" s="198">
        <v>0</v>
      </c>
      <c r="CH414" s="198">
        <v>0</v>
      </c>
      <c r="CI414" s="198">
        <v>0</v>
      </c>
      <c r="CJ414" s="198">
        <v>0</v>
      </c>
      <c r="CK414" s="88"/>
    </row>
    <row r="415" spans="1:89" x14ac:dyDescent="0.3">
      <c r="A415" s="173"/>
      <c r="B415" s="192" t="s">
        <v>319</v>
      </c>
      <c r="C415" s="193">
        <v>0</v>
      </c>
      <c r="D415" s="193">
        <v>15</v>
      </c>
      <c r="E415" s="193">
        <v>0</v>
      </c>
      <c r="F415" s="193">
        <v>0</v>
      </c>
      <c r="G415" s="193">
        <v>0</v>
      </c>
      <c r="H415" s="193">
        <v>0</v>
      </c>
      <c r="I415" s="193">
        <v>0</v>
      </c>
      <c r="J415" s="193">
        <v>0</v>
      </c>
      <c r="K415" s="193">
        <v>0</v>
      </c>
      <c r="L415" s="193">
        <v>0</v>
      </c>
      <c r="M415" s="193">
        <v>0</v>
      </c>
      <c r="N415" s="193">
        <v>0</v>
      </c>
      <c r="O415" s="193">
        <v>0</v>
      </c>
      <c r="P415" s="193">
        <v>17.399999999999999</v>
      </c>
      <c r="Q415" s="193">
        <v>0</v>
      </c>
      <c r="R415" s="193">
        <v>0</v>
      </c>
      <c r="S415" s="193">
        <v>0</v>
      </c>
      <c r="T415" s="193">
        <v>0</v>
      </c>
      <c r="U415" s="193">
        <v>0</v>
      </c>
      <c r="V415" s="193">
        <v>0</v>
      </c>
      <c r="W415" s="193">
        <v>0</v>
      </c>
      <c r="X415" s="193">
        <v>0</v>
      </c>
      <c r="Y415" s="193">
        <v>0</v>
      </c>
      <c r="Z415" s="193">
        <v>0</v>
      </c>
      <c r="AA415" s="193">
        <v>0</v>
      </c>
      <c r="AB415" s="193">
        <v>0</v>
      </c>
      <c r="AC415" s="193">
        <v>0</v>
      </c>
      <c r="AD415" s="193">
        <v>0</v>
      </c>
      <c r="AE415" s="193">
        <v>0</v>
      </c>
      <c r="AF415" s="193">
        <v>0</v>
      </c>
      <c r="AG415" s="193">
        <v>0</v>
      </c>
      <c r="AH415" s="193">
        <v>0</v>
      </c>
      <c r="AI415" s="193">
        <v>0</v>
      </c>
      <c r="AJ415" s="193">
        <v>0</v>
      </c>
      <c r="AK415" s="193">
        <v>0</v>
      </c>
      <c r="AL415" s="193">
        <v>0</v>
      </c>
      <c r="AM415" s="193">
        <v>0</v>
      </c>
      <c r="AN415" s="193">
        <v>0</v>
      </c>
      <c r="AO415" s="193">
        <v>0</v>
      </c>
      <c r="AP415" s="193">
        <v>0</v>
      </c>
      <c r="AQ415" s="193">
        <v>0</v>
      </c>
      <c r="AR415" s="193">
        <v>0</v>
      </c>
      <c r="AS415" s="193">
        <v>0</v>
      </c>
      <c r="AT415" s="193">
        <v>0</v>
      </c>
      <c r="AU415" s="193">
        <v>0</v>
      </c>
      <c r="AV415" s="193">
        <v>0</v>
      </c>
      <c r="AW415" s="193">
        <v>0</v>
      </c>
      <c r="AX415" s="193">
        <v>0</v>
      </c>
      <c r="AY415" s="193">
        <v>0</v>
      </c>
      <c r="AZ415" s="193">
        <v>0</v>
      </c>
      <c r="BA415" s="193">
        <v>0</v>
      </c>
      <c r="BB415" s="193">
        <v>0</v>
      </c>
      <c r="BC415" s="193">
        <v>0</v>
      </c>
      <c r="BD415" s="193">
        <v>0</v>
      </c>
      <c r="BE415" s="193">
        <v>0</v>
      </c>
      <c r="BF415" s="193">
        <v>0</v>
      </c>
      <c r="BG415" s="193">
        <v>0</v>
      </c>
      <c r="BH415" s="193">
        <v>0</v>
      </c>
      <c r="BI415" s="193">
        <v>0</v>
      </c>
      <c r="BJ415" s="193">
        <v>0</v>
      </c>
      <c r="BK415" s="193">
        <v>0</v>
      </c>
      <c r="BL415" s="193">
        <v>0</v>
      </c>
      <c r="BM415" s="193">
        <v>0</v>
      </c>
      <c r="BN415" s="193">
        <v>0</v>
      </c>
      <c r="BO415" s="193">
        <v>0</v>
      </c>
      <c r="BP415" s="193">
        <v>0</v>
      </c>
      <c r="BQ415" s="193">
        <v>0</v>
      </c>
      <c r="BR415" s="193">
        <v>0</v>
      </c>
      <c r="BS415" s="193">
        <v>0</v>
      </c>
      <c r="BT415" s="193">
        <v>0</v>
      </c>
      <c r="BU415" s="193">
        <v>0</v>
      </c>
      <c r="BV415" s="193">
        <v>0</v>
      </c>
      <c r="BW415" s="193">
        <v>0</v>
      </c>
      <c r="BX415" s="193">
        <v>0</v>
      </c>
      <c r="BY415" s="193">
        <v>0</v>
      </c>
      <c r="BZ415" s="193">
        <v>0</v>
      </c>
      <c r="CA415" s="193">
        <v>0</v>
      </c>
      <c r="CB415" s="193">
        <v>0</v>
      </c>
      <c r="CC415" s="193">
        <v>0</v>
      </c>
      <c r="CD415" s="193">
        <v>0</v>
      </c>
      <c r="CE415" s="193">
        <v>0</v>
      </c>
      <c r="CF415" s="193">
        <v>0</v>
      </c>
      <c r="CG415" s="193">
        <v>0</v>
      </c>
      <c r="CH415" s="193">
        <v>0</v>
      </c>
      <c r="CI415" s="193">
        <v>0</v>
      </c>
      <c r="CJ415" s="193">
        <v>0</v>
      </c>
      <c r="CK415" s="88"/>
    </row>
    <row r="416" spans="1:89" x14ac:dyDescent="0.3">
      <c r="A416" s="173"/>
      <c r="B416" s="192" t="s">
        <v>320</v>
      </c>
      <c r="C416" s="193">
        <v>0</v>
      </c>
      <c r="D416" s="193">
        <v>0</v>
      </c>
      <c r="E416" s="193">
        <v>0</v>
      </c>
      <c r="F416" s="193">
        <v>0</v>
      </c>
      <c r="G416" s="193">
        <v>0</v>
      </c>
      <c r="H416" s="193">
        <v>0</v>
      </c>
      <c r="I416" s="193">
        <v>0</v>
      </c>
      <c r="J416" s="193">
        <v>0.1</v>
      </c>
      <c r="K416" s="193">
        <v>0</v>
      </c>
      <c r="L416" s="193">
        <v>0</v>
      </c>
      <c r="M416" s="193">
        <v>0</v>
      </c>
      <c r="N416" s="193">
        <v>0</v>
      </c>
      <c r="O416" s="193">
        <v>0</v>
      </c>
      <c r="P416" s="193">
        <v>0</v>
      </c>
      <c r="Q416" s="193">
        <v>0</v>
      </c>
      <c r="R416" s="193">
        <v>0.3</v>
      </c>
      <c r="S416" s="193">
        <v>0</v>
      </c>
      <c r="T416" s="193">
        <v>0.8</v>
      </c>
      <c r="U416" s="193">
        <v>0</v>
      </c>
      <c r="V416" s="193">
        <v>0.5</v>
      </c>
      <c r="W416" s="193">
        <v>0.3</v>
      </c>
      <c r="X416" s="193">
        <v>4.7</v>
      </c>
      <c r="Y416" s="193">
        <v>0.7</v>
      </c>
      <c r="Z416" s="193">
        <v>0.5</v>
      </c>
      <c r="AA416" s="193">
        <v>0.2</v>
      </c>
      <c r="AB416" s="193">
        <v>0.1</v>
      </c>
      <c r="AC416" s="193">
        <v>0.2</v>
      </c>
      <c r="AD416" s="193">
        <v>0.3</v>
      </c>
      <c r="AE416" s="193">
        <v>0.4</v>
      </c>
      <c r="AF416" s="193">
        <v>0.9</v>
      </c>
      <c r="AG416" s="193">
        <v>0.1</v>
      </c>
      <c r="AH416" s="193">
        <v>0.2</v>
      </c>
      <c r="AI416" s="193">
        <v>1.6</v>
      </c>
      <c r="AJ416" s="193">
        <v>0.2</v>
      </c>
      <c r="AK416" s="193">
        <v>0</v>
      </c>
      <c r="AL416" s="193">
        <v>0.1</v>
      </c>
      <c r="AM416" s="193">
        <v>0</v>
      </c>
      <c r="AN416" s="193">
        <v>0</v>
      </c>
      <c r="AO416" s="193">
        <v>0</v>
      </c>
      <c r="AP416" s="193">
        <v>0.1</v>
      </c>
      <c r="AQ416" s="193">
        <v>0.2</v>
      </c>
      <c r="AR416" s="193">
        <v>0</v>
      </c>
      <c r="AS416" s="193">
        <v>0.1</v>
      </c>
      <c r="AT416" s="193">
        <v>0.4</v>
      </c>
      <c r="AU416" s="193">
        <v>0</v>
      </c>
      <c r="AV416" s="193">
        <v>0.7</v>
      </c>
      <c r="AW416" s="193">
        <v>0.1</v>
      </c>
      <c r="AX416" s="193">
        <v>0</v>
      </c>
      <c r="AY416" s="193">
        <v>0</v>
      </c>
      <c r="AZ416" s="193">
        <v>0</v>
      </c>
      <c r="BA416" s="193">
        <v>0</v>
      </c>
      <c r="BB416" s="193">
        <v>0</v>
      </c>
      <c r="BC416" s="193">
        <v>0</v>
      </c>
      <c r="BD416" s="193">
        <v>1.4</v>
      </c>
      <c r="BE416" s="193">
        <v>0.4</v>
      </c>
      <c r="BF416" s="193">
        <v>0.7</v>
      </c>
      <c r="BG416" s="193">
        <v>0.2</v>
      </c>
      <c r="BH416" s="193">
        <v>0</v>
      </c>
      <c r="BI416" s="193">
        <v>1.5</v>
      </c>
      <c r="BJ416" s="193">
        <v>1.1000000000000001</v>
      </c>
      <c r="BK416" s="193">
        <v>0</v>
      </c>
      <c r="BL416" s="193">
        <v>0</v>
      </c>
      <c r="BM416" s="193">
        <v>0.1</v>
      </c>
      <c r="BN416" s="193">
        <v>0.5</v>
      </c>
      <c r="BO416" s="193">
        <v>2.9</v>
      </c>
      <c r="BP416" s="193">
        <v>0.4</v>
      </c>
      <c r="BQ416" s="193">
        <v>0.2</v>
      </c>
      <c r="BR416" s="193">
        <v>0.4</v>
      </c>
      <c r="BS416" s="193">
        <v>0</v>
      </c>
      <c r="BT416" s="193">
        <v>0.1</v>
      </c>
      <c r="BU416" s="193">
        <v>0.1</v>
      </c>
      <c r="BV416" s="193">
        <v>0.2</v>
      </c>
      <c r="BW416" s="193">
        <v>0</v>
      </c>
      <c r="BX416" s="193">
        <v>0</v>
      </c>
      <c r="BY416" s="194">
        <v>0.3</v>
      </c>
      <c r="BZ416" s="193">
        <v>0.1</v>
      </c>
      <c r="CA416" s="193">
        <v>0</v>
      </c>
      <c r="CB416" s="193">
        <v>0.4</v>
      </c>
      <c r="CC416" s="193">
        <v>0.2</v>
      </c>
      <c r="CD416" s="193">
        <v>2.2000000000000002</v>
      </c>
      <c r="CE416" s="193">
        <v>0.2</v>
      </c>
      <c r="CF416" s="193">
        <v>0.8</v>
      </c>
      <c r="CG416" s="193">
        <v>0</v>
      </c>
      <c r="CH416" s="193">
        <v>0</v>
      </c>
      <c r="CI416" s="193">
        <v>0</v>
      </c>
      <c r="CJ416" s="193">
        <v>0</v>
      </c>
      <c r="CK416" s="88"/>
    </row>
    <row r="417" spans="1:89" x14ac:dyDescent="0.3">
      <c r="A417" s="173"/>
      <c r="B417" s="192" t="s">
        <v>314</v>
      </c>
      <c r="C417" s="193">
        <v>0</v>
      </c>
      <c r="D417" s="193">
        <v>0.4</v>
      </c>
      <c r="E417" s="193">
        <v>0</v>
      </c>
      <c r="F417" s="193">
        <v>0</v>
      </c>
      <c r="G417" s="193">
        <v>0.4</v>
      </c>
      <c r="H417" s="193">
        <v>0</v>
      </c>
      <c r="I417" s="193">
        <v>0</v>
      </c>
      <c r="J417" s="193">
        <v>0.3</v>
      </c>
      <c r="K417" s="193">
        <v>0</v>
      </c>
      <c r="L417" s="193">
        <v>0</v>
      </c>
      <c r="M417" s="193">
        <v>0</v>
      </c>
      <c r="N417" s="193">
        <v>84</v>
      </c>
      <c r="O417" s="193">
        <v>0</v>
      </c>
      <c r="P417" s="193">
        <v>83.6</v>
      </c>
      <c r="Q417" s="193">
        <v>0</v>
      </c>
      <c r="R417" s="193">
        <v>0</v>
      </c>
      <c r="S417" s="193">
        <v>1.5</v>
      </c>
      <c r="T417" s="193">
        <v>15</v>
      </c>
      <c r="U417" s="193">
        <v>0</v>
      </c>
      <c r="V417" s="193">
        <v>1.1000000000000001</v>
      </c>
      <c r="W417" s="193">
        <v>0</v>
      </c>
      <c r="X417" s="193">
        <v>1.6</v>
      </c>
      <c r="Y417" s="193">
        <v>17.899999999999999</v>
      </c>
      <c r="Z417" s="193">
        <v>0</v>
      </c>
      <c r="AA417" s="193">
        <v>1</v>
      </c>
      <c r="AB417" s="193">
        <v>1.5</v>
      </c>
      <c r="AC417" s="193">
        <v>0</v>
      </c>
      <c r="AD417" s="193">
        <v>2.4</v>
      </c>
      <c r="AE417" s="193">
        <v>24.1</v>
      </c>
      <c r="AF417" s="193">
        <v>0.7</v>
      </c>
      <c r="AG417" s="193">
        <v>1</v>
      </c>
      <c r="AH417" s="193">
        <v>2.1</v>
      </c>
      <c r="AI417" s="193">
        <v>0</v>
      </c>
      <c r="AJ417" s="193">
        <v>3</v>
      </c>
      <c r="AK417" s="193">
        <v>23.2</v>
      </c>
      <c r="AL417" s="193">
        <v>0.7</v>
      </c>
      <c r="AM417" s="193">
        <v>0.9</v>
      </c>
      <c r="AN417" s="193">
        <v>2.5</v>
      </c>
      <c r="AO417" s="193">
        <v>0</v>
      </c>
      <c r="AP417" s="193">
        <v>5.9</v>
      </c>
      <c r="AQ417" s="193">
        <v>22.5</v>
      </c>
      <c r="AR417" s="193">
        <v>0.8</v>
      </c>
      <c r="AS417" s="193">
        <v>0.9</v>
      </c>
      <c r="AT417" s="193">
        <v>2.2999999999999998</v>
      </c>
      <c r="AU417" s="193">
        <v>0</v>
      </c>
      <c r="AV417" s="193">
        <v>5.8</v>
      </c>
      <c r="AW417" s="193">
        <v>21.1</v>
      </c>
      <c r="AX417" s="193">
        <v>2.5</v>
      </c>
      <c r="AY417" s="193">
        <v>0.9</v>
      </c>
      <c r="AZ417" s="193">
        <v>2.5</v>
      </c>
      <c r="BA417" s="193">
        <v>0</v>
      </c>
      <c r="BB417" s="193">
        <v>7.1</v>
      </c>
      <c r="BC417" s="193">
        <v>24.4</v>
      </c>
      <c r="BD417" s="193">
        <v>2.5</v>
      </c>
      <c r="BE417" s="193">
        <v>0.9</v>
      </c>
      <c r="BF417" s="193">
        <v>2.5</v>
      </c>
      <c r="BG417" s="193">
        <v>0</v>
      </c>
      <c r="BH417" s="193">
        <v>7.2</v>
      </c>
      <c r="BI417" s="193">
        <v>23.4</v>
      </c>
      <c r="BJ417" s="193">
        <v>2.5</v>
      </c>
      <c r="BK417" s="193">
        <v>0.9</v>
      </c>
      <c r="BL417" s="193">
        <v>2.4</v>
      </c>
      <c r="BM417" s="193">
        <v>0</v>
      </c>
      <c r="BN417" s="193">
        <v>7.4</v>
      </c>
      <c r="BO417" s="193">
        <v>23.6</v>
      </c>
      <c r="BP417" s="193">
        <v>2.5</v>
      </c>
      <c r="BQ417" s="193">
        <v>0.9</v>
      </c>
      <c r="BR417" s="193">
        <v>2.4</v>
      </c>
      <c r="BS417" s="193">
        <v>0</v>
      </c>
      <c r="BT417" s="193">
        <v>7.6</v>
      </c>
      <c r="BU417" s="193">
        <v>2.4</v>
      </c>
      <c r="BV417" s="193">
        <v>517.79999999999995</v>
      </c>
      <c r="BW417" s="193">
        <v>0.8</v>
      </c>
      <c r="BX417" s="193">
        <v>2.2999999999999998</v>
      </c>
      <c r="BY417" s="193">
        <v>0</v>
      </c>
      <c r="BZ417" s="193">
        <v>7.4</v>
      </c>
      <c r="CA417" s="193">
        <v>23.1</v>
      </c>
      <c r="CB417" s="193">
        <v>2.5</v>
      </c>
      <c r="CC417" s="193">
        <v>0.9</v>
      </c>
      <c r="CD417" s="193">
        <v>2.6</v>
      </c>
      <c r="CE417" s="193">
        <v>0</v>
      </c>
      <c r="CF417" s="193">
        <v>8</v>
      </c>
      <c r="CG417" s="193">
        <v>0.5</v>
      </c>
      <c r="CH417" s="193">
        <v>1059.5999999999999</v>
      </c>
      <c r="CI417" s="193">
        <v>0</v>
      </c>
      <c r="CJ417" s="193">
        <v>2.7</v>
      </c>
      <c r="CK417" s="88"/>
    </row>
    <row r="418" spans="1:89" x14ac:dyDescent="0.3">
      <c r="A418" s="173"/>
      <c r="B418" s="192" t="s">
        <v>313</v>
      </c>
      <c r="C418" s="193">
        <v>1.4</v>
      </c>
      <c r="D418" s="193">
        <v>13.9</v>
      </c>
      <c r="E418" s="193">
        <v>1105.7</v>
      </c>
      <c r="F418" s="193">
        <v>0</v>
      </c>
      <c r="G418" s="193">
        <v>0</v>
      </c>
      <c r="H418" s="193">
        <v>0</v>
      </c>
      <c r="I418" s="193">
        <v>1.4</v>
      </c>
      <c r="J418" s="193">
        <v>13.4</v>
      </c>
      <c r="K418" s="193">
        <v>0</v>
      </c>
      <c r="L418" s="193">
        <v>0</v>
      </c>
      <c r="M418" s="193">
        <v>0</v>
      </c>
      <c r="N418" s="193">
        <v>0</v>
      </c>
      <c r="O418" s="193">
        <f t="shared" ref="O418:BZ418" si="80">+O419+O420+O421</f>
        <v>1.3</v>
      </c>
      <c r="P418" s="193">
        <f t="shared" si="80"/>
        <v>12.9</v>
      </c>
      <c r="Q418" s="193">
        <f t="shared" si="80"/>
        <v>1242.5999999999999</v>
      </c>
      <c r="R418" s="193">
        <f t="shared" si="80"/>
        <v>0</v>
      </c>
      <c r="S418" s="193">
        <f t="shared" si="80"/>
        <v>0</v>
      </c>
      <c r="T418" s="193">
        <f t="shared" si="80"/>
        <v>0</v>
      </c>
      <c r="U418" s="193">
        <f t="shared" si="80"/>
        <v>1.3</v>
      </c>
      <c r="V418" s="193">
        <f t="shared" si="80"/>
        <v>0</v>
      </c>
      <c r="W418" s="193">
        <f t="shared" si="80"/>
        <v>0</v>
      </c>
      <c r="X418" s="193">
        <f t="shared" si="80"/>
        <v>0</v>
      </c>
      <c r="Y418" s="193">
        <f t="shared" si="80"/>
        <v>0</v>
      </c>
      <c r="Z418" s="193">
        <f t="shared" si="80"/>
        <v>1.2</v>
      </c>
      <c r="AA418" s="193">
        <f t="shared" si="80"/>
        <v>0</v>
      </c>
      <c r="AB418" s="193">
        <f t="shared" si="80"/>
        <v>0</v>
      </c>
      <c r="AC418" s="193">
        <f t="shared" si="80"/>
        <v>790.4</v>
      </c>
      <c r="AD418" s="193">
        <f t="shared" si="80"/>
        <v>0</v>
      </c>
      <c r="AE418" s="193">
        <f t="shared" si="80"/>
        <v>0</v>
      </c>
      <c r="AF418" s="193">
        <f t="shared" si="80"/>
        <v>1.2</v>
      </c>
      <c r="AG418" s="193">
        <f t="shared" si="80"/>
        <v>0</v>
      </c>
      <c r="AH418" s="193">
        <f t="shared" si="80"/>
        <v>0</v>
      </c>
      <c r="AI418" s="193">
        <f t="shared" si="80"/>
        <v>0</v>
      </c>
      <c r="AJ418" s="193">
        <f t="shared" si="80"/>
        <v>0</v>
      </c>
      <c r="AK418" s="193">
        <f t="shared" si="80"/>
        <v>0</v>
      </c>
      <c r="AL418" s="193">
        <f t="shared" si="80"/>
        <v>0</v>
      </c>
      <c r="AM418" s="193">
        <f t="shared" si="80"/>
        <v>0</v>
      </c>
      <c r="AN418" s="193">
        <f t="shared" si="80"/>
        <v>0</v>
      </c>
      <c r="AO418" s="193">
        <f t="shared" si="80"/>
        <v>791.1</v>
      </c>
      <c r="AP418" s="193">
        <f t="shared" si="80"/>
        <v>0</v>
      </c>
      <c r="AQ418" s="193">
        <f t="shared" si="80"/>
        <v>0</v>
      </c>
      <c r="AR418" s="193">
        <f t="shared" si="80"/>
        <v>0</v>
      </c>
      <c r="AS418" s="193">
        <f t="shared" si="80"/>
        <v>0</v>
      </c>
      <c r="AT418" s="193">
        <f t="shared" si="80"/>
        <v>0</v>
      </c>
      <c r="AU418" s="193">
        <f t="shared" si="80"/>
        <v>0</v>
      </c>
      <c r="AV418" s="193">
        <f t="shared" si="80"/>
        <v>0</v>
      </c>
      <c r="AW418" s="193">
        <f t="shared" si="80"/>
        <v>0</v>
      </c>
      <c r="AX418" s="193">
        <f t="shared" si="80"/>
        <v>0</v>
      </c>
      <c r="AY418" s="193">
        <f t="shared" si="80"/>
        <v>0</v>
      </c>
      <c r="AZ418" s="193">
        <f t="shared" si="80"/>
        <v>0</v>
      </c>
      <c r="BA418" s="193">
        <f t="shared" si="80"/>
        <v>913</v>
      </c>
      <c r="BB418" s="193">
        <f t="shared" si="80"/>
        <v>0</v>
      </c>
      <c r="BC418" s="193">
        <f t="shared" si="80"/>
        <v>0</v>
      </c>
      <c r="BD418" s="193">
        <f t="shared" si="80"/>
        <v>0</v>
      </c>
      <c r="BE418" s="193">
        <f t="shared" si="80"/>
        <v>0</v>
      </c>
      <c r="BF418" s="193">
        <f t="shared" si="80"/>
        <v>0</v>
      </c>
      <c r="BG418" s="193">
        <f t="shared" si="80"/>
        <v>0</v>
      </c>
      <c r="BH418" s="193">
        <f t="shared" si="80"/>
        <v>0</v>
      </c>
      <c r="BI418" s="193">
        <f t="shared" si="80"/>
        <v>0</v>
      </c>
      <c r="BJ418" s="193">
        <f t="shared" si="80"/>
        <v>0</v>
      </c>
      <c r="BK418" s="193">
        <f t="shared" si="80"/>
        <v>0</v>
      </c>
      <c r="BL418" s="193">
        <f t="shared" si="80"/>
        <v>0</v>
      </c>
      <c r="BM418" s="193">
        <f t="shared" si="80"/>
        <v>0</v>
      </c>
      <c r="BN418" s="193">
        <f t="shared" si="80"/>
        <v>0</v>
      </c>
      <c r="BO418" s="193">
        <f t="shared" si="80"/>
        <v>0</v>
      </c>
      <c r="BP418" s="193">
        <f t="shared" si="80"/>
        <v>0</v>
      </c>
      <c r="BQ418" s="193">
        <f t="shared" si="80"/>
        <v>0</v>
      </c>
      <c r="BR418" s="193">
        <f t="shared" si="80"/>
        <v>0</v>
      </c>
      <c r="BS418" s="193">
        <f t="shared" si="80"/>
        <v>0</v>
      </c>
      <c r="BT418" s="193">
        <f t="shared" si="80"/>
        <v>0</v>
      </c>
      <c r="BU418" s="193">
        <f t="shared" si="80"/>
        <v>0</v>
      </c>
      <c r="BV418" s="193">
        <f t="shared" si="80"/>
        <v>0</v>
      </c>
      <c r="BW418" s="193">
        <f t="shared" si="80"/>
        <v>0</v>
      </c>
      <c r="BX418" s="193">
        <f t="shared" si="80"/>
        <v>0</v>
      </c>
      <c r="BY418" s="193">
        <f t="shared" si="80"/>
        <v>939.5</v>
      </c>
      <c r="BZ418" s="193">
        <f t="shared" si="80"/>
        <v>0</v>
      </c>
      <c r="CA418" s="193">
        <f t="shared" ref="CA418:CB418" si="81">+CA419+CA420+CA421</f>
        <v>0</v>
      </c>
      <c r="CB418" s="193">
        <f t="shared" si="81"/>
        <v>0</v>
      </c>
      <c r="CC418" s="193">
        <f t="shared" ref="CC418:CD418" si="82">+CC419+CC420+CC421</f>
        <v>0</v>
      </c>
      <c r="CD418" s="193">
        <f t="shared" si="82"/>
        <v>0</v>
      </c>
      <c r="CE418" s="193">
        <f t="shared" ref="CE418:CF418" si="83">+CE419+CE420+CE421</f>
        <v>0</v>
      </c>
      <c r="CF418" s="193">
        <f t="shared" si="83"/>
        <v>0</v>
      </c>
      <c r="CG418" s="193">
        <f t="shared" ref="CG418:CH418" si="84">+CG419+CG420+CG421</f>
        <v>0</v>
      </c>
      <c r="CH418" s="193">
        <f t="shared" si="84"/>
        <v>0</v>
      </c>
      <c r="CI418" s="193">
        <f t="shared" ref="CI418:CJ418" si="85">+CI419+CI420+CI421</f>
        <v>0</v>
      </c>
      <c r="CJ418" s="193">
        <f t="shared" si="85"/>
        <v>0</v>
      </c>
      <c r="CK418" s="88"/>
    </row>
    <row r="419" spans="1:89" x14ac:dyDescent="0.3">
      <c r="A419" s="173"/>
      <c r="B419" s="197" t="s">
        <v>37</v>
      </c>
      <c r="C419" s="198">
        <v>0</v>
      </c>
      <c r="D419" s="198">
        <v>0</v>
      </c>
      <c r="E419" s="198">
        <v>123.6</v>
      </c>
      <c r="F419" s="198">
        <v>0</v>
      </c>
      <c r="G419" s="198">
        <v>0</v>
      </c>
      <c r="H419" s="198">
        <v>0</v>
      </c>
      <c r="I419" s="198">
        <v>0</v>
      </c>
      <c r="J419" s="198">
        <v>0</v>
      </c>
      <c r="K419" s="198">
        <v>0</v>
      </c>
      <c r="L419" s="198">
        <v>0</v>
      </c>
      <c r="M419" s="198">
        <v>0</v>
      </c>
      <c r="N419" s="198">
        <v>0</v>
      </c>
      <c r="O419" s="198">
        <v>0</v>
      </c>
      <c r="P419" s="198">
        <v>0</v>
      </c>
      <c r="Q419" s="198">
        <v>0</v>
      </c>
      <c r="R419" s="198">
        <v>0</v>
      </c>
      <c r="S419" s="198">
        <v>0</v>
      </c>
      <c r="T419" s="198">
        <v>0</v>
      </c>
      <c r="U419" s="198">
        <v>0</v>
      </c>
      <c r="V419" s="198">
        <v>0</v>
      </c>
      <c r="W419" s="198">
        <v>0</v>
      </c>
      <c r="X419" s="198">
        <v>0</v>
      </c>
      <c r="Y419" s="198">
        <v>0</v>
      </c>
      <c r="Z419" s="198">
        <v>0</v>
      </c>
      <c r="AA419" s="198">
        <v>0</v>
      </c>
      <c r="AB419" s="198">
        <v>0</v>
      </c>
      <c r="AC419" s="198">
        <v>0</v>
      </c>
      <c r="AD419" s="198">
        <v>0</v>
      </c>
      <c r="AE419" s="198">
        <v>0</v>
      </c>
      <c r="AF419" s="198">
        <v>0</v>
      </c>
      <c r="AG419" s="198">
        <v>0</v>
      </c>
      <c r="AH419" s="198">
        <v>0</v>
      </c>
      <c r="AI419" s="198">
        <v>0</v>
      </c>
      <c r="AJ419" s="198">
        <v>0</v>
      </c>
      <c r="AK419" s="198">
        <v>0</v>
      </c>
      <c r="AL419" s="198">
        <v>0</v>
      </c>
      <c r="AM419" s="198">
        <v>0</v>
      </c>
      <c r="AN419" s="198">
        <v>0</v>
      </c>
      <c r="AO419" s="198">
        <v>0</v>
      </c>
      <c r="AP419" s="198">
        <v>0</v>
      </c>
      <c r="AQ419" s="198">
        <v>0</v>
      </c>
      <c r="AR419" s="198">
        <v>0</v>
      </c>
      <c r="AS419" s="198">
        <v>0</v>
      </c>
      <c r="AT419" s="198">
        <v>0</v>
      </c>
      <c r="AU419" s="198">
        <v>0</v>
      </c>
      <c r="AV419" s="198">
        <v>0</v>
      </c>
      <c r="AW419" s="198">
        <v>0</v>
      </c>
      <c r="AX419" s="198">
        <v>0</v>
      </c>
      <c r="AY419" s="198">
        <v>0</v>
      </c>
      <c r="AZ419" s="198">
        <v>0</v>
      </c>
      <c r="BA419" s="198">
        <v>0</v>
      </c>
      <c r="BB419" s="198">
        <v>0</v>
      </c>
      <c r="BC419" s="198">
        <v>0</v>
      </c>
      <c r="BD419" s="198">
        <v>0</v>
      </c>
      <c r="BE419" s="198">
        <v>0</v>
      </c>
      <c r="BF419" s="198">
        <v>0</v>
      </c>
      <c r="BG419" s="198">
        <v>0</v>
      </c>
      <c r="BH419" s="198">
        <v>0</v>
      </c>
      <c r="BI419" s="198">
        <v>0</v>
      </c>
      <c r="BJ419" s="198">
        <v>0</v>
      </c>
      <c r="BK419" s="198">
        <v>0</v>
      </c>
      <c r="BL419" s="198">
        <v>0</v>
      </c>
      <c r="BM419" s="198">
        <v>0</v>
      </c>
      <c r="BN419" s="198">
        <v>0</v>
      </c>
      <c r="BO419" s="198">
        <v>0</v>
      </c>
      <c r="BP419" s="198">
        <v>0</v>
      </c>
      <c r="BQ419" s="198">
        <v>0</v>
      </c>
      <c r="BR419" s="198">
        <v>0</v>
      </c>
      <c r="BS419" s="198">
        <v>0</v>
      </c>
      <c r="BT419" s="198">
        <v>0</v>
      </c>
      <c r="BU419" s="198">
        <v>0</v>
      </c>
      <c r="BV419" s="198">
        <v>0</v>
      </c>
      <c r="BW419" s="198">
        <v>0</v>
      </c>
      <c r="BX419" s="198">
        <v>0</v>
      </c>
      <c r="BY419" s="198">
        <v>0</v>
      </c>
      <c r="BZ419" s="198">
        <v>0</v>
      </c>
      <c r="CA419" s="198">
        <v>0</v>
      </c>
      <c r="CB419" s="198">
        <v>0</v>
      </c>
      <c r="CC419" s="198">
        <v>0</v>
      </c>
      <c r="CD419" s="198">
        <v>0</v>
      </c>
      <c r="CE419" s="198">
        <v>0</v>
      </c>
      <c r="CF419" s="198">
        <v>0</v>
      </c>
      <c r="CG419" s="198">
        <v>0</v>
      </c>
      <c r="CH419" s="198">
        <v>0</v>
      </c>
      <c r="CI419" s="198">
        <v>0</v>
      </c>
      <c r="CJ419" s="198">
        <v>0</v>
      </c>
      <c r="CK419" s="88"/>
    </row>
    <row r="420" spans="1:89" x14ac:dyDescent="0.3">
      <c r="A420" s="173"/>
      <c r="B420" s="197" t="s">
        <v>149</v>
      </c>
      <c r="C420" s="198">
        <v>1.4</v>
      </c>
      <c r="D420" s="198">
        <v>13.9</v>
      </c>
      <c r="E420" s="198">
        <v>0</v>
      </c>
      <c r="F420" s="198">
        <v>0</v>
      </c>
      <c r="G420" s="198">
        <v>0</v>
      </c>
      <c r="H420" s="198">
        <v>0</v>
      </c>
      <c r="I420" s="198">
        <v>1.4</v>
      </c>
      <c r="J420" s="198">
        <v>13.4</v>
      </c>
      <c r="K420" s="198">
        <v>0</v>
      </c>
      <c r="L420" s="198">
        <v>0</v>
      </c>
      <c r="M420" s="198">
        <v>0</v>
      </c>
      <c r="N420" s="198">
        <v>0</v>
      </c>
      <c r="O420" s="198">
        <v>1.3</v>
      </c>
      <c r="P420" s="198">
        <v>12.9</v>
      </c>
      <c r="Q420" s="198">
        <v>0</v>
      </c>
      <c r="R420" s="198">
        <v>0</v>
      </c>
      <c r="S420" s="198">
        <v>0</v>
      </c>
      <c r="T420" s="198">
        <v>0</v>
      </c>
      <c r="U420" s="198">
        <v>1.3</v>
      </c>
      <c r="V420" s="198">
        <v>0</v>
      </c>
      <c r="W420" s="198">
        <v>0</v>
      </c>
      <c r="X420" s="198">
        <v>0</v>
      </c>
      <c r="Y420" s="198">
        <v>0</v>
      </c>
      <c r="Z420" s="198">
        <v>1.2</v>
      </c>
      <c r="AA420" s="198">
        <v>0</v>
      </c>
      <c r="AB420" s="198">
        <v>0</v>
      </c>
      <c r="AC420" s="198">
        <v>0</v>
      </c>
      <c r="AD420" s="198">
        <v>0</v>
      </c>
      <c r="AE420" s="198">
        <v>0</v>
      </c>
      <c r="AF420" s="198">
        <v>1.2</v>
      </c>
      <c r="AG420" s="198">
        <v>0</v>
      </c>
      <c r="AH420" s="198">
        <v>0</v>
      </c>
      <c r="AI420" s="198">
        <v>0</v>
      </c>
      <c r="AJ420" s="198">
        <v>0</v>
      </c>
      <c r="AK420" s="198">
        <v>0</v>
      </c>
      <c r="AL420" s="198">
        <v>0</v>
      </c>
      <c r="AM420" s="198">
        <v>0</v>
      </c>
      <c r="AN420" s="198">
        <v>0</v>
      </c>
      <c r="AO420" s="198">
        <v>0</v>
      </c>
      <c r="AP420" s="198">
        <v>0</v>
      </c>
      <c r="AQ420" s="198">
        <v>0</v>
      </c>
      <c r="AR420" s="198">
        <v>0</v>
      </c>
      <c r="AS420" s="198">
        <v>0</v>
      </c>
      <c r="AT420" s="198">
        <v>0</v>
      </c>
      <c r="AU420" s="198">
        <v>0</v>
      </c>
      <c r="AV420" s="198">
        <v>0</v>
      </c>
      <c r="AW420" s="198">
        <v>0</v>
      </c>
      <c r="AX420" s="198">
        <v>0</v>
      </c>
      <c r="AY420" s="198">
        <v>0</v>
      </c>
      <c r="AZ420" s="198">
        <v>0</v>
      </c>
      <c r="BA420" s="198">
        <v>0</v>
      </c>
      <c r="BB420" s="198">
        <v>0</v>
      </c>
      <c r="BC420" s="198">
        <v>0</v>
      </c>
      <c r="BD420" s="198">
        <v>0</v>
      </c>
      <c r="BE420" s="198">
        <v>0</v>
      </c>
      <c r="BF420" s="198">
        <v>0</v>
      </c>
      <c r="BG420" s="198">
        <v>0</v>
      </c>
      <c r="BH420" s="198">
        <v>0</v>
      </c>
      <c r="BI420" s="198">
        <v>0</v>
      </c>
      <c r="BJ420" s="198">
        <v>0</v>
      </c>
      <c r="BK420" s="198">
        <v>0</v>
      </c>
      <c r="BL420" s="198">
        <v>0</v>
      </c>
      <c r="BM420" s="198">
        <v>0</v>
      </c>
      <c r="BN420" s="198">
        <v>0</v>
      </c>
      <c r="BO420" s="198">
        <v>0</v>
      </c>
      <c r="BP420" s="198">
        <v>0</v>
      </c>
      <c r="BQ420" s="198">
        <v>0</v>
      </c>
      <c r="BR420" s="198">
        <v>0</v>
      </c>
      <c r="BS420" s="198">
        <v>0</v>
      </c>
      <c r="BT420" s="198">
        <v>0</v>
      </c>
      <c r="BU420" s="198">
        <v>0</v>
      </c>
      <c r="BV420" s="198">
        <v>0</v>
      </c>
      <c r="BW420" s="198">
        <v>0</v>
      </c>
      <c r="BX420" s="198">
        <v>0</v>
      </c>
      <c r="BY420" s="198">
        <v>0</v>
      </c>
      <c r="BZ420" s="198">
        <v>0</v>
      </c>
      <c r="CA420" s="198">
        <v>0</v>
      </c>
      <c r="CB420" s="198">
        <v>0</v>
      </c>
      <c r="CC420" s="198">
        <v>0</v>
      </c>
      <c r="CD420" s="198">
        <v>0</v>
      </c>
      <c r="CE420" s="198">
        <v>0</v>
      </c>
      <c r="CF420" s="198">
        <v>0</v>
      </c>
      <c r="CG420" s="198">
        <v>0</v>
      </c>
      <c r="CH420" s="198">
        <v>0</v>
      </c>
      <c r="CI420" s="198">
        <v>0</v>
      </c>
      <c r="CJ420" s="198">
        <v>0</v>
      </c>
      <c r="CK420" s="88"/>
    </row>
    <row r="421" spans="1:89" x14ac:dyDescent="0.3">
      <c r="A421" s="173"/>
      <c r="B421" s="197" t="s">
        <v>95</v>
      </c>
      <c r="C421" s="198">
        <v>0</v>
      </c>
      <c r="D421" s="198">
        <v>0</v>
      </c>
      <c r="E421" s="198">
        <v>982.1</v>
      </c>
      <c r="F421" s="198">
        <v>0</v>
      </c>
      <c r="G421" s="198">
        <v>0</v>
      </c>
      <c r="H421" s="198">
        <v>0</v>
      </c>
      <c r="I421" s="198">
        <v>0</v>
      </c>
      <c r="J421" s="198">
        <v>0</v>
      </c>
      <c r="K421" s="198">
        <v>0</v>
      </c>
      <c r="L421" s="198">
        <v>0</v>
      </c>
      <c r="M421" s="198">
        <v>0</v>
      </c>
      <c r="N421" s="198">
        <v>0</v>
      </c>
      <c r="O421" s="198">
        <v>0</v>
      </c>
      <c r="P421" s="198">
        <v>0</v>
      </c>
      <c r="Q421" s="198">
        <v>1242.5999999999999</v>
      </c>
      <c r="R421" s="198">
        <v>0</v>
      </c>
      <c r="S421" s="198">
        <v>0</v>
      </c>
      <c r="T421" s="198">
        <v>0</v>
      </c>
      <c r="U421" s="198">
        <v>0</v>
      </c>
      <c r="V421" s="198">
        <v>0</v>
      </c>
      <c r="W421" s="198">
        <v>0</v>
      </c>
      <c r="X421" s="198">
        <v>0</v>
      </c>
      <c r="Y421" s="198">
        <v>0</v>
      </c>
      <c r="Z421" s="198">
        <v>0</v>
      </c>
      <c r="AA421" s="198">
        <v>0</v>
      </c>
      <c r="AB421" s="198">
        <v>0</v>
      </c>
      <c r="AC421" s="198">
        <v>790.4</v>
      </c>
      <c r="AD421" s="198">
        <v>0</v>
      </c>
      <c r="AE421" s="198">
        <v>0</v>
      </c>
      <c r="AF421" s="198">
        <v>0</v>
      </c>
      <c r="AG421" s="198">
        <v>0</v>
      </c>
      <c r="AH421" s="198">
        <v>0</v>
      </c>
      <c r="AI421" s="198">
        <v>0</v>
      </c>
      <c r="AJ421" s="198">
        <v>0</v>
      </c>
      <c r="AK421" s="198">
        <v>0</v>
      </c>
      <c r="AL421" s="198">
        <v>0</v>
      </c>
      <c r="AM421" s="198">
        <v>0</v>
      </c>
      <c r="AN421" s="198">
        <v>0</v>
      </c>
      <c r="AO421" s="198">
        <v>791.1</v>
      </c>
      <c r="AP421" s="198">
        <v>0</v>
      </c>
      <c r="AQ421" s="198">
        <v>0</v>
      </c>
      <c r="AR421" s="198">
        <v>0</v>
      </c>
      <c r="AS421" s="198">
        <v>0</v>
      </c>
      <c r="AT421" s="198">
        <v>0</v>
      </c>
      <c r="AU421" s="198">
        <v>0</v>
      </c>
      <c r="AV421" s="198">
        <v>0</v>
      </c>
      <c r="AW421" s="198">
        <v>0</v>
      </c>
      <c r="AX421" s="198">
        <v>0</v>
      </c>
      <c r="AY421" s="198">
        <v>0</v>
      </c>
      <c r="AZ421" s="198">
        <v>0</v>
      </c>
      <c r="BA421" s="198">
        <v>913</v>
      </c>
      <c r="BB421" s="198">
        <v>0</v>
      </c>
      <c r="BC421" s="198">
        <v>0</v>
      </c>
      <c r="BD421" s="198">
        <v>0</v>
      </c>
      <c r="BE421" s="198">
        <v>0</v>
      </c>
      <c r="BF421" s="198">
        <v>0</v>
      </c>
      <c r="BG421" s="198">
        <v>0</v>
      </c>
      <c r="BH421" s="198">
        <v>0</v>
      </c>
      <c r="BI421" s="198">
        <v>0</v>
      </c>
      <c r="BJ421" s="198">
        <v>0</v>
      </c>
      <c r="BK421" s="198">
        <v>0</v>
      </c>
      <c r="BL421" s="198">
        <v>0</v>
      </c>
      <c r="BM421" s="198">
        <v>0</v>
      </c>
      <c r="BN421" s="198">
        <v>0</v>
      </c>
      <c r="BO421" s="198">
        <v>0</v>
      </c>
      <c r="BP421" s="198">
        <v>0</v>
      </c>
      <c r="BQ421" s="198">
        <v>0</v>
      </c>
      <c r="BR421" s="198">
        <v>0</v>
      </c>
      <c r="BS421" s="198">
        <v>0</v>
      </c>
      <c r="BT421" s="198">
        <v>0</v>
      </c>
      <c r="BU421" s="198">
        <v>0</v>
      </c>
      <c r="BV421" s="198">
        <v>0</v>
      </c>
      <c r="BW421" s="198">
        <v>0</v>
      </c>
      <c r="BX421" s="198">
        <v>0</v>
      </c>
      <c r="BY421" s="198">
        <v>939.5</v>
      </c>
      <c r="BZ421" s="198">
        <v>0</v>
      </c>
      <c r="CA421" s="198">
        <v>0</v>
      </c>
      <c r="CB421" s="198">
        <v>0</v>
      </c>
      <c r="CC421" s="198">
        <v>0</v>
      </c>
      <c r="CD421" s="198">
        <v>0</v>
      </c>
      <c r="CE421" s="198">
        <v>0</v>
      </c>
      <c r="CF421" s="198">
        <v>0</v>
      </c>
      <c r="CG421" s="198">
        <v>0</v>
      </c>
      <c r="CH421" s="198">
        <v>0</v>
      </c>
      <c r="CI421" s="198">
        <v>0</v>
      </c>
      <c r="CJ421" s="198">
        <v>0</v>
      </c>
      <c r="CK421" s="88"/>
    </row>
    <row r="422" spans="1:89" x14ac:dyDescent="0.3">
      <c r="A422" s="173"/>
      <c r="B422" s="206" t="s">
        <v>57</v>
      </c>
      <c r="C422" s="207" t="s">
        <v>57</v>
      </c>
      <c r="D422" s="207" t="s">
        <v>57</v>
      </c>
      <c r="E422" s="207" t="s">
        <v>57</v>
      </c>
      <c r="F422" s="207" t="s">
        <v>57</v>
      </c>
      <c r="G422" s="207" t="s">
        <v>57</v>
      </c>
      <c r="H422" s="207" t="s">
        <v>57</v>
      </c>
      <c r="I422" s="207" t="s">
        <v>57</v>
      </c>
      <c r="J422" s="207" t="s">
        <v>57</v>
      </c>
      <c r="K422" s="207" t="s">
        <v>57</v>
      </c>
      <c r="L422" s="207" t="s">
        <v>57</v>
      </c>
      <c r="M422" s="207" t="s">
        <v>57</v>
      </c>
      <c r="N422" s="207" t="s">
        <v>57</v>
      </c>
      <c r="O422" s="207" t="s">
        <v>57</v>
      </c>
      <c r="P422" s="207" t="s">
        <v>57</v>
      </c>
      <c r="Q422" s="207" t="s">
        <v>57</v>
      </c>
      <c r="R422" s="207" t="s">
        <v>57</v>
      </c>
      <c r="S422" s="207" t="s">
        <v>57</v>
      </c>
      <c r="T422" s="207" t="s">
        <v>57</v>
      </c>
      <c r="U422" s="207" t="s">
        <v>57</v>
      </c>
      <c r="V422" s="207" t="s">
        <v>57</v>
      </c>
      <c r="W422" s="207" t="s">
        <v>57</v>
      </c>
      <c r="X422" s="207" t="s">
        <v>57</v>
      </c>
      <c r="Y422" s="207" t="s">
        <v>57</v>
      </c>
      <c r="Z422" s="207" t="s">
        <v>57</v>
      </c>
      <c r="AA422" s="207" t="s">
        <v>57</v>
      </c>
      <c r="AB422" s="208" t="s">
        <v>57</v>
      </c>
      <c r="AC422" s="208" t="s">
        <v>57</v>
      </c>
      <c r="AD422" s="208" t="s">
        <v>57</v>
      </c>
      <c r="AE422" s="208" t="s">
        <v>57</v>
      </c>
      <c r="AF422" s="208" t="s">
        <v>57</v>
      </c>
      <c r="AG422" s="208" t="s">
        <v>57</v>
      </c>
      <c r="AH422" s="208" t="s">
        <v>57</v>
      </c>
      <c r="AI422" s="208" t="s">
        <v>57</v>
      </c>
      <c r="AJ422" s="208" t="s">
        <v>57</v>
      </c>
      <c r="AK422" s="208" t="s">
        <v>57</v>
      </c>
      <c r="AL422" s="208" t="s">
        <v>57</v>
      </c>
      <c r="AM422" s="208" t="s">
        <v>57</v>
      </c>
      <c r="AN422" s="208" t="s">
        <v>57</v>
      </c>
      <c r="AO422" s="208" t="s">
        <v>57</v>
      </c>
      <c r="AP422" s="208" t="s">
        <v>57</v>
      </c>
      <c r="AQ422" s="208" t="s">
        <v>57</v>
      </c>
      <c r="AR422" s="208" t="s">
        <v>57</v>
      </c>
      <c r="AS422" s="208" t="s">
        <v>57</v>
      </c>
      <c r="AT422" s="208" t="s">
        <v>57</v>
      </c>
      <c r="AU422" s="208" t="s">
        <v>57</v>
      </c>
      <c r="AV422" s="208" t="s">
        <v>57</v>
      </c>
      <c r="AW422" s="208" t="s">
        <v>57</v>
      </c>
      <c r="AX422" s="208" t="s">
        <v>57</v>
      </c>
      <c r="AY422" s="208" t="s">
        <v>57</v>
      </c>
      <c r="AZ422" s="208" t="s">
        <v>57</v>
      </c>
      <c r="BA422" s="208" t="s">
        <v>57</v>
      </c>
      <c r="BB422" s="208" t="s">
        <v>57</v>
      </c>
      <c r="BC422" s="208" t="s">
        <v>57</v>
      </c>
      <c r="BD422" s="208" t="s">
        <v>57</v>
      </c>
      <c r="BE422" s="208" t="s">
        <v>57</v>
      </c>
      <c r="BF422" s="208" t="s">
        <v>57</v>
      </c>
      <c r="BG422" s="208" t="s">
        <v>57</v>
      </c>
      <c r="BH422" s="208" t="s">
        <v>57</v>
      </c>
      <c r="BI422" s="208" t="s">
        <v>57</v>
      </c>
      <c r="BJ422" s="208" t="s">
        <v>57</v>
      </c>
      <c r="BK422" s="208" t="s">
        <v>57</v>
      </c>
      <c r="BL422" s="208" t="s">
        <v>57</v>
      </c>
      <c r="BM422" s="208" t="s">
        <v>57</v>
      </c>
      <c r="BN422" s="208" t="s">
        <v>57</v>
      </c>
      <c r="BO422" s="208" t="s">
        <v>57</v>
      </c>
      <c r="BP422" s="208" t="s">
        <v>57</v>
      </c>
      <c r="BQ422" s="208" t="s">
        <v>57</v>
      </c>
      <c r="BR422" s="208" t="s">
        <v>57</v>
      </c>
      <c r="BS422" s="208" t="s">
        <v>57</v>
      </c>
      <c r="BT422" s="208" t="s">
        <v>57</v>
      </c>
      <c r="BU422" s="208" t="s">
        <v>57</v>
      </c>
      <c r="BV422" s="208" t="s">
        <v>57</v>
      </c>
      <c r="BW422" s="208" t="s">
        <v>57</v>
      </c>
      <c r="BX422" s="208" t="s">
        <v>57</v>
      </c>
      <c r="BY422" s="208" t="s">
        <v>57</v>
      </c>
      <c r="BZ422" s="208" t="s">
        <v>57</v>
      </c>
      <c r="CA422" s="208" t="s">
        <v>57</v>
      </c>
      <c r="CB422" s="208" t="s">
        <v>57</v>
      </c>
      <c r="CC422" s="208" t="s">
        <v>57</v>
      </c>
      <c r="CD422" s="208" t="s">
        <v>57</v>
      </c>
      <c r="CE422" s="208" t="s">
        <v>57</v>
      </c>
      <c r="CF422" s="208" t="s">
        <v>57</v>
      </c>
      <c r="CG422" s="208"/>
      <c r="CH422" s="208"/>
      <c r="CI422" s="208"/>
      <c r="CJ422" s="208"/>
      <c r="CK422" s="88"/>
    </row>
    <row r="423" spans="1:89" ht="16.2" x14ac:dyDescent="0.3">
      <c r="A423" s="173"/>
      <c r="B423" s="190" t="s">
        <v>279</v>
      </c>
      <c r="C423" s="191">
        <f t="shared" ref="C423:AH423" si="86">+C20-C205</f>
        <v>448.09999999999945</v>
      </c>
      <c r="D423" s="191">
        <f t="shared" si="86"/>
        <v>1023.4000000000015</v>
      </c>
      <c r="E423" s="191">
        <f t="shared" si="86"/>
        <v>-2632.3000000000011</v>
      </c>
      <c r="F423" s="191">
        <f t="shared" si="86"/>
        <v>9188.1999999999989</v>
      </c>
      <c r="G423" s="191">
        <f t="shared" si="86"/>
        <v>-4131.9999999999982</v>
      </c>
      <c r="H423" s="191">
        <f t="shared" si="86"/>
        <v>1481.199999999998</v>
      </c>
      <c r="I423" s="191">
        <f t="shared" si="86"/>
        <v>6571.7000000000016</v>
      </c>
      <c r="J423" s="191">
        <f t="shared" si="86"/>
        <v>-13342.800000000001</v>
      </c>
      <c r="K423" s="191">
        <f t="shared" si="86"/>
        <v>-1035.6000000000006</v>
      </c>
      <c r="L423" s="191">
        <f t="shared" si="86"/>
        <v>-654</v>
      </c>
      <c r="M423" s="209">
        <f t="shared" si="86"/>
        <v>172</v>
      </c>
      <c r="N423" s="191">
        <f t="shared" si="86"/>
        <v>7910</v>
      </c>
      <c r="O423" s="191">
        <f t="shared" si="86"/>
        <v>1109.2999999999997</v>
      </c>
      <c r="P423" s="191">
        <f t="shared" si="86"/>
        <v>1419.3999999999996</v>
      </c>
      <c r="Q423" s="191">
        <f t="shared" si="86"/>
        <v>774.09999999999854</v>
      </c>
      <c r="R423" s="191">
        <f t="shared" si="86"/>
        <v>1605.1999999999989</v>
      </c>
      <c r="S423" s="191">
        <f t="shared" si="86"/>
        <v>1932.1999999999989</v>
      </c>
      <c r="T423" s="191">
        <f t="shared" si="86"/>
        <v>833.40000000000055</v>
      </c>
      <c r="U423" s="191">
        <f t="shared" si="86"/>
        <v>2509.2000000000016</v>
      </c>
      <c r="V423" s="191">
        <f t="shared" si="86"/>
        <v>2077.4</v>
      </c>
      <c r="W423" s="191">
        <f t="shared" si="86"/>
        <v>4350.8999999999796</v>
      </c>
      <c r="X423" s="191">
        <f t="shared" si="86"/>
        <v>1839.6999999999998</v>
      </c>
      <c r="Y423" s="191">
        <f t="shared" si="86"/>
        <v>862.40000000000055</v>
      </c>
      <c r="Z423" s="191">
        <f t="shared" si="86"/>
        <v>2942.8000000000011</v>
      </c>
      <c r="AA423" s="191">
        <f t="shared" si="86"/>
        <v>639.19999999999891</v>
      </c>
      <c r="AB423" s="209">
        <f t="shared" si="86"/>
        <v>615.80000000000109</v>
      </c>
      <c r="AC423" s="191">
        <f t="shared" si="86"/>
        <v>1605.3999999999987</v>
      </c>
      <c r="AD423" s="191">
        <f t="shared" si="86"/>
        <v>1615.5000000000009</v>
      </c>
      <c r="AE423" s="191">
        <f t="shared" si="86"/>
        <v>1237.3000000000011</v>
      </c>
      <c r="AF423" s="191">
        <f t="shared" si="86"/>
        <v>2394.5</v>
      </c>
      <c r="AG423" s="191">
        <f t="shared" si="86"/>
        <v>673.10000000000218</v>
      </c>
      <c r="AH423" s="191">
        <f t="shared" si="86"/>
        <v>306.09999999999854</v>
      </c>
      <c r="AI423" s="191">
        <f t="shared" ref="AI423:BN423" si="87">+AI20-AI205</f>
        <v>-3371.6000000000004</v>
      </c>
      <c r="AJ423" s="191">
        <f t="shared" si="87"/>
        <v>5233.8999999999996</v>
      </c>
      <c r="AK423" s="191">
        <f t="shared" si="87"/>
        <v>4870.9999999999982</v>
      </c>
      <c r="AL423" s="191">
        <f t="shared" si="87"/>
        <v>8672.5</v>
      </c>
      <c r="AM423" s="191">
        <f t="shared" si="87"/>
        <v>3093.4000000000005</v>
      </c>
      <c r="AN423" s="191">
        <f t="shared" si="87"/>
        <v>859.59999999999991</v>
      </c>
      <c r="AO423" s="191">
        <f t="shared" si="87"/>
        <v>10681.500000000007</v>
      </c>
      <c r="AP423" s="191">
        <f t="shared" si="87"/>
        <v>-94.200000000004366</v>
      </c>
      <c r="AQ423" s="191">
        <f t="shared" si="87"/>
        <v>-65.699999999998909</v>
      </c>
      <c r="AR423" s="191">
        <f t="shared" si="87"/>
        <v>5534.100000000004</v>
      </c>
      <c r="AS423" s="191">
        <f t="shared" si="87"/>
        <v>3995.2999999999975</v>
      </c>
      <c r="AT423" s="191">
        <f t="shared" si="87"/>
        <v>2842.0000000000055</v>
      </c>
      <c r="AU423" s="191">
        <f t="shared" si="87"/>
        <v>3744.5000000000009</v>
      </c>
      <c r="AV423" s="191">
        <f t="shared" si="87"/>
        <v>4207.1000000000022</v>
      </c>
      <c r="AW423" s="191">
        <f t="shared" si="87"/>
        <v>1456.0999999999967</v>
      </c>
      <c r="AX423" s="191">
        <f t="shared" si="87"/>
        <v>11310.7</v>
      </c>
      <c r="AY423" s="191">
        <f t="shared" si="87"/>
        <v>1263.4000000000051</v>
      </c>
      <c r="AZ423" s="191">
        <f t="shared" si="87"/>
        <v>1514.1000000000004</v>
      </c>
      <c r="BA423" s="191">
        <f t="shared" si="87"/>
        <v>4621.9000000000051</v>
      </c>
      <c r="BB423" s="191">
        <f t="shared" si="87"/>
        <v>-869.69999999999891</v>
      </c>
      <c r="BC423" s="191">
        <f t="shared" si="87"/>
        <v>4700.7000000000016</v>
      </c>
      <c r="BD423" s="191">
        <f t="shared" si="87"/>
        <v>5923.3000000000029</v>
      </c>
      <c r="BE423" s="191">
        <f t="shared" si="87"/>
        <v>3646.6999999999989</v>
      </c>
      <c r="BF423" s="191">
        <f t="shared" si="87"/>
        <v>8328.8000000000011</v>
      </c>
      <c r="BG423" s="191">
        <f t="shared" si="87"/>
        <v>5629.5999999999985</v>
      </c>
      <c r="BH423" s="191">
        <f t="shared" si="87"/>
        <v>2896.9999999999991</v>
      </c>
      <c r="BI423" s="191">
        <f t="shared" si="87"/>
        <v>904.29999999999927</v>
      </c>
      <c r="BJ423" s="191">
        <f t="shared" si="87"/>
        <v>4545.8</v>
      </c>
      <c r="BK423" s="191">
        <f t="shared" si="87"/>
        <v>3422.4000000000015</v>
      </c>
      <c r="BL423" s="191">
        <f t="shared" si="87"/>
        <v>-6872.3000000000011</v>
      </c>
      <c r="BM423" s="191">
        <f t="shared" si="87"/>
        <v>1247.3000000000029</v>
      </c>
      <c r="BN423" s="191">
        <f t="shared" si="87"/>
        <v>415.90000000000055</v>
      </c>
      <c r="BO423" s="191">
        <f t="shared" ref="BO423:BZ423" si="88">+BO20-BO205</f>
        <v>11820.900000000001</v>
      </c>
      <c r="BP423" s="191">
        <f t="shared" si="88"/>
        <v>854.00000000000091</v>
      </c>
      <c r="BQ423" s="191">
        <f t="shared" si="88"/>
        <v>6000.5999999999913</v>
      </c>
      <c r="BR423" s="191">
        <f t="shared" si="88"/>
        <v>2071.9000000000015</v>
      </c>
      <c r="BS423" s="191">
        <f t="shared" si="88"/>
        <v>-3052.4000000000015</v>
      </c>
      <c r="BT423" s="191">
        <f t="shared" si="88"/>
        <v>-219.10000000000127</v>
      </c>
      <c r="BU423" s="191">
        <f t="shared" si="88"/>
        <v>288.30000000000109</v>
      </c>
      <c r="BV423" s="191">
        <f t="shared" si="88"/>
        <v>459.80000000000109</v>
      </c>
      <c r="BW423" s="191">
        <f t="shared" si="88"/>
        <v>-1836.8999999999978</v>
      </c>
      <c r="BX423" s="191">
        <f t="shared" si="88"/>
        <v>-1074</v>
      </c>
      <c r="BY423" s="191">
        <f t="shared" si="88"/>
        <v>-4425.0999999999985</v>
      </c>
      <c r="BZ423" s="191">
        <f t="shared" si="88"/>
        <v>8136.9</v>
      </c>
      <c r="CA423" s="191">
        <f t="shared" ref="CA423:CB423" si="89">+CA20-CA205</f>
        <v>-17198.599999999995</v>
      </c>
      <c r="CB423" s="191">
        <f t="shared" si="89"/>
        <v>-4539.1000000000004</v>
      </c>
      <c r="CC423" s="191">
        <f t="shared" ref="CC423:CD423" si="90">+CC20-CC205</f>
        <v>-8042.7000000000044</v>
      </c>
      <c r="CD423" s="191">
        <f t="shared" si="90"/>
        <v>-7631.6000000000022</v>
      </c>
      <c r="CE423" s="191">
        <f t="shared" ref="CE423:CJ423" si="91">+CE20-CE205</f>
        <v>-1024.6999999999971</v>
      </c>
      <c r="CF423" s="191">
        <f t="shared" si="91"/>
        <v>-5867.9</v>
      </c>
      <c r="CG423" s="191">
        <f t="shared" si="91"/>
        <v>-1380.3000000000029</v>
      </c>
      <c r="CH423" s="191">
        <f t="shared" si="91"/>
        <v>1985.6999999999971</v>
      </c>
      <c r="CI423" s="191">
        <f t="shared" si="91"/>
        <v>-2023.7999999999993</v>
      </c>
      <c r="CJ423" s="191">
        <f t="shared" si="91"/>
        <v>209.59999999999854</v>
      </c>
      <c r="CK423" s="88"/>
    </row>
    <row r="424" spans="1:89" x14ac:dyDescent="0.3">
      <c r="A424" s="173"/>
      <c r="B424" s="210" t="s">
        <v>57</v>
      </c>
      <c r="C424" s="211" t="s">
        <v>57</v>
      </c>
      <c r="D424" s="211" t="s">
        <v>57</v>
      </c>
      <c r="E424" s="211" t="s">
        <v>57</v>
      </c>
      <c r="F424" s="211" t="s">
        <v>57</v>
      </c>
      <c r="G424" s="211" t="s">
        <v>57</v>
      </c>
      <c r="H424" s="211" t="s">
        <v>57</v>
      </c>
      <c r="I424" s="211" t="s">
        <v>57</v>
      </c>
      <c r="J424" s="211" t="s">
        <v>57</v>
      </c>
      <c r="K424" s="211" t="s">
        <v>57</v>
      </c>
      <c r="L424" s="211" t="s">
        <v>57</v>
      </c>
      <c r="M424" s="211" t="s">
        <v>57</v>
      </c>
      <c r="N424" s="211" t="s">
        <v>57</v>
      </c>
      <c r="O424" s="211" t="s">
        <v>57</v>
      </c>
      <c r="P424" s="211" t="s">
        <v>57</v>
      </c>
      <c r="Q424" s="211" t="s">
        <v>57</v>
      </c>
      <c r="R424" s="211" t="s">
        <v>57</v>
      </c>
      <c r="S424" s="211" t="s">
        <v>57</v>
      </c>
      <c r="T424" s="211" t="s">
        <v>57</v>
      </c>
      <c r="U424" s="211" t="s">
        <v>57</v>
      </c>
      <c r="V424" s="211" t="s">
        <v>57</v>
      </c>
      <c r="W424" s="211" t="s">
        <v>57</v>
      </c>
      <c r="X424" s="211" t="s">
        <v>57</v>
      </c>
      <c r="Y424" s="211" t="s">
        <v>57</v>
      </c>
      <c r="Z424" s="211" t="s">
        <v>57</v>
      </c>
      <c r="AA424" s="211" t="s">
        <v>57</v>
      </c>
      <c r="AB424" s="211" t="s">
        <v>57</v>
      </c>
      <c r="AC424" s="211" t="s">
        <v>57</v>
      </c>
      <c r="AD424" s="211" t="s">
        <v>57</v>
      </c>
      <c r="AE424" s="211" t="s">
        <v>57</v>
      </c>
      <c r="AF424" s="211" t="s">
        <v>57</v>
      </c>
      <c r="AG424" s="211" t="s">
        <v>57</v>
      </c>
      <c r="AH424" s="211" t="s">
        <v>57</v>
      </c>
      <c r="AI424" s="211" t="s">
        <v>57</v>
      </c>
      <c r="AJ424" s="211" t="s">
        <v>57</v>
      </c>
      <c r="AK424" s="211" t="s">
        <v>57</v>
      </c>
      <c r="AL424" s="211" t="s">
        <v>57</v>
      </c>
      <c r="AM424" s="211" t="s">
        <v>57</v>
      </c>
      <c r="AN424" s="211" t="s">
        <v>57</v>
      </c>
      <c r="AO424" s="211" t="s">
        <v>57</v>
      </c>
      <c r="AP424" s="211" t="s">
        <v>57</v>
      </c>
      <c r="AQ424" s="211" t="s">
        <v>57</v>
      </c>
      <c r="AR424" s="211" t="s">
        <v>57</v>
      </c>
      <c r="AS424" s="211" t="s">
        <v>57</v>
      </c>
      <c r="AT424" s="211" t="s">
        <v>57</v>
      </c>
      <c r="AU424" s="211" t="s">
        <v>57</v>
      </c>
      <c r="AV424" s="211" t="s">
        <v>57</v>
      </c>
      <c r="AW424" s="211" t="s">
        <v>57</v>
      </c>
      <c r="AX424" s="211" t="s">
        <v>57</v>
      </c>
      <c r="AY424" s="211" t="s">
        <v>57</v>
      </c>
      <c r="AZ424" s="211" t="s">
        <v>57</v>
      </c>
      <c r="BA424" s="211" t="s">
        <v>57</v>
      </c>
      <c r="BB424" s="211" t="s">
        <v>57</v>
      </c>
      <c r="BC424" s="211" t="s">
        <v>57</v>
      </c>
      <c r="BD424" s="211" t="s">
        <v>57</v>
      </c>
      <c r="BE424" s="211" t="s">
        <v>57</v>
      </c>
      <c r="BF424" s="211" t="s">
        <v>57</v>
      </c>
      <c r="BG424" s="211" t="s">
        <v>57</v>
      </c>
      <c r="BH424" s="211" t="s">
        <v>57</v>
      </c>
      <c r="BI424" s="211" t="s">
        <v>57</v>
      </c>
      <c r="BJ424" s="211" t="s">
        <v>57</v>
      </c>
      <c r="BK424" s="211" t="s">
        <v>57</v>
      </c>
      <c r="BL424" s="211" t="s">
        <v>57</v>
      </c>
      <c r="BM424" s="211" t="s">
        <v>57</v>
      </c>
      <c r="BN424" s="211" t="s">
        <v>57</v>
      </c>
      <c r="BO424" s="211" t="s">
        <v>57</v>
      </c>
      <c r="BP424" s="211" t="s">
        <v>57</v>
      </c>
      <c r="BQ424" s="211" t="s">
        <v>57</v>
      </c>
      <c r="BR424" s="211" t="s">
        <v>57</v>
      </c>
      <c r="BS424" s="211" t="s">
        <v>57</v>
      </c>
      <c r="BT424" s="211" t="s">
        <v>57</v>
      </c>
      <c r="BU424" s="211" t="s">
        <v>57</v>
      </c>
      <c r="BV424" s="211" t="s">
        <v>57</v>
      </c>
      <c r="BW424" s="211" t="s">
        <v>57</v>
      </c>
      <c r="BX424" s="211" t="s">
        <v>57</v>
      </c>
      <c r="BY424" s="211" t="s">
        <v>57</v>
      </c>
      <c r="BZ424" s="211" t="s">
        <v>57</v>
      </c>
      <c r="CA424" s="211" t="s">
        <v>57</v>
      </c>
      <c r="CB424" s="211" t="s">
        <v>57</v>
      </c>
      <c r="CC424" s="211" t="s">
        <v>57</v>
      </c>
      <c r="CD424" s="211" t="s">
        <v>57</v>
      </c>
      <c r="CE424" s="211" t="s">
        <v>57</v>
      </c>
      <c r="CF424" s="211" t="s">
        <v>57</v>
      </c>
      <c r="CG424" s="211"/>
      <c r="CH424" s="211"/>
      <c r="CI424" s="211"/>
      <c r="CJ424" s="211"/>
      <c r="CK424" s="88"/>
    </row>
    <row r="425" spans="1:89" ht="16.2" x14ac:dyDescent="0.3">
      <c r="A425" s="173"/>
      <c r="B425" s="190" t="s">
        <v>96</v>
      </c>
      <c r="C425" s="191">
        <v>-9.6999999999999993</v>
      </c>
      <c r="D425" s="191">
        <v>-15.3</v>
      </c>
      <c r="E425" s="191">
        <v>-19.600000000000001</v>
      </c>
      <c r="F425" s="191">
        <v>-12.6</v>
      </c>
      <c r="G425" s="191">
        <v>-12.6</v>
      </c>
      <c r="H425" s="191">
        <v>-17.5</v>
      </c>
      <c r="I425" s="191">
        <v>32.799999999999997</v>
      </c>
      <c r="J425" s="191">
        <v>-7.4</v>
      </c>
      <c r="K425" s="191">
        <v>-17.8</v>
      </c>
      <c r="L425" s="191">
        <v>-403</v>
      </c>
      <c r="M425" s="191">
        <v>1</v>
      </c>
      <c r="N425" s="191">
        <v>3</v>
      </c>
      <c r="O425" s="191">
        <v>-0.1</v>
      </c>
      <c r="P425" s="191">
        <v>-6.2</v>
      </c>
      <c r="Q425" s="191">
        <v>-10.8</v>
      </c>
      <c r="R425" s="191">
        <v>-3.2</v>
      </c>
      <c r="S425" s="191">
        <v>-3.3</v>
      </c>
      <c r="T425" s="191">
        <v>-8</v>
      </c>
      <c r="U425" s="191">
        <v>-0.1</v>
      </c>
      <c r="V425" s="191">
        <v>-8.1999999999999993</v>
      </c>
      <c r="W425" s="191">
        <v>-13.4</v>
      </c>
      <c r="X425" s="191">
        <v>-6.1</v>
      </c>
      <c r="Y425" s="191">
        <v>-185.4</v>
      </c>
      <c r="Z425" s="191">
        <v>7</v>
      </c>
      <c r="AA425" s="191">
        <v>-3.7</v>
      </c>
      <c r="AB425" s="191">
        <v>-5.0999999999999996</v>
      </c>
      <c r="AC425" s="191">
        <v>-3.7</v>
      </c>
      <c r="AD425" s="191">
        <v>-3.7</v>
      </c>
      <c r="AE425" s="191">
        <v>-3.7</v>
      </c>
      <c r="AF425" s="191">
        <v>-14.6</v>
      </c>
      <c r="AG425" s="191">
        <v>-12.8</v>
      </c>
      <c r="AH425" s="191">
        <v>-49.3</v>
      </c>
      <c r="AI425" s="191">
        <v>-3.7</v>
      </c>
      <c r="AJ425" s="191">
        <v>-3.7</v>
      </c>
      <c r="AK425" s="191">
        <v>-21</v>
      </c>
      <c r="AL425" s="191">
        <v>125.7</v>
      </c>
      <c r="AM425" s="191">
        <v>-5</v>
      </c>
      <c r="AN425" s="191">
        <v>-8.8000000000000007</v>
      </c>
      <c r="AO425" s="191">
        <v>-12.9</v>
      </c>
      <c r="AP425" s="191">
        <v>-9.1999999999999993</v>
      </c>
      <c r="AQ425" s="191">
        <v>-7.1</v>
      </c>
      <c r="AR425" s="191">
        <v>-30.6</v>
      </c>
      <c r="AS425" s="191">
        <v>-11.4</v>
      </c>
      <c r="AT425" s="191">
        <v>-11.9</v>
      </c>
      <c r="AU425" s="191">
        <v>-147</v>
      </c>
      <c r="AV425" s="191">
        <v>10.8</v>
      </c>
      <c r="AW425" s="191">
        <v>-27</v>
      </c>
      <c r="AX425" s="191">
        <v>-23.9</v>
      </c>
      <c r="AY425" s="191">
        <v>-7.4</v>
      </c>
      <c r="AZ425" s="191">
        <v>-17.8</v>
      </c>
      <c r="BA425" s="191">
        <v>-14</v>
      </c>
      <c r="BB425" s="191">
        <v>-8.3000000000000007</v>
      </c>
      <c r="BC425" s="191">
        <v>-0.8</v>
      </c>
      <c r="BD425" s="191">
        <v>21.7</v>
      </c>
      <c r="BE425" s="191">
        <v>145.6</v>
      </c>
      <c r="BF425" s="191">
        <v>-11.7</v>
      </c>
      <c r="BG425" s="191">
        <v>-14.1</v>
      </c>
      <c r="BH425" s="191">
        <v>-4.4000000000000004</v>
      </c>
      <c r="BI425" s="191">
        <v>-5.8</v>
      </c>
      <c r="BJ425" s="191">
        <v>-13.4</v>
      </c>
      <c r="BK425" s="191">
        <v>-4.1999999999999993</v>
      </c>
      <c r="BL425" s="191">
        <v>-6</v>
      </c>
      <c r="BM425" s="191">
        <v>-3.1</v>
      </c>
      <c r="BN425" s="191">
        <v>-10.8</v>
      </c>
      <c r="BO425" s="191">
        <v>-7.5</v>
      </c>
      <c r="BP425" s="191">
        <v>-2.4</v>
      </c>
      <c r="BQ425" s="191">
        <v>-18</v>
      </c>
      <c r="BR425" s="191">
        <v>-2.4</v>
      </c>
      <c r="BS425" s="191">
        <v>-11.9</v>
      </c>
      <c r="BT425" s="191">
        <v>6.5</v>
      </c>
      <c r="BU425" s="191">
        <v>-0.40000000000000568</v>
      </c>
      <c r="BV425" s="191">
        <v>6.3</v>
      </c>
      <c r="BW425" s="191">
        <v>-0.4</v>
      </c>
      <c r="BX425" s="191">
        <v>-0.4</v>
      </c>
      <c r="BY425" s="191">
        <v>-0.4</v>
      </c>
      <c r="BZ425" s="191">
        <v>-0.4</v>
      </c>
      <c r="CA425" s="191">
        <v>-0.4</v>
      </c>
      <c r="CB425" s="191">
        <v>-0.4</v>
      </c>
      <c r="CC425" s="191">
        <v>-0.4</v>
      </c>
      <c r="CD425" s="191">
        <v>13.5</v>
      </c>
      <c r="CE425" s="191">
        <v>-15.6</v>
      </c>
      <c r="CF425" s="191">
        <v>-18.3</v>
      </c>
      <c r="CG425" s="191">
        <v>-7</v>
      </c>
      <c r="CH425" s="191">
        <v>10.1</v>
      </c>
      <c r="CI425" s="191">
        <v>-7.3</v>
      </c>
      <c r="CJ425" s="191">
        <v>-7.3</v>
      </c>
      <c r="CK425" s="88"/>
    </row>
    <row r="426" spans="1:89" x14ac:dyDescent="0.3">
      <c r="A426" s="173"/>
      <c r="B426" s="186" t="s">
        <v>57</v>
      </c>
      <c r="C426" s="211" t="s">
        <v>57</v>
      </c>
      <c r="D426" s="211" t="s">
        <v>57</v>
      </c>
      <c r="E426" s="211" t="s">
        <v>57</v>
      </c>
      <c r="F426" s="211" t="s">
        <v>57</v>
      </c>
      <c r="G426" s="211" t="s">
        <v>57</v>
      </c>
      <c r="H426" s="211" t="s">
        <v>57</v>
      </c>
      <c r="I426" s="211" t="s">
        <v>57</v>
      </c>
      <c r="J426" s="211" t="s">
        <v>57</v>
      </c>
      <c r="K426" s="211" t="s">
        <v>57</v>
      </c>
      <c r="L426" s="211" t="s">
        <v>57</v>
      </c>
      <c r="M426" s="211" t="s">
        <v>57</v>
      </c>
      <c r="N426" s="211" t="s">
        <v>57</v>
      </c>
      <c r="O426" s="211" t="s">
        <v>57</v>
      </c>
      <c r="P426" s="211" t="s">
        <v>57</v>
      </c>
      <c r="Q426" s="211" t="s">
        <v>57</v>
      </c>
      <c r="R426" s="211" t="s">
        <v>57</v>
      </c>
      <c r="S426" s="211" t="s">
        <v>57</v>
      </c>
      <c r="T426" s="211" t="s">
        <v>57</v>
      </c>
      <c r="U426" s="211" t="s">
        <v>57</v>
      </c>
      <c r="V426" s="211" t="s">
        <v>57</v>
      </c>
      <c r="W426" s="211" t="s">
        <v>57</v>
      </c>
      <c r="X426" s="211" t="s">
        <v>57</v>
      </c>
      <c r="Y426" s="211" t="s">
        <v>57</v>
      </c>
      <c r="Z426" s="211" t="s">
        <v>57</v>
      </c>
      <c r="AA426" s="211" t="s">
        <v>57</v>
      </c>
      <c r="AB426" s="211" t="s">
        <v>57</v>
      </c>
      <c r="AC426" s="211" t="s">
        <v>57</v>
      </c>
      <c r="AD426" s="211" t="s">
        <v>57</v>
      </c>
      <c r="AE426" s="211" t="s">
        <v>57</v>
      </c>
      <c r="AF426" s="211" t="s">
        <v>57</v>
      </c>
      <c r="AG426" s="211" t="s">
        <v>57</v>
      </c>
      <c r="AH426" s="211" t="s">
        <v>57</v>
      </c>
      <c r="AI426" s="211" t="s">
        <v>57</v>
      </c>
      <c r="AJ426" s="211" t="s">
        <v>57</v>
      </c>
      <c r="AK426" s="211" t="s">
        <v>57</v>
      </c>
      <c r="AL426" s="211" t="s">
        <v>57</v>
      </c>
      <c r="AM426" s="211" t="s">
        <v>57</v>
      </c>
      <c r="AN426" s="211" t="s">
        <v>57</v>
      </c>
      <c r="AO426" s="211" t="s">
        <v>57</v>
      </c>
      <c r="AP426" s="211" t="s">
        <v>57</v>
      </c>
      <c r="AQ426" s="211" t="s">
        <v>57</v>
      </c>
      <c r="AR426" s="211" t="s">
        <v>57</v>
      </c>
      <c r="AS426" s="211" t="s">
        <v>57</v>
      </c>
      <c r="AT426" s="211" t="s">
        <v>57</v>
      </c>
      <c r="AU426" s="211" t="s">
        <v>57</v>
      </c>
      <c r="AV426" s="211" t="s">
        <v>57</v>
      </c>
      <c r="AW426" s="211" t="s">
        <v>57</v>
      </c>
      <c r="AX426" s="211" t="s">
        <v>57</v>
      </c>
      <c r="AY426" s="211" t="s">
        <v>57</v>
      </c>
      <c r="AZ426" s="211" t="s">
        <v>57</v>
      </c>
      <c r="BA426" s="211" t="s">
        <v>57</v>
      </c>
      <c r="BB426" s="211" t="s">
        <v>57</v>
      </c>
      <c r="BC426" s="211" t="s">
        <v>57</v>
      </c>
      <c r="BD426" s="211" t="s">
        <v>57</v>
      </c>
      <c r="BE426" s="211" t="s">
        <v>57</v>
      </c>
      <c r="BF426" s="211" t="s">
        <v>57</v>
      </c>
      <c r="BG426" s="211" t="s">
        <v>57</v>
      </c>
      <c r="BH426" s="211" t="s">
        <v>57</v>
      </c>
      <c r="BI426" s="211" t="s">
        <v>57</v>
      </c>
      <c r="BJ426" s="211" t="s">
        <v>57</v>
      </c>
      <c r="BK426" s="211" t="s">
        <v>57</v>
      </c>
      <c r="BL426" s="211" t="s">
        <v>57</v>
      </c>
      <c r="BM426" s="211" t="s">
        <v>57</v>
      </c>
      <c r="BN426" s="211" t="s">
        <v>57</v>
      </c>
      <c r="BO426" s="211" t="s">
        <v>57</v>
      </c>
      <c r="BP426" s="211" t="s">
        <v>57</v>
      </c>
      <c r="BQ426" s="211" t="s">
        <v>57</v>
      </c>
      <c r="BR426" s="211" t="s">
        <v>57</v>
      </c>
      <c r="BS426" s="211" t="s">
        <v>57</v>
      </c>
      <c r="BT426" s="211" t="s">
        <v>57</v>
      </c>
      <c r="BU426" s="211" t="s">
        <v>57</v>
      </c>
      <c r="BV426" s="211" t="s">
        <v>57</v>
      </c>
      <c r="BW426" s="211" t="s">
        <v>57</v>
      </c>
      <c r="BX426" s="211" t="s">
        <v>57</v>
      </c>
      <c r="BY426" s="211" t="s">
        <v>57</v>
      </c>
      <c r="BZ426" s="211" t="s">
        <v>57</v>
      </c>
      <c r="CA426" s="211" t="s">
        <v>57</v>
      </c>
      <c r="CB426" s="211" t="s">
        <v>57</v>
      </c>
      <c r="CC426" s="211" t="s">
        <v>57</v>
      </c>
      <c r="CD426" s="211" t="s">
        <v>57</v>
      </c>
      <c r="CE426" s="211" t="s">
        <v>57</v>
      </c>
      <c r="CF426" s="422" t="s">
        <v>57</v>
      </c>
      <c r="CG426" s="422"/>
      <c r="CH426" s="422"/>
      <c r="CI426" s="422"/>
      <c r="CJ426" s="422"/>
      <c r="CK426" s="88"/>
    </row>
    <row r="427" spans="1:89" ht="16.2" x14ac:dyDescent="0.3">
      <c r="A427" s="173"/>
      <c r="B427" s="190" t="s">
        <v>97</v>
      </c>
      <c r="C427" s="191">
        <v>1.6</v>
      </c>
      <c r="D427" s="191">
        <v>3.1</v>
      </c>
      <c r="E427" s="191">
        <v>1.3</v>
      </c>
      <c r="F427" s="191">
        <v>1.2</v>
      </c>
      <c r="G427" s="191">
        <v>2.4</v>
      </c>
      <c r="H427" s="191">
        <v>3</v>
      </c>
      <c r="I427" s="191">
        <v>4.5999999999999996</v>
      </c>
      <c r="J427" s="191">
        <v>12.4</v>
      </c>
      <c r="K427" s="191">
        <v>4.3</v>
      </c>
      <c r="L427" s="191">
        <v>3</v>
      </c>
      <c r="M427" s="191">
        <v>4</v>
      </c>
      <c r="N427" s="191">
        <v>2</v>
      </c>
      <c r="O427" s="191">
        <f t="shared" ref="O427:AY427" si="92">+O428</f>
        <v>4.0999999999999996</v>
      </c>
      <c r="P427" s="191">
        <f t="shared" si="92"/>
        <v>0.2</v>
      </c>
      <c r="Q427" s="191">
        <f t="shared" si="92"/>
        <v>2.4</v>
      </c>
      <c r="R427" s="191">
        <f t="shared" si="92"/>
        <v>1.7</v>
      </c>
      <c r="S427" s="191">
        <f t="shared" si="92"/>
        <v>0.3</v>
      </c>
      <c r="T427" s="191">
        <f t="shared" si="92"/>
        <v>1.7</v>
      </c>
      <c r="U427" s="191">
        <f t="shared" si="92"/>
        <v>1</v>
      </c>
      <c r="V427" s="191">
        <f t="shared" si="92"/>
        <v>0.9</v>
      </c>
      <c r="W427" s="191">
        <f t="shared" si="92"/>
        <v>2.7</v>
      </c>
      <c r="X427" s="191">
        <f t="shared" si="92"/>
        <v>50.3</v>
      </c>
      <c r="Y427" s="191">
        <f t="shared" si="92"/>
        <v>0.8</v>
      </c>
      <c r="Z427" s="191">
        <f t="shared" si="92"/>
        <v>67.8</v>
      </c>
      <c r="AA427" s="191">
        <f t="shared" si="92"/>
        <v>1</v>
      </c>
      <c r="AB427" s="191">
        <f t="shared" si="92"/>
        <v>2.6</v>
      </c>
      <c r="AC427" s="191">
        <f t="shared" si="92"/>
        <v>3</v>
      </c>
      <c r="AD427" s="191">
        <f t="shared" si="92"/>
        <v>4.9000000000000004</v>
      </c>
      <c r="AE427" s="191">
        <f t="shared" si="92"/>
        <v>1.6</v>
      </c>
      <c r="AF427" s="191">
        <f t="shared" si="92"/>
        <v>1.8</v>
      </c>
      <c r="AG427" s="191">
        <f t="shared" si="92"/>
        <v>3.1</v>
      </c>
      <c r="AH427" s="191">
        <f t="shared" si="92"/>
        <v>2.5</v>
      </c>
      <c r="AI427" s="191">
        <f t="shared" si="92"/>
        <v>6.2</v>
      </c>
      <c r="AJ427" s="191">
        <f t="shared" si="92"/>
        <v>0.4</v>
      </c>
      <c r="AK427" s="191">
        <f t="shared" si="92"/>
        <v>3.6</v>
      </c>
      <c r="AL427" s="191">
        <f t="shared" si="92"/>
        <v>9.9</v>
      </c>
      <c r="AM427" s="191">
        <f t="shared" si="92"/>
        <v>2.5</v>
      </c>
      <c r="AN427" s="191">
        <f t="shared" si="92"/>
        <v>0</v>
      </c>
      <c r="AO427" s="191">
        <f t="shared" si="92"/>
        <v>4.7</v>
      </c>
      <c r="AP427" s="191">
        <f t="shared" si="92"/>
        <v>5.9</v>
      </c>
      <c r="AQ427" s="191">
        <f t="shared" si="92"/>
        <v>1.8</v>
      </c>
      <c r="AR427" s="191">
        <f t="shared" si="92"/>
        <v>0</v>
      </c>
      <c r="AS427" s="191">
        <f t="shared" si="92"/>
        <v>0</v>
      </c>
      <c r="AT427" s="191">
        <f t="shared" si="92"/>
        <v>0</v>
      </c>
      <c r="AU427" s="191">
        <f t="shared" si="92"/>
        <v>0</v>
      </c>
      <c r="AV427" s="191">
        <f t="shared" si="92"/>
        <v>0</v>
      </c>
      <c r="AW427" s="191">
        <f t="shared" si="92"/>
        <v>0</v>
      </c>
      <c r="AX427" s="191">
        <f t="shared" si="92"/>
        <v>0</v>
      </c>
      <c r="AY427" s="191">
        <f t="shared" si="92"/>
        <v>0</v>
      </c>
      <c r="AZ427" s="191">
        <f t="shared" ref="AZ427:BZ427" si="93">+AZ428+AZ429</f>
        <v>4.4000000000000004</v>
      </c>
      <c r="BA427" s="191">
        <f t="shared" si="93"/>
        <v>2.4</v>
      </c>
      <c r="BB427" s="191">
        <f t="shared" si="93"/>
        <v>8.3000000000000007</v>
      </c>
      <c r="BC427" s="191">
        <f t="shared" si="93"/>
        <v>5.5</v>
      </c>
      <c r="BD427" s="191">
        <f t="shared" si="93"/>
        <v>4</v>
      </c>
      <c r="BE427" s="191">
        <f t="shared" si="93"/>
        <v>2.5</v>
      </c>
      <c r="BF427" s="191">
        <f t="shared" si="93"/>
        <v>4.0999999999999996</v>
      </c>
      <c r="BG427" s="191">
        <f t="shared" si="93"/>
        <v>4.3</v>
      </c>
      <c r="BH427" s="191">
        <f t="shared" si="93"/>
        <v>0</v>
      </c>
      <c r="BI427" s="191">
        <f t="shared" si="93"/>
        <v>3.5</v>
      </c>
      <c r="BJ427" s="191">
        <f t="shared" si="93"/>
        <v>11.3</v>
      </c>
      <c r="BK427" s="191">
        <f t="shared" si="93"/>
        <v>0</v>
      </c>
      <c r="BL427" s="191">
        <f t="shared" si="93"/>
        <v>0.1</v>
      </c>
      <c r="BM427" s="191">
        <f t="shared" si="93"/>
        <v>0.3</v>
      </c>
      <c r="BN427" s="191">
        <f t="shared" si="93"/>
        <v>2.8</v>
      </c>
      <c r="BO427" s="191">
        <f t="shared" si="93"/>
        <v>0.2</v>
      </c>
      <c r="BP427" s="191">
        <f t="shared" si="93"/>
        <v>0.2</v>
      </c>
      <c r="BQ427" s="191">
        <f t="shared" si="93"/>
        <v>0.1</v>
      </c>
      <c r="BR427" s="191">
        <f t="shared" si="93"/>
        <v>0.4</v>
      </c>
      <c r="BS427" s="191">
        <f t="shared" si="93"/>
        <v>4</v>
      </c>
      <c r="BT427" s="191">
        <f t="shared" si="93"/>
        <v>1.9</v>
      </c>
      <c r="BU427" s="191">
        <f t="shared" si="93"/>
        <v>1.4</v>
      </c>
      <c r="BV427" s="191">
        <f t="shared" si="93"/>
        <v>0.1</v>
      </c>
      <c r="BW427" s="191">
        <f t="shared" si="93"/>
        <v>0.1</v>
      </c>
      <c r="BX427" s="191">
        <f t="shared" si="93"/>
        <v>0.3</v>
      </c>
      <c r="BY427" s="191">
        <f t="shared" si="93"/>
        <v>1.3</v>
      </c>
      <c r="BZ427" s="191">
        <f t="shared" si="93"/>
        <v>1.7</v>
      </c>
      <c r="CA427" s="191">
        <f t="shared" ref="CA427:CB427" si="94">+CA428+CA429</f>
        <v>1.1000000000000001</v>
      </c>
      <c r="CB427" s="191">
        <f t="shared" si="94"/>
        <v>1.1000000000000001</v>
      </c>
      <c r="CC427" s="191">
        <f t="shared" ref="CC427:CD427" si="95">+CC428+CC429</f>
        <v>1.9</v>
      </c>
      <c r="CD427" s="191">
        <f t="shared" si="95"/>
        <v>1.3</v>
      </c>
      <c r="CE427" s="191">
        <f t="shared" ref="CE427:CF427" si="96">+CE428+CE429</f>
        <v>2</v>
      </c>
      <c r="CF427" s="191">
        <f t="shared" si="96"/>
        <v>1.4</v>
      </c>
      <c r="CG427" s="191">
        <f t="shared" ref="CG427:CH427" si="97">+CG428+CG429</f>
        <v>1.3</v>
      </c>
      <c r="CH427" s="191">
        <f t="shared" si="97"/>
        <v>0.9</v>
      </c>
      <c r="CI427" s="191">
        <f t="shared" ref="CI427:CJ427" si="98">+CI428+CI429</f>
        <v>1.8</v>
      </c>
      <c r="CJ427" s="191">
        <f t="shared" si="98"/>
        <v>0.3</v>
      </c>
    </row>
    <row r="428" spans="1:89" ht="16.2" x14ac:dyDescent="0.3">
      <c r="A428" s="173"/>
      <c r="B428" s="197" t="s">
        <v>98</v>
      </c>
      <c r="C428" s="198">
        <v>1.6</v>
      </c>
      <c r="D428" s="198">
        <v>3.1</v>
      </c>
      <c r="E428" s="198">
        <v>1.3</v>
      </c>
      <c r="F428" s="198">
        <v>1.2</v>
      </c>
      <c r="G428" s="198">
        <v>2.4</v>
      </c>
      <c r="H428" s="198">
        <v>3</v>
      </c>
      <c r="I428" s="198">
        <v>4.5999999999999996</v>
      </c>
      <c r="J428" s="198">
        <v>12.4</v>
      </c>
      <c r="K428" s="198">
        <v>4.3</v>
      </c>
      <c r="L428" s="198">
        <v>3</v>
      </c>
      <c r="M428" s="198">
        <v>4</v>
      </c>
      <c r="N428" s="198">
        <v>2</v>
      </c>
      <c r="O428" s="198">
        <v>4.0999999999999996</v>
      </c>
      <c r="P428" s="198">
        <v>0.2</v>
      </c>
      <c r="Q428" s="198">
        <v>2.4</v>
      </c>
      <c r="R428" s="198">
        <v>1.7</v>
      </c>
      <c r="S428" s="191">
        <v>0.3</v>
      </c>
      <c r="T428" s="198">
        <v>1.7</v>
      </c>
      <c r="U428" s="198">
        <v>1</v>
      </c>
      <c r="V428" s="198">
        <v>0.9</v>
      </c>
      <c r="W428" s="198">
        <v>2.7</v>
      </c>
      <c r="X428" s="198">
        <v>50.3</v>
      </c>
      <c r="Y428" s="198">
        <v>0.8</v>
      </c>
      <c r="Z428" s="198">
        <v>67.8</v>
      </c>
      <c r="AA428" s="198">
        <v>1</v>
      </c>
      <c r="AB428" s="198">
        <v>2.6</v>
      </c>
      <c r="AC428" s="198">
        <v>3</v>
      </c>
      <c r="AD428" s="198">
        <v>4.9000000000000004</v>
      </c>
      <c r="AE428" s="198">
        <v>1.6</v>
      </c>
      <c r="AF428" s="198">
        <v>1.8</v>
      </c>
      <c r="AG428" s="198">
        <v>3.1</v>
      </c>
      <c r="AH428" s="198">
        <v>2.5</v>
      </c>
      <c r="AI428" s="198">
        <v>6.2</v>
      </c>
      <c r="AJ428" s="198">
        <v>0.4</v>
      </c>
      <c r="AK428" s="198">
        <v>3.6</v>
      </c>
      <c r="AL428" s="198">
        <v>9.9</v>
      </c>
      <c r="AM428" s="198">
        <v>2.5</v>
      </c>
      <c r="AN428" s="198">
        <v>0</v>
      </c>
      <c r="AO428" s="198">
        <v>4.7</v>
      </c>
      <c r="AP428" s="198">
        <v>5.9</v>
      </c>
      <c r="AQ428" s="198">
        <v>1.8</v>
      </c>
      <c r="AR428" s="198">
        <v>0</v>
      </c>
      <c r="AS428" s="198">
        <v>0</v>
      </c>
      <c r="AT428" s="198">
        <v>0</v>
      </c>
      <c r="AU428" s="198">
        <v>0</v>
      </c>
      <c r="AV428" s="198">
        <v>0</v>
      </c>
      <c r="AW428" s="198">
        <v>0</v>
      </c>
      <c r="AX428" s="198">
        <v>0</v>
      </c>
      <c r="AY428" s="198">
        <v>0</v>
      </c>
      <c r="AZ428" s="198">
        <v>0</v>
      </c>
      <c r="BA428" s="198">
        <v>0</v>
      </c>
      <c r="BB428" s="198">
        <v>0</v>
      </c>
      <c r="BC428" s="198">
        <v>0</v>
      </c>
      <c r="BD428" s="198">
        <v>0</v>
      </c>
      <c r="BE428" s="198">
        <v>0</v>
      </c>
      <c r="BF428" s="198">
        <v>0</v>
      </c>
      <c r="BG428" s="198">
        <v>0</v>
      </c>
      <c r="BH428" s="198">
        <v>0</v>
      </c>
      <c r="BI428" s="198">
        <v>0</v>
      </c>
      <c r="BJ428" s="198">
        <v>0</v>
      </c>
      <c r="BK428" s="198">
        <v>0</v>
      </c>
      <c r="BL428" s="198">
        <v>0</v>
      </c>
      <c r="BM428" s="198">
        <v>0</v>
      </c>
      <c r="BN428" s="198">
        <v>0</v>
      </c>
      <c r="BO428" s="198">
        <v>0</v>
      </c>
      <c r="BP428" s="198">
        <v>0</v>
      </c>
      <c r="BQ428" s="198">
        <v>0</v>
      </c>
      <c r="BR428" s="198">
        <v>0</v>
      </c>
      <c r="BS428" s="198">
        <v>0</v>
      </c>
      <c r="BT428" s="198">
        <v>0</v>
      </c>
      <c r="BU428" s="198">
        <v>0</v>
      </c>
      <c r="BV428" s="198">
        <v>0</v>
      </c>
      <c r="BW428" s="198">
        <v>0</v>
      </c>
      <c r="BX428" s="198">
        <v>0</v>
      </c>
      <c r="BY428" s="198">
        <v>0</v>
      </c>
      <c r="BZ428" s="198">
        <v>0</v>
      </c>
      <c r="CA428" s="198">
        <v>0</v>
      </c>
      <c r="CB428" s="198">
        <v>0</v>
      </c>
      <c r="CC428" s="198">
        <v>0</v>
      </c>
      <c r="CD428" s="198">
        <v>0</v>
      </c>
      <c r="CE428" s="198">
        <v>0</v>
      </c>
      <c r="CF428" s="198">
        <v>0</v>
      </c>
      <c r="CG428" s="198">
        <v>0</v>
      </c>
      <c r="CH428" s="198">
        <v>0</v>
      </c>
      <c r="CI428" s="198">
        <v>0</v>
      </c>
      <c r="CJ428" s="198">
        <v>0</v>
      </c>
      <c r="CK428" s="88"/>
    </row>
    <row r="429" spans="1:89" x14ac:dyDescent="0.3">
      <c r="A429" s="173"/>
      <c r="B429" s="197" t="s">
        <v>378</v>
      </c>
      <c r="C429" s="198">
        <v>0</v>
      </c>
      <c r="D429" s="198">
        <v>0</v>
      </c>
      <c r="E429" s="203">
        <v>0</v>
      </c>
      <c r="F429" s="198">
        <v>0</v>
      </c>
      <c r="G429" s="198">
        <v>0</v>
      </c>
      <c r="H429" s="198">
        <v>0</v>
      </c>
      <c r="I429" s="198">
        <v>0</v>
      </c>
      <c r="J429" s="198">
        <v>0</v>
      </c>
      <c r="K429" s="198">
        <v>0</v>
      </c>
      <c r="L429" s="198">
        <v>0</v>
      </c>
      <c r="M429" s="198">
        <v>0</v>
      </c>
      <c r="N429" s="198">
        <v>0</v>
      </c>
      <c r="O429" s="198">
        <v>0</v>
      </c>
      <c r="P429" s="198">
        <v>0</v>
      </c>
      <c r="Q429" s="198">
        <v>0</v>
      </c>
      <c r="R429" s="198">
        <v>0</v>
      </c>
      <c r="S429" s="198">
        <v>0</v>
      </c>
      <c r="T429" s="198">
        <v>0</v>
      </c>
      <c r="U429" s="198">
        <v>0</v>
      </c>
      <c r="V429" s="198">
        <v>0</v>
      </c>
      <c r="W429" s="198">
        <v>0</v>
      </c>
      <c r="X429" s="198">
        <v>0</v>
      </c>
      <c r="Y429" s="198">
        <v>0</v>
      </c>
      <c r="Z429" s="198">
        <v>0</v>
      </c>
      <c r="AA429" s="198">
        <v>0</v>
      </c>
      <c r="AB429" s="198">
        <v>0</v>
      </c>
      <c r="AC429" s="198">
        <v>0</v>
      </c>
      <c r="AD429" s="198">
        <v>0</v>
      </c>
      <c r="AE429" s="198">
        <v>0</v>
      </c>
      <c r="AF429" s="198">
        <v>0</v>
      </c>
      <c r="AG429" s="198">
        <v>0</v>
      </c>
      <c r="AH429" s="198">
        <v>0</v>
      </c>
      <c r="AI429" s="198">
        <v>0</v>
      </c>
      <c r="AJ429" s="198">
        <v>0</v>
      </c>
      <c r="AK429" s="198">
        <v>0</v>
      </c>
      <c r="AL429" s="198">
        <v>0</v>
      </c>
      <c r="AM429" s="198">
        <v>0</v>
      </c>
      <c r="AN429" s="198">
        <v>0</v>
      </c>
      <c r="AO429" s="198">
        <v>0</v>
      </c>
      <c r="AP429" s="198">
        <v>0</v>
      </c>
      <c r="AQ429" s="198">
        <v>0</v>
      </c>
      <c r="AR429" s="198">
        <v>0</v>
      </c>
      <c r="AS429" s="198">
        <v>0</v>
      </c>
      <c r="AT429" s="198">
        <v>0</v>
      </c>
      <c r="AU429" s="198">
        <v>0</v>
      </c>
      <c r="AV429" s="198">
        <v>0</v>
      </c>
      <c r="AW429" s="198">
        <v>0</v>
      </c>
      <c r="AX429" s="198">
        <v>0</v>
      </c>
      <c r="AY429" s="198">
        <v>0.2</v>
      </c>
      <c r="AZ429" s="198">
        <v>4.4000000000000004</v>
      </c>
      <c r="BA429" s="198">
        <v>2.4</v>
      </c>
      <c r="BB429" s="198">
        <v>8.3000000000000007</v>
      </c>
      <c r="BC429" s="198">
        <v>5.5</v>
      </c>
      <c r="BD429" s="198">
        <v>4</v>
      </c>
      <c r="BE429" s="198">
        <v>2.5</v>
      </c>
      <c r="BF429" s="198">
        <v>4.0999999999999996</v>
      </c>
      <c r="BG429" s="198">
        <v>4.3</v>
      </c>
      <c r="BH429" s="198">
        <v>0</v>
      </c>
      <c r="BI429" s="198">
        <v>3.5</v>
      </c>
      <c r="BJ429" s="198">
        <v>11.3</v>
      </c>
      <c r="BK429" s="198">
        <v>0</v>
      </c>
      <c r="BL429" s="198">
        <v>0.1</v>
      </c>
      <c r="BM429" s="198">
        <v>0.3</v>
      </c>
      <c r="BN429" s="198">
        <v>2.8</v>
      </c>
      <c r="BO429" s="198">
        <v>0.2</v>
      </c>
      <c r="BP429" s="198">
        <v>0.2</v>
      </c>
      <c r="BQ429" s="198">
        <v>0.1</v>
      </c>
      <c r="BR429" s="198">
        <v>0.4</v>
      </c>
      <c r="BS429" s="198">
        <v>4</v>
      </c>
      <c r="BT429" s="198">
        <v>1.9</v>
      </c>
      <c r="BU429" s="198">
        <v>1.4</v>
      </c>
      <c r="BV429" s="198">
        <v>0.1</v>
      </c>
      <c r="BW429" s="198">
        <v>0.1</v>
      </c>
      <c r="BX429" s="198">
        <v>0.3</v>
      </c>
      <c r="BY429" s="198">
        <v>1.3</v>
      </c>
      <c r="BZ429" s="198">
        <v>1.7</v>
      </c>
      <c r="CA429" s="198">
        <v>1.1000000000000001</v>
      </c>
      <c r="CB429" s="198">
        <v>1.1000000000000001</v>
      </c>
      <c r="CC429" s="198">
        <v>1.9</v>
      </c>
      <c r="CD429" s="198">
        <v>1.3</v>
      </c>
      <c r="CE429" s="198">
        <v>2</v>
      </c>
      <c r="CF429" s="198">
        <v>1.4</v>
      </c>
      <c r="CG429" s="198">
        <v>1.3</v>
      </c>
      <c r="CH429" s="198">
        <v>0.9</v>
      </c>
      <c r="CI429" s="198">
        <v>1.8</v>
      </c>
      <c r="CJ429" s="198">
        <v>0.3</v>
      </c>
      <c r="CK429" s="88"/>
    </row>
    <row r="430" spans="1:89" x14ac:dyDescent="0.3">
      <c r="A430" s="173"/>
      <c r="B430" s="206" t="s">
        <v>57</v>
      </c>
      <c r="C430" s="207" t="s">
        <v>57</v>
      </c>
      <c r="D430" s="207" t="s">
        <v>57</v>
      </c>
      <c r="E430" s="207" t="s">
        <v>57</v>
      </c>
      <c r="F430" s="207" t="s">
        <v>57</v>
      </c>
      <c r="G430" s="207" t="s">
        <v>57</v>
      </c>
      <c r="H430" s="207" t="s">
        <v>57</v>
      </c>
      <c r="I430" s="207" t="s">
        <v>57</v>
      </c>
      <c r="J430" s="207" t="s">
        <v>57</v>
      </c>
      <c r="K430" s="207" t="s">
        <v>57</v>
      </c>
      <c r="L430" s="207" t="s">
        <v>57</v>
      </c>
      <c r="M430" s="207" t="s">
        <v>57</v>
      </c>
      <c r="N430" s="207" t="s">
        <v>57</v>
      </c>
      <c r="O430" s="207" t="s">
        <v>57</v>
      </c>
      <c r="P430" s="207" t="s">
        <v>57</v>
      </c>
      <c r="Q430" s="207" t="s">
        <v>57</v>
      </c>
      <c r="R430" s="207" t="s">
        <v>57</v>
      </c>
      <c r="S430" s="207" t="s">
        <v>57</v>
      </c>
      <c r="T430" s="207" t="s">
        <v>57</v>
      </c>
      <c r="U430" s="207" t="s">
        <v>57</v>
      </c>
      <c r="V430" s="207" t="s">
        <v>57</v>
      </c>
      <c r="W430" s="207" t="s">
        <v>57</v>
      </c>
      <c r="X430" s="207" t="s">
        <v>57</v>
      </c>
      <c r="Y430" s="207" t="s">
        <v>57</v>
      </c>
      <c r="Z430" s="207" t="s">
        <v>57</v>
      </c>
      <c r="AA430" s="207" t="s">
        <v>57</v>
      </c>
      <c r="AB430" s="207" t="s">
        <v>57</v>
      </c>
      <c r="AC430" s="207" t="s">
        <v>57</v>
      </c>
      <c r="AD430" s="207" t="s">
        <v>57</v>
      </c>
      <c r="AE430" s="207" t="s">
        <v>57</v>
      </c>
      <c r="AF430" s="207" t="s">
        <v>57</v>
      </c>
      <c r="AG430" s="207" t="s">
        <v>57</v>
      </c>
      <c r="AH430" s="207" t="s">
        <v>57</v>
      </c>
      <c r="AI430" s="207" t="s">
        <v>57</v>
      </c>
      <c r="AJ430" s="207" t="s">
        <v>57</v>
      </c>
      <c r="AK430" s="207" t="s">
        <v>57</v>
      </c>
      <c r="AL430" s="207" t="s">
        <v>57</v>
      </c>
      <c r="AM430" s="207" t="s">
        <v>57</v>
      </c>
      <c r="AN430" s="207" t="s">
        <v>57</v>
      </c>
      <c r="AO430" s="207" t="s">
        <v>57</v>
      </c>
      <c r="AP430" s="207" t="s">
        <v>57</v>
      </c>
      <c r="AQ430" s="207" t="s">
        <v>57</v>
      </c>
      <c r="AR430" s="207" t="s">
        <v>57</v>
      </c>
      <c r="AS430" s="207" t="s">
        <v>57</v>
      </c>
      <c r="AT430" s="207" t="s">
        <v>57</v>
      </c>
      <c r="AU430" s="207" t="s">
        <v>57</v>
      </c>
      <c r="AV430" s="207" t="s">
        <v>57</v>
      </c>
      <c r="AW430" s="207" t="s">
        <v>57</v>
      </c>
      <c r="AX430" s="207" t="s">
        <v>57</v>
      </c>
      <c r="AY430" s="207" t="s">
        <v>57</v>
      </c>
      <c r="AZ430" s="207" t="s">
        <v>57</v>
      </c>
      <c r="BA430" s="207" t="s">
        <v>57</v>
      </c>
      <c r="BB430" s="207" t="s">
        <v>57</v>
      </c>
      <c r="BC430" s="207" t="s">
        <v>57</v>
      </c>
      <c r="BD430" s="207" t="s">
        <v>57</v>
      </c>
      <c r="BE430" s="207" t="s">
        <v>57</v>
      </c>
      <c r="BF430" s="207" t="s">
        <v>57</v>
      </c>
      <c r="BG430" s="207" t="s">
        <v>57</v>
      </c>
      <c r="BH430" s="207" t="s">
        <v>57</v>
      </c>
      <c r="BI430" s="207" t="s">
        <v>57</v>
      </c>
      <c r="BJ430" s="207" t="s">
        <v>57</v>
      </c>
      <c r="BK430" s="207" t="s">
        <v>57</v>
      </c>
      <c r="BL430" s="207" t="s">
        <v>57</v>
      </c>
      <c r="BM430" s="207" t="s">
        <v>57</v>
      </c>
      <c r="BN430" s="207" t="s">
        <v>57</v>
      </c>
      <c r="BO430" s="207" t="s">
        <v>57</v>
      </c>
      <c r="BP430" s="207" t="s">
        <v>57</v>
      </c>
      <c r="BQ430" s="207" t="s">
        <v>57</v>
      </c>
      <c r="BR430" s="207" t="s">
        <v>57</v>
      </c>
      <c r="BS430" s="207" t="s">
        <v>57</v>
      </c>
      <c r="BT430" s="207" t="s">
        <v>57</v>
      </c>
      <c r="BU430" s="207" t="s">
        <v>57</v>
      </c>
      <c r="BV430" s="207" t="s">
        <v>57</v>
      </c>
      <c r="BW430" s="207" t="s">
        <v>57</v>
      </c>
      <c r="BX430" s="207" t="s">
        <v>57</v>
      </c>
      <c r="BY430" s="207" t="s">
        <v>57</v>
      </c>
      <c r="BZ430" s="207" t="s">
        <v>57</v>
      </c>
      <c r="CA430" s="207" t="s">
        <v>57</v>
      </c>
      <c r="CB430" s="207" t="s">
        <v>57</v>
      </c>
      <c r="CC430" s="207" t="s">
        <v>57</v>
      </c>
      <c r="CD430" s="207" t="s">
        <v>57</v>
      </c>
      <c r="CE430" s="207" t="s">
        <v>57</v>
      </c>
      <c r="CF430" s="208" t="s">
        <v>57</v>
      </c>
      <c r="CG430" s="208"/>
      <c r="CH430" s="208"/>
      <c r="CI430" s="208"/>
      <c r="CJ430" s="208"/>
    </row>
    <row r="431" spans="1:89" ht="16.2" x14ac:dyDescent="0.3">
      <c r="A431" s="173"/>
      <c r="B431" s="190" t="s">
        <v>257</v>
      </c>
      <c r="C431" s="191">
        <f>SUM(C432:C435)</f>
        <v>3025.3</v>
      </c>
      <c r="D431" s="191">
        <f t="shared" ref="D431:V431" si="99">+SUM(D432:D435)</f>
        <v>-2187</v>
      </c>
      <c r="E431" s="191">
        <f t="shared" si="99"/>
        <v>-6604.2000000000007</v>
      </c>
      <c r="F431" s="191">
        <f t="shared" si="99"/>
        <v>247.10000000000002</v>
      </c>
      <c r="G431" s="191">
        <f t="shared" si="99"/>
        <v>-248.30000000000013</v>
      </c>
      <c r="H431" s="191">
        <f t="shared" si="99"/>
        <v>5889.5</v>
      </c>
      <c r="I431" s="191">
        <f t="shared" si="99"/>
        <v>-1895.8</v>
      </c>
      <c r="J431" s="191">
        <f t="shared" si="99"/>
        <v>-18494.100000000002</v>
      </c>
      <c r="K431" s="191">
        <f t="shared" si="99"/>
        <v>2202.5</v>
      </c>
      <c r="L431" s="191">
        <f t="shared" si="99"/>
        <v>2254</v>
      </c>
      <c r="M431" s="191">
        <f t="shared" si="99"/>
        <v>659</v>
      </c>
      <c r="N431" s="191">
        <f t="shared" si="99"/>
        <v>1833</v>
      </c>
      <c r="O431" s="191">
        <f t="shared" si="99"/>
        <v>269.5</v>
      </c>
      <c r="P431" s="191">
        <f t="shared" si="99"/>
        <v>-1478.7</v>
      </c>
      <c r="Q431" s="191">
        <f t="shared" si="99"/>
        <v>-1753.9</v>
      </c>
      <c r="R431" s="191">
        <f t="shared" si="99"/>
        <v>-1721.8</v>
      </c>
      <c r="S431" s="191">
        <f t="shared" si="99"/>
        <v>-386.20000000000005</v>
      </c>
      <c r="T431" s="191">
        <f t="shared" si="99"/>
        <v>-1092.1999999999998</v>
      </c>
      <c r="U431" s="191">
        <f t="shared" si="99"/>
        <v>984.6</v>
      </c>
      <c r="V431" s="191">
        <f t="shared" si="99"/>
        <v>-690.8</v>
      </c>
      <c r="W431" s="191">
        <f t="shared" ref="W431" si="100">+SUM(W432:W435)</f>
        <v>-1555.0999999998719</v>
      </c>
      <c r="X431" s="191">
        <f t="shared" ref="X431:BZ431" si="101">+SUM(X432:X435)</f>
        <v>-923.19999999999993</v>
      </c>
      <c r="Y431" s="191">
        <f t="shared" si="101"/>
        <v>-640.20000000000005</v>
      </c>
      <c r="Z431" s="191">
        <f t="shared" si="101"/>
        <v>-711.90000000000009</v>
      </c>
      <c r="AA431" s="191">
        <f t="shared" si="101"/>
        <v>-1282.8999999999999</v>
      </c>
      <c r="AB431" s="191">
        <f t="shared" si="101"/>
        <v>-653.59999999999991</v>
      </c>
      <c r="AC431" s="191">
        <f t="shared" si="101"/>
        <v>-904.8</v>
      </c>
      <c r="AD431" s="191">
        <f t="shared" si="101"/>
        <v>1136.4999999999998</v>
      </c>
      <c r="AE431" s="191">
        <f t="shared" si="101"/>
        <v>1506.7</v>
      </c>
      <c r="AF431" s="191">
        <f t="shared" si="101"/>
        <v>78.300000000000139</v>
      </c>
      <c r="AG431" s="191">
        <f t="shared" si="101"/>
        <v>952.1</v>
      </c>
      <c r="AH431" s="191">
        <f t="shared" si="101"/>
        <v>474.9</v>
      </c>
      <c r="AI431" s="191">
        <f t="shared" si="101"/>
        <v>135.79999999999995</v>
      </c>
      <c r="AJ431" s="191">
        <f t="shared" si="101"/>
        <v>1379.7</v>
      </c>
      <c r="AK431" s="191">
        <f t="shared" si="101"/>
        <v>355.39999999999992</v>
      </c>
      <c r="AL431" s="191">
        <f t="shared" si="101"/>
        <v>-0.50000000000004552</v>
      </c>
      <c r="AM431" s="191">
        <f t="shared" si="101"/>
        <v>-565.69999999999993</v>
      </c>
      <c r="AN431" s="191">
        <f t="shared" si="101"/>
        <v>28.09999999999993</v>
      </c>
      <c r="AO431" s="191">
        <f t="shared" si="101"/>
        <v>-986.3</v>
      </c>
      <c r="AP431" s="191">
        <f t="shared" si="101"/>
        <v>-1962.3</v>
      </c>
      <c r="AQ431" s="191">
        <f t="shared" si="101"/>
        <v>433.49999999999989</v>
      </c>
      <c r="AR431" s="191">
        <f t="shared" si="101"/>
        <v>-1555.9</v>
      </c>
      <c r="AS431" s="191">
        <f t="shared" si="101"/>
        <v>-1696.9999999999998</v>
      </c>
      <c r="AT431" s="191">
        <f t="shared" si="101"/>
        <v>-2468.3000000000002</v>
      </c>
      <c r="AU431" s="191">
        <f t="shared" si="101"/>
        <v>-2416.8999999999996</v>
      </c>
      <c r="AV431" s="191">
        <f t="shared" si="101"/>
        <v>-231.29999999999995</v>
      </c>
      <c r="AW431" s="191">
        <f t="shared" si="101"/>
        <v>-1084.3</v>
      </c>
      <c r="AX431" s="191">
        <f t="shared" si="101"/>
        <v>-1415.2</v>
      </c>
      <c r="AY431" s="191">
        <f t="shared" si="101"/>
        <v>-1966.6999999999998</v>
      </c>
      <c r="AZ431" s="191">
        <f t="shared" si="101"/>
        <v>-3134.2</v>
      </c>
      <c r="BA431" s="191">
        <f t="shared" si="101"/>
        <v>-585.29999999999995</v>
      </c>
      <c r="BB431" s="191">
        <f t="shared" si="101"/>
        <v>-1117.7999999999997</v>
      </c>
      <c r="BC431" s="191">
        <f t="shared" si="101"/>
        <v>-2118.6000000000004</v>
      </c>
      <c r="BD431" s="191">
        <f t="shared" si="101"/>
        <v>-963.2</v>
      </c>
      <c r="BE431" s="191">
        <f t="shared" si="101"/>
        <v>-1502.6999999999998</v>
      </c>
      <c r="BF431" s="191">
        <f t="shared" si="101"/>
        <v>-18674.7</v>
      </c>
      <c r="BG431" s="191">
        <f t="shared" si="101"/>
        <v>5587.5</v>
      </c>
      <c r="BH431" s="191">
        <f t="shared" si="101"/>
        <v>8171.0999999999985</v>
      </c>
      <c r="BI431" s="191">
        <f t="shared" si="101"/>
        <v>6605.4</v>
      </c>
      <c r="BJ431" s="191">
        <f t="shared" si="101"/>
        <v>-59365.8</v>
      </c>
      <c r="BK431" s="191">
        <f t="shared" si="101"/>
        <v>7194.2</v>
      </c>
      <c r="BL431" s="191">
        <f t="shared" si="101"/>
        <v>12139.6</v>
      </c>
      <c r="BM431" s="191">
        <f t="shared" si="101"/>
        <v>15262.3</v>
      </c>
      <c r="BN431" s="191">
        <f t="shared" si="101"/>
        <v>10589.6</v>
      </c>
      <c r="BO431" s="191">
        <f t="shared" si="101"/>
        <v>9830.2000000000007</v>
      </c>
      <c r="BP431" s="191">
        <f t="shared" si="101"/>
        <v>5973.8</v>
      </c>
      <c r="BQ431" s="191">
        <f t="shared" si="101"/>
        <v>3563.1</v>
      </c>
      <c r="BR431" s="191">
        <f t="shared" si="101"/>
        <v>4249</v>
      </c>
      <c r="BS431" s="191">
        <f t="shared" si="101"/>
        <v>4712.2000000000007</v>
      </c>
      <c r="BT431" s="191">
        <f t="shared" si="101"/>
        <v>3403.8999999999996</v>
      </c>
      <c r="BU431" s="191">
        <f t="shared" si="101"/>
        <v>1427.1</v>
      </c>
      <c r="BV431" s="191">
        <f t="shared" si="101"/>
        <v>1537.6</v>
      </c>
      <c r="BW431" s="191">
        <f t="shared" si="101"/>
        <v>2709.1</v>
      </c>
      <c r="BX431" s="191">
        <f t="shared" si="101"/>
        <v>4440.8</v>
      </c>
      <c r="BY431" s="191">
        <f t="shared" si="101"/>
        <v>6786.7</v>
      </c>
      <c r="BZ431" s="191">
        <f t="shared" si="101"/>
        <v>-8818.6</v>
      </c>
      <c r="CA431" s="191">
        <f t="shared" ref="CA431:CB431" si="102">+SUM(CA432:CA435)</f>
        <v>5294.6</v>
      </c>
      <c r="CB431" s="191">
        <f t="shared" si="102"/>
        <v>8839.4</v>
      </c>
      <c r="CC431" s="191">
        <f t="shared" ref="CC431:CD431" si="103">+SUM(CC432:CC435)</f>
        <v>-10098.899999999998</v>
      </c>
      <c r="CD431" s="191">
        <f t="shared" si="103"/>
        <v>14679.400000000001</v>
      </c>
      <c r="CE431" s="191">
        <f t="shared" ref="CE431:CF431" si="104">+SUM(CE432:CE435)</f>
        <v>809.4000000000002</v>
      </c>
      <c r="CF431" s="191">
        <f t="shared" si="104"/>
        <v>-4896.0999999999995</v>
      </c>
      <c r="CG431" s="191">
        <f t="shared" ref="CG431:CH431" si="105">+SUM(CG432:CG435)</f>
        <v>5173.7</v>
      </c>
      <c r="CH431" s="191">
        <f t="shared" si="105"/>
        <v>6036.2</v>
      </c>
      <c r="CI431" s="191">
        <f t="shared" ref="CI431:CJ431" si="106">+SUM(CI432:CI435)</f>
        <v>7876</v>
      </c>
      <c r="CJ431" s="191">
        <f t="shared" si="106"/>
        <v>10997.3</v>
      </c>
    </row>
    <row r="432" spans="1:89" x14ac:dyDescent="0.3">
      <c r="A432" s="173"/>
      <c r="B432" s="212" t="s">
        <v>99</v>
      </c>
      <c r="C432" s="198">
        <v>1422.1</v>
      </c>
      <c r="D432" s="198">
        <v>-2918.5</v>
      </c>
      <c r="E432" s="198">
        <v>-5394.7</v>
      </c>
      <c r="F432" s="198">
        <v>-755.9</v>
      </c>
      <c r="G432" s="198">
        <v>-1127.4000000000001</v>
      </c>
      <c r="H432" s="198">
        <v>3250.4</v>
      </c>
      <c r="I432" s="198">
        <v>-2225.8000000000002</v>
      </c>
      <c r="J432" s="198">
        <v>-12454.6</v>
      </c>
      <c r="K432" s="198">
        <v>561.20000000000005</v>
      </c>
      <c r="L432" s="198">
        <v>-349</v>
      </c>
      <c r="M432" s="198">
        <v>-559</v>
      </c>
      <c r="N432" s="198">
        <v>679</v>
      </c>
      <c r="O432" s="198">
        <v>-726.7</v>
      </c>
      <c r="P432" s="198">
        <v>-1631.7</v>
      </c>
      <c r="Q432" s="198">
        <v>-1674.5</v>
      </c>
      <c r="R432" s="198">
        <v>-1525.5</v>
      </c>
      <c r="S432" s="198">
        <v>-559.1</v>
      </c>
      <c r="T432" s="198">
        <v>-683.9</v>
      </c>
      <c r="U432" s="198">
        <v>1208.2</v>
      </c>
      <c r="V432" s="198">
        <v>-508.1</v>
      </c>
      <c r="W432" s="198">
        <v>-1541.6</v>
      </c>
      <c r="X432" s="198">
        <v>-928.1</v>
      </c>
      <c r="Y432" s="198">
        <v>-429.3</v>
      </c>
      <c r="Z432" s="198">
        <v>-747.7</v>
      </c>
      <c r="AA432" s="198">
        <v>-1237.0999999999999</v>
      </c>
      <c r="AB432" s="198">
        <v>-1024.8</v>
      </c>
      <c r="AC432" s="198">
        <v>-1720.9</v>
      </c>
      <c r="AD432" s="198">
        <v>227.6</v>
      </c>
      <c r="AE432" s="198">
        <v>-1.4</v>
      </c>
      <c r="AF432" s="198">
        <v>-1182.8</v>
      </c>
      <c r="AG432" s="198">
        <v>-239.9</v>
      </c>
      <c r="AH432" s="198">
        <v>-555.5</v>
      </c>
      <c r="AI432" s="198">
        <v>-901.6</v>
      </c>
      <c r="AJ432" s="198">
        <v>-134.4</v>
      </c>
      <c r="AK432" s="198">
        <v>-966.2</v>
      </c>
      <c r="AL432" s="198">
        <v>-744</v>
      </c>
      <c r="AM432" s="198">
        <v>-1188.5999999999999</v>
      </c>
      <c r="AN432" s="198">
        <v>-833.6</v>
      </c>
      <c r="AO432" s="198">
        <v>-1822.1</v>
      </c>
      <c r="AP432" s="198">
        <v>-3081.6</v>
      </c>
      <c r="AQ432" s="198">
        <v>-1167.4000000000001</v>
      </c>
      <c r="AR432" s="198">
        <v>-2466.8000000000002</v>
      </c>
      <c r="AS432" s="198">
        <v>-2188.6</v>
      </c>
      <c r="AT432" s="198">
        <v>-2905.9</v>
      </c>
      <c r="AU432" s="198">
        <v>-3001.1</v>
      </c>
      <c r="AV432" s="198">
        <v>-2073.4</v>
      </c>
      <c r="AW432" s="198">
        <v>-791.2</v>
      </c>
      <c r="AX432" s="198">
        <v>-1270.7</v>
      </c>
      <c r="AY432" s="198">
        <v>-1711.1</v>
      </c>
      <c r="AZ432" s="198">
        <v>-2998.1</v>
      </c>
      <c r="BA432" s="198">
        <v>-982</v>
      </c>
      <c r="BB432" s="198">
        <v>-1466.6</v>
      </c>
      <c r="BC432" s="198">
        <v>-2569.8000000000002</v>
      </c>
      <c r="BD432" s="198">
        <v>-1466.7</v>
      </c>
      <c r="BE432" s="198">
        <v>-1343.8</v>
      </c>
      <c r="BF432" s="198">
        <v>-5363.7</v>
      </c>
      <c r="BG432" s="386">
        <v>-677.1</v>
      </c>
      <c r="BH432" s="386">
        <v>-193.1</v>
      </c>
      <c r="BI432" s="386">
        <v>475.1</v>
      </c>
      <c r="BJ432" s="386">
        <v>-12058.9</v>
      </c>
      <c r="BK432" s="386">
        <v>-797.1</v>
      </c>
      <c r="BL432" s="386">
        <v>-238.5</v>
      </c>
      <c r="BM432" s="386">
        <v>-259.3</v>
      </c>
      <c r="BN432" s="386">
        <v>-530.4</v>
      </c>
      <c r="BO432" s="386">
        <v>-253.6</v>
      </c>
      <c r="BP432" s="386">
        <v>-832</v>
      </c>
      <c r="BQ432" s="386">
        <v>-846.3</v>
      </c>
      <c r="BR432" s="386">
        <v>-638.29999999999995</v>
      </c>
      <c r="BS432" s="386">
        <v>-792.8</v>
      </c>
      <c r="BT432" s="386">
        <v>-2223</v>
      </c>
      <c r="BU432" s="386">
        <v>-2031.7</v>
      </c>
      <c r="BV432" s="386">
        <v>-1745.6</v>
      </c>
      <c r="BW432" s="386">
        <v>-1603.7</v>
      </c>
      <c r="BX432" s="386">
        <v>-699</v>
      </c>
      <c r="BY432" s="386">
        <v>89.4</v>
      </c>
      <c r="BZ432" s="386">
        <v>-5690.2</v>
      </c>
      <c r="CA432" s="386">
        <v>-1670.2</v>
      </c>
      <c r="CB432" s="386">
        <v>1030.0999999999999</v>
      </c>
      <c r="CC432" s="386">
        <v>-12374.2</v>
      </c>
      <c r="CD432" s="386">
        <v>2599.8000000000002</v>
      </c>
      <c r="CE432" s="386">
        <v>-2689</v>
      </c>
      <c r="CF432" s="198">
        <v>-4856</v>
      </c>
      <c r="CG432" s="198">
        <v>-384.2</v>
      </c>
      <c r="CH432" s="198">
        <v>20.3</v>
      </c>
      <c r="CI432" s="198">
        <v>1300.4000000000001</v>
      </c>
      <c r="CJ432" s="198">
        <v>2104.9</v>
      </c>
    </row>
    <row r="433" spans="1:88" x14ac:dyDescent="0.3">
      <c r="A433" s="173"/>
      <c r="B433" s="212" t="s">
        <v>100</v>
      </c>
      <c r="C433" s="198">
        <v>1051</v>
      </c>
      <c r="D433" s="198">
        <v>-589.79999999999995</v>
      </c>
      <c r="E433" s="198">
        <v>-1731.9</v>
      </c>
      <c r="F433" s="198">
        <v>622</v>
      </c>
      <c r="G433" s="198">
        <v>504.8</v>
      </c>
      <c r="H433" s="198">
        <v>2265.1</v>
      </c>
      <c r="I433" s="198">
        <v>-106.2</v>
      </c>
      <c r="J433" s="198">
        <v>-6473.3</v>
      </c>
      <c r="K433" s="198">
        <v>1179.8</v>
      </c>
      <c r="L433" s="198">
        <v>266</v>
      </c>
      <c r="M433" s="198">
        <v>929</v>
      </c>
      <c r="N433" s="198">
        <v>858</v>
      </c>
      <c r="O433" s="198">
        <v>756.2</v>
      </c>
      <c r="P433" s="198">
        <v>-50.1</v>
      </c>
      <c r="Q433" s="198">
        <v>-416.5</v>
      </c>
      <c r="R433" s="198">
        <v>-303.89999999999998</v>
      </c>
      <c r="S433" s="198">
        <v>-38.6</v>
      </c>
      <c r="T433" s="198">
        <v>-426.2</v>
      </c>
      <c r="U433" s="198">
        <v>-271.89999999999998</v>
      </c>
      <c r="V433" s="198">
        <v>-196.4</v>
      </c>
      <c r="W433" s="198">
        <v>-164.7</v>
      </c>
      <c r="X433" s="198">
        <v>-12</v>
      </c>
      <c r="Y433" s="198">
        <v>-211.4</v>
      </c>
      <c r="Z433" s="198">
        <v>19.7</v>
      </c>
      <c r="AA433" s="198">
        <v>-56.2</v>
      </c>
      <c r="AB433" s="198">
        <v>371</v>
      </c>
      <c r="AC433" s="198">
        <v>687.7</v>
      </c>
      <c r="AD433" s="198">
        <v>1082.8</v>
      </c>
      <c r="AE433" s="198">
        <v>1507.9</v>
      </c>
      <c r="AF433" s="198">
        <v>1260.9000000000001</v>
      </c>
      <c r="AG433" s="198">
        <v>1175.2</v>
      </c>
      <c r="AH433" s="198">
        <v>1030.3</v>
      </c>
      <c r="AI433" s="198">
        <v>916.4</v>
      </c>
      <c r="AJ433" s="198">
        <v>1156.5</v>
      </c>
      <c r="AK433" s="198">
        <v>1321.8</v>
      </c>
      <c r="AL433" s="198">
        <v>743.3</v>
      </c>
      <c r="AM433" s="198">
        <v>612.4</v>
      </c>
      <c r="AN433" s="198">
        <v>861.8</v>
      </c>
      <c r="AO433" s="198">
        <v>835.8</v>
      </c>
      <c r="AP433" s="198">
        <v>1187.2</v>
      </c>
      <c r="AQ433" s="198">
        <v>1600.8</v>
      </c>
      <c r="AR433" s="198">
        <v>910.5</v>
      </c>
      <c r="AS433" s="198">
        <v>361.9</v>
      </c>
      <c r="AT433" s="198">
        <v>437.4</v>
      </c>
      <c r="AU433" s="198">
        <v>584.20000000000005</v>
      </c>
      <c r="AV433" s="198">
        <v>135.9</v>
      </c>
      <c r="AW433" s="198">
        <v>-293.39999999999998</v>
      </c>
      <c r="AX433" s="198">
        <v>-144</v>
      </c>
      <c r="AY433" s="198">
        <v>-265.8</v>
      </c>
      <c r="AZ433" s="198">
        <v>-135.9</v>
      </c>
      <c r="BA433" s="198">
        <v>396.7</v>
      </c>
      <c r="BB433" s="198">
        <v>345.4</v>
      </c>
      <c r="BC433" s="198">
        <v>448.7</v>
      </c>
      <c r="BD433" s="198">
        <v>501.9</v>
      </c>
      <c r="BE433" s="198">
        <v>-182.8</v>
      </c>
      <c r="BF433" s="198">
        <v>-13316.1</v>
      </c>
      <c r="BG433" s="386">
        <v>6264.6</v>
      </c>
      <c r="BH433" s="386">
        <v>9761.7999999999993</v>
      </c>
      <c r="BI433" s="386">
        <v>6121.7</v>
      </c>
      <c r="BJ433" s="386">
        <v>-47307.3</v>
      </c>
      <c r="BK433" s="386">
        <v>7991</v>
      </c>
      <c r="BL433" s="386">
        <v>12371</v>
      </c>
      <c r="BM433" s="386">
        <v>15521.3</v>
      </c>
      <c r="BN433" s="386">
        <v>11097.8</v>
      </c>
      <c r="BO433" s="386">
        <v>9882.6</v>
      </c>
      <c r="BP433" s="386">
        <v>6055.3</v>
      </c>
      <c r="BQ433" s="386">
        <v>2557.1</v>
      </c>
      <c r="BR433" s="386">
        <v>2570</v>
      </c>
      <c r="BS433" s="386">
        <v>2655.1</v>
      </c>
      <c r="BT433" s="386">
        <v>2347.5</v>
      </c>
      <c r="BU433" s="386">
        <v>1196.7</v>
      </c>
      <c r="BV433" s="386">
        <v>702.2</v>
      </c>
      <c r="BW433" s="386">
        <v>662.2</v>
      </c>
      <c r="BX433" s="386">
        <v>1606.4</v>
      </c>
      <c r="BY433" s="386">
        <v>1918.1</v>
      </c>
      <c r="BZ433" s="386">
        <v>-7181</v>
      </c>
      <c r="CA433" s="386">
        <v>1438.5</v>
      </c>
      <c r="CB433" s="386">
        <v>2480.9</v>
      </c>
      <c r="CC433" s="386">
        <v>-11823.4</v>
      </c>
      <c r="CD433" s="386">
        <v>4004.3</v>
      </c>
      <c r="CE433" s="386">
        <v>-1404.7</v>
      </c>
      <c r="CF433" s="198">
        <v>-3523.4</v>
      </c>
      <c r="CG433" s="198">
        <v>1662.5</v>
      </c>
      <c r="CH433" s="198">
        <v>1712.8</v>
      </c>
      <c r="CI433" s="198">
        <v>3410.2</v>
      </c>
      <c r="CJ433" s="198">
        <v>5914.8</v>
      </c>
    </row>
    <row r="434" spans="1:88" x14ac:dyDescent="0.3">
      <c r="A434" s="173"/>
      <c r="B434" s="212" t="s">
        <v>410</v>
      </c>
      <c r="C434" s="198">
        <v>552.20000000000005</v>
      </c>
      <c r="D434" s="198">
        <v>1322.8</v>
      </c>
      <c r="E434" s="198">
        <v>566.5</v>
      </c>
      <c r="F434" s="198">
        <v>359.8</v>
      </c>
      <c r="G434" s="198">
        <v>374.3</v>
      </c>
      <c r="H434" s="198">
        <v>374</v>
      </c>
      <c r="I434" s="198">
        <v>432</v>
      </c>
      <c r="J434" s="198">
        <v>433.8</v>
      </c>
      <c r="K434" s="198">
        <v>461.5</v>
      </c>
      <c r="L434" s="198">
        <v>326</v>
      </c>
      <c r="M434" s="198">
        <v>289</v>
      </c>
      <c r="N434" s="198">
        <v>296</v>
      </c>
      <c r="O434" s="202">
        <f>255.2</f>
        <v>255.2</v>
      </c>
      <c r="P434" s="202">
        <f>202.5</f>
        <v>202.5</v>
      </c>
      <c r="Q434" s="202">
        <f>337.6</f>
        <v>337.6</v>
      </c>
      <c r="R434" s="198">
        <v>43.4</v>
      </c>
      <c r="S434" s="198">
        <v>210.8</v>
      </c>
      <c r="T434" s="198">
        <v>18</v>
      </c>
      <c r="U434" s="198">
        <v>17.899999999999999</v>
      </c>
      <c r="V434" s="198">
        <v>13.7</v>
      </c>
      <c r="W434" s="198">
        <v>151.20000000012806</v>
      </c>
      <c r="X434" s="198">
        <v>13.2</v>
      </c>
      <c r="Y434" s="198">
        <v>0</v>
      </c>
      <c r="Z434" s="198">
        <v>5.8</v>
      </c>
      <c r="AA434" s="198">
        <v>0</v>
      </c>
      <c r="AB434" s="198">
        <v>0</v>
      </c>
      <c r="AC434" s="198">
        <v>128.19999999999999</v>
      </c>
      <c r="AD434" s="198">
        <v>0</v>
      </c>
      <c r="AE434" s="198">
        <v>0</v>
      </c>
      <c r="AF434" s="198">
        <v>0</v>
      </c>
      <c r="AG434" s="198">
        <v>0</v>
      </c>
      <c r="AH434" s="198">
        <v>0</v>
      </c>
      <c r="AI434" s="198">
        <v>121.1</v>
      </c>
      <c r="AJ434" s="198">
        <v>0</v>
      </c>
      <c r="AK434" s="198">
        <v>0</v>
      </c>
      <c r="AL434" s="198">
        <v>0</v>
      </c>
      <c r="AM434" s="198">
        <v>0</v>
      </c>
      <c r="AN434" s="198">
        <v>0</v>
      </c>
      <c r="AO434" s="198">
        <v>0</v>
      </c>
      <c r="AP434" s="198">
        <v>0</v>
      </c>
      <c r="AQ434" s="198">
        <v>0</v>
      </c>
      <c r="AR434" s="198">
        <v>0</v>
      </c>
      <c r="AS434" s="198">
        <v>0</v>
      </c>
      <c r="AT434" s="198">
        <v>0</v>
      </c>
      <c r="AU434" s="198">
        <v>0</v>
      </c>
      <c r="AV434" s="198">
        <v>0</v>
      </c>
      <c r="AW434" s="198">
        <v>0</v>
      </c>
      <c r="AX434" s="198">
        <v>0</v>
      </c>
      <c r="AY434" s="198">
        <v>0</v>
      </c>
      <c r="AZ434" s="198">
        <v>0</v>
      </c>
      <c r="BA434" s="198">
        <v>0</v>
      </c>
      <c r="BB434" s="198">
        <v>0</v>
      </c>
      <c r="BC434" s="198">
        <v>2.4</v>
      </c>
      <c r="BD434" s="198">
        <v>0</v>
      </c>
      <c r="BE434" s="198">
        <v>0</v>
      </c>
      <c r="BF434" s="198">
        <v>5.0999999999999996</v>
      </c>
      <c r="BG434" s="386">
        <v>0</v>
      </c>
      <c r="BH434" s="386">
        <v>0</v>
      </c>
      <c r="BI434" s="386">
        <v>8.1999999999999993</v>
      </c>
      <c r="BJ434" s="386">
        <v>0</v>
      </c>
      <c r="BK434" s="386">
        <v>0</v>
      </c>
      <c r="BL434" s="386">
        <v>6.9</v>
      </c>
      <c r="BM434" s="386">
        <v>0</v>
      </c>
      <c r="BN434" s="386">
        <v>36</v>
      </c>
      <c r="BO434" s="386">
        <v>201</v>
      </c>
      <c r="BP434" s="386">
        <v>750.8</v>
      </c>
      <c r="BQ434" s="386">
        <v>1848.8</v>
      </c>
      <c r="BR434" s="386">
        <v>2317</v>
      </c>
      <c r="BS434" s="386">
        <v>2849.8</v>
      </c>
      <c r="BT434" s="386">
        <v>2710.7</v>
      </c>
      <c r="BU434" s="386">
        <v>2262</v>
      </c>
      <c r="BV434" s="386">
        <v>2580.6999999999998</v>
      </c>
      <c r="BW434" s="386">
        <v>3648.7</v>
      </c>
      <c r="BX434" s="386">
        <v>3533.4</v>
      </c>
      <c r="BY434" s="386">
        <v>4779.2</v>
      </c>
      <c r="BZ434" s="386">
        <v>4051.9</v>
      </c>
      <c r="CA434" s="386">
        <v>5526.2</v>
      </c>
      <c r="CB434" s="386">
        <v>5327.9</v>
      </c>
      <c r="CC434" s="386">
        <v>14079.5</v>
      </c>
      <c r="CD434" s="386">
        <v>8075.1</v>
      </c>
      <c r="CE434" s="386">
        <v>4903</v>
      </c>
      <c r="CF434" s="198">
        <v>3471.3</v>
      </c>
      <c r="CG434" s="198">
        <v>3895.5</v>
      </c>
      <c r="CH434" s="198">
        <v>4302.8</v>
      </c>
      <c r="CI434" s="198">
        <v>3171</v>
      </c>
      <c r="CJ434" s="198">
        <v>2972.3</v>
      </c>
    </row>
    <row r="435" spans="1:88" x14ac:dyDescent="0.3">
      <c r="A435" s="173"/>
      <c r="B435" s="212" t="s">
        <v>411</v>
      </c>
      <c r="C435" s="198">
        <v>0</v>
      </c>
      <c r="D435" s="198">
        <v>-1.5</v>
      </c>
      <c r="E435" s="198">
        <v>-44.1</v>
      </c>
      <c r="F435" s="198">
        <v>21.2</v>
      </c>
      <c r="G435" s="198">
        <v>0</v>
      </c>
      <c r="H435" s="198">
        <v>0</v>
      </c>
      <c r="I435" s="198">
        <v>4.2</v>
      </c>
      <c r="J435" s="198">
        <v>0</v>
      </c>
      <c r="K435" s="198">
        <v>0</v>
      </c>
      <c r="L435" s="198">
        <v>2011</v>
      </c>
      <c r="M435" s="198">
        <v>0</v>
      </c>
      <c r="N435" s="198">
        <v>0</v>
      </c>
      <c r="O435" s="198">
        <f>2.8-18</f>
        <v>-15.2</v>
      </c>
      <c r="P435" s="198">
        <v>0.6</v>
      </c>
      <c r="Q435" s="198">
        <v>-0.5</v>
      </c>
      <c r="R435" s="202">
        <v>64.2</v>
      </c>
      <c r="S435" s="198">
        <v>0.7</v>
      </c>
      <c r="T435" s="198">
        <v>-9.9999999999999978E-2</v>
      </c>
      <c r="U435" s="198">
        <v>30.4</v>
      </c>
      <c r="V435" s="198">
        <v>0</v>
      </c>
      <c r="W435" s="198">
        <v>0</v>
      </c>
      <c r="X435" s="198">
        <v>3.7</v>
      </c>
      <c r="Y435" s="198">
        <v>0.5</v>
      </c>
      <c r="Z435" s="198">
        <v>10.3</v>
      </c>
      <c r="AA435" s="198">
        <v>10.4</v>
      </c>
      <c r="AB435" s="198">
        <v>0.2</v>
      </c>
      <c r="AC435" s="198">
        <v>0.2</v>
      </c>
      <c r="AD435" s="198">
        <v>-173.9</v>
      </c>
      <c r="AE435" s="198">
        <v>0.2</v>
      </c>
      <c r="AF435" s="198">
        <v>0.2</v>
      </c>
      <c r="AG435" s="198">
        <v>16.8</v>
      </c>
      <c r="AH435" s="202">
        <v>0.1</v>
      </c>
      <c r="AI435" s="202">
        <v>-0.1</v>
      </c>
      <c r="AJ435" s="202">
        <v>357.6</v>
      </c>
      <c r="AK435" s="202">
        <v>-0.2</v>
      </c>
      <c r="AL435" s="202">
        <v>0.2</v>
      </c>
      <c r="AM435" s="202">
        <v>10.5</v>
      </c>
      <c r="AN435" s="202">
        <v>-0.1</v>
      </c>
      <c r="AO435" s="202">
        <v>0</v>
      </c>
      <c r="AP435" s="202">
        <v>-67.900000000000006</v>
      </c>
      <c r="AQ435" s="202">
        <v>0.1</v>
      </c>
      <c r="AR435" s="202">
        <v>0.4</v>
      </c>
      <c r="AS435" s="202">
        <v>129.69999999999999</v>
      </c>
      <c r="AT435" s="202">
        <v>0.2</v>
      </c>
      <c r="AU435" s="202">
        <v>0</v>
      </c>
      <c r="AV435" s="202">
        <v>1706.2</v>
      </c>
      <c r="AW435" s="202">
        <v>0.3</v>
      </c>
      <c r="AX435" s="202">
        <v>-0.5</v>
      </c>
      <c r="AY435" s="202">
        <v>10.199999999999999</v>
      </c>
      <c r="AZ435" s="202">
        <v>-0.2</v>
      </c>
      <c r="BA435" s="202">
        <v>0</v>
      </c>
      <c r="BB435" s="202">
        <v>3.4000000000000004</v>
      </c>
      <c r="BC435" s="202">
        <v>0.1</v>
      </c>
      <c r="BD435" s="202">
        <v>1.6</v>
      </c>
      <c r="BE435" s="202">
        <v>23.9</v>
      </c>
      <c r="BF435" s="202">
        <v>0</v>
      </c>
      <c r="BG435" s="387">
        <v>0</v>
      </c>
      <c r="BH435" s="387">
        <v>-1397.6</v>
      </c>
      <c r="BI435" s="387">
        <v>0.4</v>
      </c>
      <c r="BJ435" s="387">
        <v>0.4</v>
      </c>
      <c r="BK435" s="387">
        <v>0.3</v>
      </c>
      <c r="BL435" s="387">
        <v>0.2</v>
      </c>
      <c r="BM435" s="387">
        <v>0.3</v>
      </c>
      <c r="BN435" s="387">
        <v>-13.8</v>
      </c>
      <c r="BO435" s="387">
        <v>0.19999999999999996</v>
      </c>
      <c r="BP435" s="387">
        <v>-0.3</v>
      </c>
      <c r="BQ435" s="386">
        <v>3.5</v>
      </c>
      <c r="BR435" s="386">
        <v>0.3</v>
      </c>
      <c r="BS435" s="386">
        <v>0.1</v>
      </c>
      <c r="BT435" s="386">
        <v>568.70000000000005</v>
      </c>
      <c r="BU435" s="386">
        <v>0.1</v>
      </c>
      <c r="BV435" s="386">
        <v>0.3</v>
      </c>
      <c r="BW435" s="386">
        <v>1.9</v>
      </c>
      <c r="BX435" s="386">
        <v>0</v>
      </c>
      <c r="BY435" s="386">
        <v>0</v>
      </c>
      <c r="BZ435" s="386">
        <v>0.7</v>
      </c>
      <c r="CA435" s="386">
        <v>0.1</v>
      </c>
      <c r="CB435" s="386">
        <v>0.5</v>
      </c>
      <c r="CC435" s="386">
        <v>19.2</v>
      </c>
      <c r="CD435" s="386">
        <v>0.2</v>
      </c>
      <c r="CE435" s="386">
        <v>0.1</v>
      </c>
      <c r="CF435" s="198">
        <v>12</v>
      </c>
      <c r="CG435" s="198">
        <v>-0.1</v>
      </c>
      <c r="CH435" s="198">
        <v>0.3</v>
      </c>
      <c r="CI435" s="198">
        <v>-5.6</v>
      </c>
      <c r="CJ435" s="198">
        <v>5.3</v>
      </c>
    </row>
    <row r="436" spans="1:88" x14ac:dyDescent="0.3">
      <c r="A436" s="173"/>
      <c r="B436" s="188" t="s">
        <v>57</v>
      </c>
      <c r="C436" s="189" t="s">
        <v>57</v>
      </c>
      <c r="D436" s="189" t="s">
        <v>57</v>
      </c>
      <c r="E436" s="189" t="s">
        <v>57</v>
      </c>
      <c r="F436" s="189" t="s">
        <v>57</v>
      </c>
      <c r="G436" s="189" t="s">
        <v>57</v>
      </c>
      <c r="H436" s="189" t="s">
        <v>57</v>
      </c>
      <c r="I436" s="189" t="s">
        <v>57</v>
      </c>
      <c r="J436" s="189" t="s">
        <v>57</v>
      </c>
      <c r="K436" s="189" t="s">
        <v>57</v>
      </c>
      <c r="L436" s="189" t="s">
        <v>57</v>
      </c>
      <c r="M436" s="189" t="s">
        <v>57</v>
      </c>
      <c r="N436" s="189" t="s">
        <v>57</v>
      </c>
      <c r="O436" s="189" t="s">
        <v>57</v>
      </c>
      <c r="P436" s="189" t="s">
        <v>57</v>
      </c>
      <c r="Q436" s="189" t="s">
        <v>57</v>
      </c>
      <c r="R436" s="189" t="s">
        <v>57</v>
      </c>
      <c r="S436" s="189" t="s">
        <v>57</v>
      </c>
      <c r="T436" s="189" t="s">
        <v>57</v>
      </c>
      <c r="U436" s="189" t="s">
        <v>57</v>
      </c>
      <c r="V436" s="189" t="s">
        <v>57</v>
      </c>
      <c r="W436" s="189" t="s">
        <v>57</v>
      </c>
      <c r="X436" s="189" t="s">
        <v>57</v>
      </c>
      <c r="Y436" s="189" t="s">
        <v>57</v>
      </c>
      <c r="Z436" s="189" t="s">
        <v>57</v>
      </c>
      <c r="AA436" s="189" t="s">
        <v>57</v>
      </c>
      <c r="AB436" s="189" t="s">
        <v>57</v>
      </c>
      <c r="AC436" s="189" t="s">
        <v>57</v>
      </c>
      <c r="AD436" s="189" t="s">
        <v>57</v>
      </c>
      <c r="AE436" s="189" t="s">
        <v>57</v>
      </c>
      <c r="AF436" s="189" t="s">
        <v>57</v>
      </c>
      <c r="AG436" s="189" t="s">
        <v>57</v>
      </c>
      <c r="AH436" s="189" t="s">
        <v>57</v>
      </c>
      <c r="AI436" s="189" t="s">
        <v>57</v>
      </c>
      <c r="AJ436" s="189" t="s">
        <v>57</v>
      </c>
      <c r="AK436" s="189" t="s">
        <v>57</v>
      </c>
      <c r="AL436" s="189" t="s">
        <v>57</v>
      </c>
      <c r="AM436" s="189" t="s">
        <v>57</v>
      </c>
      <c r="AN436" s="189" t="s">
        <v>57</v>
      </c>
      <c r="AO436" s="189" t="s">
        <v>57</v>
      </c>
      <c r="AP436" s="189" t="s">
        <v>57</v>
      </c>
      <c r="AQ436" s="189" t="s">
        <v>57</v>
      </c>
      <c r="AR436" s="189" t="s">
        <v>57</v>
      </c>
      <c r="AS436" s="189" t="s">
        <v>57</v>
      </c>
      <c r="AT436" s="189" t="s">
        <v>57</v>
      </c>
      <c r="AU436" s="189" t="s">
        <v>57</v>
      </c>
      <c r="AV436" s="189" t="s">
        <v>57</v>
      </c>
      <c r="AW436" s="189" t="s">
        <v>57</v>
      </c>
      <c r="AX436" s="189" t="s">
        <v>57</v>
      </c>
      <c r="AY436" s="189" t="s">
        <v>57</v>
      </c>
      <c r="AZ436" s="189" t="s">
        <v>57</v>
      </c>
      <c r="BA436" s="189" t="s">
        <v>57</v>
      </c>
      <c r="BB436" s="189" t="s">
        <v>57</v>
      </c>
      <c r="BC436" s="189" t="s">
        <v>57</v>
      </c>
      <c r="BD436" s="189" t="s">
        <v>57</v>
      </c>
      <c r="BE436" s="189" t="s">
        <v>57</v>
      </c>
      <c r="BF436" s="189" t="s">
        <v>57</v>
      </c>
      <c r="BG436" s="388" t="s">
        <v>57</v>
      </c>
      <c r="BH436" s="388" t="s">
        <v>57</v>
      </c>
      <c r="BI436" s="388" t="s">
        <v>57</v>
      </c>
      <c r="BJ436" s="388" t="s">
        <v>57</v>
      </c>
      <c r="BK436" s="388" t="s">
        <v>57</v>
      </c>
      <c r="BL436" s="388" t="s">
        <v>57</v>
      </c>
      <c r="BM436" s="388" t="s">
        <v>57</v>
      </c>
      <c r="BN436" s="388" t="s">
        <v>57</v>
      </c>
      <c r="BO436" s="388" t="s">
        <v>57</v>
      </c>
      <c r="BP436" s="388" t="s">
        <v>57</v>
      </c>
      <c r="BQ436" s="388" t="s">
        <v>57</v>
      </c>
      <c r="BR436" s="388" t="s">
        <v>57</v>
      </c>
      <c r="BS436" s="388" t="s">
        <v>57</v>
      </c>
      <c r="BT436" s="388" t="s">
        <v>57</v>
      </c>
      <c r="BU436" s="388" t="s">
        <v>57</v>
      </c>
      <c r="BV436" s="388" t="s">
        <v>57</v>
      </c>
      <c r="BW436" s="388" t="s">
        <v>57</v>
      </c>
      <c r="BX436" s="388" t="s">
        <v>57</v>
      </c>
      <c r="BY436" s="388" t="s">
        <v>57</v>
      </c>
      <c r="BZ436" s="388" t="s">
        <v>57</v>
      </c>
      <c r="CA436" s="388" t="s">
        <v>57</v>
      </c>
      <c r="CB436" s="388" t="s">
        <v>57</v>
      </c>
      <c r="CC436" s="388" t="s">
        <v>57</v>
      </c>
      <c r="CD436" s="388" t="s">
        <v>57</v>
      </c>
      <c r="CE436" s="388" t="s">
        <v>57</v>
      </c>
      <c r="CF436" s="189" t="s">
        <v>57</v>
      </c>
      <c r="CG436" s="189"/>
      <c r="CH436" s="189"/>
      <c r="CI436" s="189"/>
      <c r="CJ436" s="189"/>
    </row>
    <row r="437" spans="1:88" ht="16.2" x14ac:dyDescent="0.3">
      <c r="A437" s="173"/>
      <c r="B437" s="190" t="s">
        <v>258</v>
      </c>
      <c r="C437" s="191">
        <f>SUM(C438:C440)</f>
        <v>4.3</v>
      </c>
      <c r="D437" s="191">
        <f t="shared" ref="D437:BO437" si="107">+SUM(D438:D440)</f>
        <v>-8.7000000000000011</v>
      </c>
      <c r="E437" s="191">
        <f t="shared" si="107"/>
        <v>-324.10000000000002</v>
      </c>
      <c r="F437" s="191">
        <f t="shared" si="107"/>
        <v>0.90000000000000013</v>
      </c>
      <c r="G437" s="191">
        <f t="shared" si="107"/>
        <v>-1.3000000000000003</v>
      </c>
      <c r="H437" s="191">
        <f t="shared" si="107"/>
        <v>-20.100000000000001</v>
      </c>
      <c r="I437" s="191">
        <f t="shared" si="107"/>
        <v>-23.3</v>
      </c>
      <c r="J437" s="191">
        <f t="shared" si="107"/>
        <v>-23.5</v>
      </c>
      <c r="K437" s="191">
        <f t="shared" si="107"/>
        <v>-4</v>
      </c>
      <c r="L437" s="191">
        <f t="shared" si="107"/>
        <v>20.3</v>
      </c>
      <c r="M437" s="191">
        <f t="shared" si="107"/>
        <v>-9</v>
      </c>
      <c r="N437" s="191">
        <f t="shared" si="107"/>
        <v>18</v>
      </c>
      <c r="O437" s="191">
        <f t="shared" si="107"/>
        <v>-6.6</v>
      </c>
      <c r="P437" s="191">
        <f t="shared" si="107"/>
        <v>-5.3999999999999995</v>
      </c>
      <c r="Q437" s="191">
        <f t="shared" si="107"/>
        <v>-0.5</v>
      </c>
      <c r="R437" s="191">
        <f t="shared" si="107"/>
        <v>-8.2999999999999989</v>
      </c>
      <c r="S437" s="191">
        <f t="shared" si="107"/>
        <v>10.5</v>
      </c>
      <c r="T437" s="191">
        <f t="shared" si="107"/>
        <v>9.1999999999999993</v>
      </c>
      <c r="U437" s="191">
        <f t="shared" si="107"/>
        <v>40.799999999999727</v>
      </c>
      <c r="V437" s="191">
        <f t="shared" si="107"/>
        <v>12.300000000000363</v>
      </c>
      <c r="W437" s="191">
        <f t="shared" si="107"/>
        <v>-17.099999999999728</v>
      </c>
      <c r="X437" s="191">
        <f t="shared" si="107"/>
        <v>-13.5</v>
      </c>
      <c r="Y437" s="191">
        <f t="shared" si="107"/>
        <v>21.5</v>
      </c>
      <c r="Z437" s="191">
        <f t="shared" si="107"/>
        <v>22.700000000000003</v>
      </c>
      <c r="AA437" s="191">
        <f t="shared" si="107"/>
        <v>-6.6</v>
      </c>
      <c r="AB437" s="191">
        <f t="shared" si="107"/>
        <v>-5.0999999999999996</v>
      </c>
      <c r="AC437" s="191">
        <f t="shared" si="107"/>
        <v>-27.6</v>
      </c>
      <c r="AD437" s="191">
        <f t="shared" si="107"/>
        <v>22.8</v>
      </c>
      <c r="AE437" s="191">
        <f t="shared" si="107"/>
        <v>17.800000000000004</v>
      </c>
      <c r="AF437" s="191">
        <f t="shared" si="107"/>
        <v>-27.9</v>
      </c>
      <c r="AG437" s="191">
        <f t="shared" si="107"/>
        <v>0.90000000000000036</v>
      </c>
      <c r="AH437" s="191">
        <f t="shared" si="107"/>
        <v>-4.0999999999999996</v>
      </c>
      <c r="AI437" s="191">
        <f t="shared" si="107"/>
        <v>-17</v>
      </c>
      <c r="AJ437" s="191">
        <f t="shared" si="107"/>
        <v>-1.2999999999999998</v>
      </c>
      <c r="AK437" s="191">
        <f t="shared" si="107"/>
        <v>-15.800000000000002</v>
      </c>
      <c r="AL437" s="191">
        <f t="shared" si="107"/>
        <v>2.7</v>
      </c>
      <c r="AM437" s="191">
        <f t="shared" si="107"/>
        <v>-10.199999999999999</v>
      </c>
      <c r="AN437" s="191">
        <f t="shared" si="107"/>
        <v>-0.20000000000000007</v>
      </c>
      <c r="AO437" s="191">
        <f t="shared" si="107"/>
        <v>-12.9</v>
      </c>
      <c r="AP437" s="191">
        <f t="shared" si="107"/>
        <v>-41.7</v>
      </c>
      <c r="AQ437" s="191">
        <f t="shared" si="107"/>
        <v>16.399999999999999</v>
      </c>
      <c r="AR437" s="191">
        <f t="shared" si="107"/>
        <v>-19.8</v>
      </c>
      <c r="AS437" s="191">
        <f t="shared" si="107"/>
        <v>-19.799999999999997</v>
      </c>
      <c r="AT437" s="191">
        <f t="shared" si="107"/>
        <v>-13.5</v>
      </c>
      <c r="AU437" s="191">
        <f t="shared" si="107"/>
        <v>-20.399999999999999</v>
      </c>
      <c r="AV437" s="191">
        <f t="shared" si="107"/>
        <v>4.5999999999999996</v>
      </c>
      <c r="AW437" s="191">
        <f t="shared" si="107"/>
        <v>42.300000000000004</v>
      </c>
      <c r="AX437" s="191">
        <f t="shared" si="107"/>
        <v>24.099999999999998</v>
      </c>
      <c r="AY437" s="191">
        <f t="shared" si="107"/>
        <v>11.799999999999999</v>
      </c>
      <c r="AZ437" s="191">
        <f t="shared" si="107"/>
        <v>-23.6</v>
      </c>
      <c r="BA437" s="191">
        <f t="shared" si="107"/>
        <v>21.5</v>
      </c>
      <c r="BB437" s="191">
        <f t="shared" si="107"/>
        <v>14</v>
      </c>
      <c r="BC437" s="191">
        <f t="shared" si="107"/>
        <v>-25.8</v>
      </c>
      <c r="BD437" s="191">
        <f t="shared" si="107"/>
        <v>16.8</v>
      </c>
      <c r="BE437" s="191">
        <f t="shared" si="107"/>
        <v>6</v>
      </c>
      <c r="BF437" s="191">
        <f t="shared" si="107"/>
        <v>-22.1</v>
      </c>
      <c r="BG437" s="389">
        <f t="shared" si="107"/>
        <v>-17.5</v>
      </c>
      <c r="BH437" s="389">
        <f t="shared" si="107"/>
        <v>7.3000000000000007</v>
      </c>
      <c r="BI437" s="389">
        <f t="shared" si="107"/>
        <v>29.4</v>
      </c>
      <c r="BJ437" s="389">
        <f t="shared" si="107"/>
        <v>-60.4</v>
      </c>
      <c r="BK437" s="389">
        <f t="shared" si="107"/>
        <v>-12.999999999999998</v>
      </c>
      <c r="BL437" s="389">
        <f t="shared" si="107"/>
        <v>5.6</v>
      </c>
      <c r="BM437" s="389">
        <f t="shared" si="107"/>
        <v>5.8000000000000007</v>
      </c>
      <c r="BN437" s="389">
        <f t="shared" si="107"/>
        <v>-14.299999999999999</v>
      </c>
      <c r="BO437" s="389">
        <f t="shared" si="107"/>
        <v>18.299999999999997</v>
      </c>
      <c r="BP437" s="389">
        <f t="shared" ref="BP437:BZ437" si="108">+SUM(BP438:BP440)</f>
        <v>-8.3999999999999986</v>
      </c>
      <c r="BQ437" s="389">
        <f t="shared" si="108"/>
        <v>9.7999999999999989</v>
      </c>
      <c r="BR437" s="389">
        <f t="shared" si="108"/>
        <v>19.299999999999997</v>
      </c>
      <c r="BS437" s="389">
        <f t="shared" si="108"/>
        <v>8.1999999999999993</v>
      </c>
      <c r="BT437" s="389">
        <f t="shared" si="108"/>
        <v>-20.2</v>
      </c>
      <c r="BU437" s="389">
        <f t="shared" si="108"/>
        <v>-22.5</v>
      </c>
      <c r="BV437" s="389">
        <f t="shared" si="108"/>
        <v>-18.3</v>
      </c>
      <c r="BW437" s="389">
        <f t="shared" si="108"/>
        <v>1.5</v>
      </c>
      <c r="BX437" s="389">
        <f t="shared" si="108"/>
        <v>2.4000000000000004</v>
      </c>
      <c r="BY437" s="389">
        <f t="shared" si="108"/>
        <v>34.6</v>
      </c>
      <c r="BZ437" s="389">
        <f t="shared" si="108"/>
        <v>37.6</v>
      </c>
      <c r="CA437" s="389">
        <f t="shared" ref="CA437:CB437" si="109">+SUM(CA438:CA440)</f>
        <v>2.5</v>
      </c>
      <c r="CB437" s="389">
        <f t="shared" si="109"/>
        <v>34.900000000000006</v>
      </c>
      <c r="CC437" s="389">
        <f t="shared" ref="CC437:CD437" si="110">+SUM(CC438:CC440)</f>
        <v>-35.9</v>
      </c>
      <c r="CD437" s="389">
        <f t="shared" si="110"/>
        <v>23.700000000000003</v>
      </c>
      <c r="CE437" s="389">
        <f t="shared" ref="CE437:CF437" si="111">+SUM(CE438:CE440)</f>
        <v>2.4999999999999996</v>
      </c>
      <c r="CF437" s="191">
        <f t="shared" si="111"/>
        <v>-17.599999999999998</v>
      </c>
      <c r="CG437" s="191">
        <f t="shared" ref="CG437:CH437" si="112">+SUM(CG438:CG440)</f>
        <v>5.5</v>
      </c>
      <c r="CH437" s="191">
        <f t="shared" si="112"/>
        <v>12.1</v>
      </c>
      <c r="CI437" s="191">
        <f t="shared" ref="CI437:CJ437" si="113">+SUM(CI438:CI440)</f>
        <v>10.8</v>
      </c>
      <c r="CJ437" s="191">
        <f t="shared" si="113"/>
        <v>0.60000000000000009</v>
      </c>
    </row>
    <row r="438" spans="1:88" x14ac:dyDescent="0.3">
      <c r="A438" s="173"/>
      <c r="B438" s="212" t="s">
        <v>99</v>
      </c>
      <c r="C438" s="198">
        <v>1</v>
      </c>
      <c r="D438" s="198">
        <v>-6.9</v>
      </c>
      <c r="E438" s="198">
        <v>-11.9</v>
      </c>
      <c r="F438" s="198">
        <v>-0.7</v>
      </c>
      <c r="G438" s="198">
        <v>-2.7</v>
      </c>
      <c r="H438" s="198">
        <v>15.9</v>
      </c>
      <c r="I438" s="198">
        <v>-23</v>
      </c>
      <c r="J438" s="198">
        <v>-6.4</v>
      </c>
      <c r="K438" s="198">
        <v>-7.5</v>
      </c>
      <c r="L438" s="198">
        <v>19.3</v>
      </c>
      <c r="M438" s="198">
        <v>-12</v>
      </c>
      <c r="N438" s="198">
        <v>16</v>
      </c>
      <c r="O438" s="198">
        <v>-9</v>
      </c>
      <c r="P438" s="198">
        <f>-5.1</f>
        <v>-5.0999999999999996</v>
      </c>
      <c r="Q438" s="198">
        <v>0.4</v>
      </c>
      <c r="R438" s="198">
        <v>-5.6</v>
      </c>
      <c r="S438" s="198">
        <v>10.7</v>
      </c>
      <c r="T438" s="198">
        <v>10.4</v>
      </c>
      <c r="U438" s="198">
        <v>41.599999999999724</v>
      </c>
      <c r="V438" s="198">
        <v>13.200000000000363</v>
      </c>
      <c r="W438" s="198">
        <v>-16.299999999999727</v>
      </c>
      <c r="X438" s="198">
        <v>-5.0999999999999996</v>
      </c>
      <c r="Y438" s="198">
        <v>21.8</v>
      </c>
      <c r="Z438" s="198">
        <v>22.6</v>
      </c>
      <c r="AA438" s="198">
        <v>-6.4</v>
      </c>
      <c r="AB438" s="198">
        <v>-5.5</v>
      </c>
      <c r="AC438" s="198">
        <v>-28.3</v>
      </c>
      <c r="AD438" s="198">
        <v>23.1</v>
      </c>
      <c r="AE438" s="198">
        <v>16.100000000000001</v>
      </c>
      <c r="AF438" s="198">
        <v>-29.2</v>
      </c>
      <c r="AG438" s="198">
        <v>1.8</v>
      </c>
      <c r="AH438" s="198">
        <v>-5.0999999999999996</v>
      </c>
      <c r="AI438" s="198">
        <v>-17.899999999999999</v>
      </c>
      <c r="AJ438" s="198">
        <v>-1.9</v>
      </c>
      <c r="AK438" s="198">
        <v>-17.100000000000001</v>
      </c>
      <c r="AL438" s="198">
        <v>2</v>
      </c>
      <c r="AM438" s="198">
        <v>-10.5</v>
      </c>
      <c r="AN438" s="198">
        <v>-0.9</v>
      </c>
      <c r="AO438" s="198">
        <v>-13.6</v>
      </c>
      <c r="AP438" s="198">
        <v>-42.6</v>
      </c>
      <c r="AQ438" s="198">
        <v>15.1</v>
      </c>
      <c r="AR438" s="198">
        <v>-20.5</v>
      </c>
      <c r="AS438" s="198">
        <v>-19.7</v>
      </c>
      <c r="AT438" s="198">
        <v>-13.8</v>
      </c>
      <c r="AU438" s="198">
        <v>-20.9</v>
      </c>
      <c r="AV438" s="198">
        <v>5.7</v>
      </c>
      <c r="AW438" s="198">
        <v>42.5</v>
      </c>
      <c r="AX438" s="198">
        <v>24.3</v>
      </c>
      <c r="AY438" s="198">
        <v>12.6</v>
      </c>
      <c r="AZ438" s="198">
        <v>-23.5</v>
      </c>
      <c r="BA438" s="198">
        <v>21.2</v>
      </c>
      <c r="BB438" s="198">
        <v>13.7</v>
      </c>
      <c r="BC438" s="198">
        <v>-26.2</v>
      </c>
      <c r="BD438" s="198">
        <v>16.5</v>
      </c>
      <c r="BE438" s="198">
        <v>7.1</v>
      </c>
      <c r="BF438" s="198">
        <v>-12.3</v>
      </c>
      <c r="BG438" s="386">
        <v>-22</v>
      </c>
      <c r="BH438" s="386">
        <v>0.4</v>
      </c>
      <c r="BI438" s="386">
        <v>24.9</v>
      </c>
      <c r="BJ438" s="386">
        <v>13.5</v>
      </c>
      <c r="BK438" s="386">
        <v>-18.399999999999999</v>
      </c>
      <c r="BL438" s="386">
        <v>-1.9</v>
      </c>
      <c r="BM438" s="386">
        <v>-1.1000000000000001</v>
      </c>
      <c r="BN438" s="386">
        <v>-11.2</v>
      </c>
      <c r="BO438" s="386">
        <v>14.6</v>
      </c>
      <c r="BP438" s="386">
        <v>-10.7</v>
      </c>
      <c r="BQ438" s="386">
        <v>10.199999999999999</v>
      </c>
      <c r="BR438" s="386">
        <v>18.2</v>
      </c>
      <c r="BS438" s="386">
        <v>6.9</v>
      </c>
      <c r="BT438" s="386">
        <v>-20.7</v>
      </c>
      <c r="BU438" s="386">
        <v>-23</v>
      </c>
      <c r="BV438" s="386">
        <v>-18.7</v>
      </c>
      <c r="BW438" s="386">
        <v>1.2</v>
      </c>
      <c r="BX438" s="386">
        <v>1.6</v>
      </c>
      <c r="BY438" s="386">
        <v>33.700000000000003</v>
      </c>
      <c r="BZ438" s="386">
        <v>41</v>
      </c>
      <c r="CA438" s="386">
        <v>1.7</v>
      </c>
      <c r="CB438" s="386">
        <v>33.6</v>
      </c>
      <c r="CC438" s="386">
        <v>-29.7</v>
      </c>
      <c r="CD438" s="386">
        <v>21.6</v>
      </c>
      <c r="CE438" s="386">
        <v>3.3</v>
      </c>
      <c r="CF438" s="198">
        <v>-15.8</v>
      </c>
      <c r="CG438" s="198">
        <v>4.5999999999999996</v>
      </c>
      <c r="CH438" s="198">
        <v>11.1</v>
      </c>
      <c r="CI438" s="198">
        <v>8.9</v>
      </c>
      <c r="CJ438" s="198">
        <v>-2.6</v>
      </c>
    </row>
    <row r="439" spans="1:88" x14ac:dyDescent="0.3">
      <c r="A439" s="173"/>
      <c r="B439" s="212" t="s">
        <v>100</v>
      </c>
      <c r="C439" s="198">
        <v>3.3</v>
      </c>
      <c r="D439" s="198">
        <v>-1.8</v>
      </c>
      <c r="E439" s="198">
        <v>-4.5999999999999996</v>
      </c>
      <c r="F439" s="198">
        <v>1.6</v>
      </c>
      <c r="G439" s="198">
        <v>1.4</v>
      </c>
      <c r="H439" s="198">
        <v>6</v>
      </c>
      <c r="I439" s="198">
        <v>-0.3</v>
      </c>
      <c r="J439" s="198">
        <v>-17</v>
      </c>
      <c r="K439" s="198">
        <v>3.5</v>
      </c>
      <c r="L439" s="198">
        <v>1</v>
      </c>
      <c r="M439" s="198">
        <v>3</v>
      </c>
      <c r="N439" s="198">
        <v>2</v>
      </c>
      <c r="O439" s="198">
        <v>2.4</v>
      </c>
      <c r="P439" s="198">
        <v>-0.1</v>
      </c>
      <c r="Q439" s="198">
        <v>-0.9</v>
      </c>
      <c r="R439" s="198">
        <v>-0.6</v>
      </c>
      <c r="S439" s="198">
        <v>-0.1</v>
      </c>
      <c r="T439" s="198">
        <v>-0.8</v>
      </c>
      <c r="U439" s="198">
        <v>-0.4</v>
      </c>
      <c r="V439" s="198">
        <v>-0.3</v>
      </c>
      <c r="W439" s="198">
        <v>-0.2</v>
      </c>
      <c r="X439" s="198">
        <v>0</v>
      </c>
      <c r="Y439" s="198">
        <v>-0.3</v>
      </c>
      <c r="Z439" s="198">
        <v>0</v>
      </c>
      <c r="AA439" s="198">
        <v>-0.1</v>
      </c>
      <c r="AB439" s="198">
        <v>0.4</v>
      </c>
      <c r="AC439" s="198">
        <v>0.8</v>
      </c>
      <c r="AD439" s="198">
        <v>1.2</v>
      </c>
      <c r="AE439" s="198">
        <v>1.6</v>
      </c>
      <c r="AF439" s="198">
        <v>1.3</v>
      </c>
      <c r="AG439" s="198">
        <v>1.1000000000000001</v>
      </c>
      <c r="AH439" s="198">
        <v>1</v>
      </c>
      <c r="AI439" s="198">
        <v>0.9</v>
      </c>
      <c r="AJ439" s="198">
        <v>1.1000000000000001</v>
      </c>
      <c r="AK439" s="198">
        <v>1.2</v>
      </c>
      <c r="AL439" s="198">
        <v>0.7</v>
      </c>
      <c r="AM439" s="198">
        <v>0.5</v>
      </c>
      <c r="AN439" s="198">
        <v>0.7</v>
      </c>
      <c r="AO439" s="198">
        <v>0.7</v>
      </c>
      <c r="AP439" s="198">
        <v>1</v>
      </c>
      <c r="AQ439" s="198">
        <v>1.3</v>
      </c>
      <c r="AR439" s="198">
        <v>0.7</v>
      </c>
      <c r="AS439" s="198">
        <v>0.3</v>
      </c>
      <c r="AT439" s="198">
        <v>0.4</v>
      </c>
      <c r="AU439" s="198">
        <v>0.5</v>
      </c>
      <c r="AV439" s="198">
        <v>0.1</v>
      </c>
      <c r="AW439" s="198">
        <v>-0.3</v>
      </c>
      <c r="AX439" s="198">
        <v>-0.1</v>
      </c>
      <c r="AY439" s="198">
        <v>-0.3</v>
      </c>
      <c r="AZ439" s="198">
        <v>-0.1</v>
      </c>
      <c r="BA439" s="198">
        <v>0.3</v>
      </c>
      <c r="BB439" s="198">
        <v>0.3</v>
      </c>
      <c r="BC439" s="198">
        <v>0.4</v>
      </c>
      <c r="BD439" s="198">
        <v>0.3</v>
      </c>
      <c r="BE439" s="198">
        <v>-0.1</v>
      </c>
      <c r="BF439" s="198">
        <v>-9.8000000000000007</v>
      </c>
      <c r="BG439" s="386">
        <v>4.5</v>
      </c>
      <c r="BH439" s="386">
        <v>6.9</v>
      </c>
      <c r="BI439" s="386">
        <v>4.3</v>
      </c>
      <c r="BJ439" s="386">
        <v>-33</v>
      </c>
      <c r="BK439" s="386">
        <v>5.4</v>
      </c>
      <c r="BL439" s="386">
        <v>7.5</v>
      </c>
      <c r="BM439" s="386">
        <v>6.9</v>
      </c>
      <c r="BN439" s="386">
        <v>4.2</v>
      </c>
      <c r="BO439" s="386">
        <v>3.8</v>
      </c>
      <c r="BP439" s="386">
        <v>2.2999999999999998</v>
      </c>
      <c r="BQ439" s="386">
        <v>1.2</v>
      </c>
      <c r="BR439" s="386">
        <v>1.2</v>
      </c>
      <c r="BS439" s="386">
        <v>1.2</v>
      </c>
      <c r="BT439" s="386">
        <v>1.1000000000000001</v>
      </c>
      <c r="BU439" s="386">
        <v>0.5</v>
      </c>
      <c r="BV439" s="386">
        <v>0.4</v>
      </c>
      <c r="BW439" s="386">
        <v>0.3</v>
      </c>
      <c r="BX439" s="386">
        <v>0.8</v>
      </c>
      <c r="BY439" s="386">
        <v>0.9</v>
      </c>
      <c r="BZ439" s="386">
        <v>-3.5</v>
      </c>
      <c r="CA439" s="386">
        <v>0.8</v>
      </c>
      <c r="CB439" s="386">
        <v>1.2</v>
      </c>
      <c r="CC439" s="386">
        <v>-6.2</v>
      </c>
      <c r="CD439" s="386">
        <v>2.1</v>
      </c>
      <c r="CE439" s="386">
        <v>-0.7</v>
      </c>
      <c r="CF439" s="198">
        <v>-1.9</v>
      </c>
      <c r="CG439" s="198">
        <v>0.9</v>
      </c>
      <c r="CH439" s="198">
        <v>1</v>
      </c>
      <c r="CI439" s="198">
        <v>1.9</v>
      </c>
      <c r="CJ439" s="198">
        <v>3.2</v>
      </c>
    </row>
    <row r="440" spans="1:88" x14ac:dyDescent="0.3">
      <c r="A440" s="173"/>
      <c r="B440" s="212" t="s">
        <v>166</v>
      </c>
      <c r="C440" s="198">
        <v>0</v>
      </c>
      <c r="D440" s="198">
        <v>0</v>
      </c>
      <c r="E440" s="198">
        <v>-307.60000000000002</v>
      </c>
      <c r="F440" s="198">
        <v>0</v>
      </c>
      <c r="G440" s="198">
        <v>0</v>
      </c>
      <c r="H440" s="198">
        <v>-42</v>
      </c>
      <c r="I440" s="198">
        <v>0</v>
      </c>
      <c r="J440" s="198">
        <v>-0.1</v>
      </c>
      <c r="K440" s="198">
        <v>0</v>
      </c>
      <c r="L440" s="198">
        <v>0</v>
      </c>
      <c r="M440" s="198">
        <v>0</v>
      </c>
      <c r="N440" s="198">
        <v>0</v>
      </c>
      <c r="O440" s="198">
        <v>0</v>
      </c>
      <c r="P440" s="198">
        <v>-0.2</v>
      </c>
      <c r="Q440" s="198">
        <v>0</v>
      </c>
      <c r="R440" s="202">
        <v>-2.1</v>
      </c>
      <c r="S440" s="198">
        <v>-0.1</v>
      </c>
      <c r="T440" s="198">
        <v>-0.39999999999999997</v>
      </c>
      <c r="U440" s="198">
        <v>-0.40000000000000036</v>
      </c>
      <c r="V440" s="198">
        <v>-0.6</v>
      </c>
      <c r="W440" s="198">
        <v>-0.6</v>
      </c>
      <c r="X440" s="198">
        <v>-8.4</v>
      </c>
      <c r="Y440" s="198">
        <v>0</v>
      </c>
      <c r="Z440" s="198">
        <v>0.1</v>
      </c>
      <c r="AA440" s="198">
        <v>-0.1</v>
      </c>
      <c r="AB440" s="198">
        <v>0</v>
      </c>
      <c r="AC440" s="198">
        <v>-0.1</v>
      </c>
      <c r="AD440" s="198">
        <v>-1.5</v>
      </c>
      <c r="AE440" s="198">
        <v>0.1</v>
      </c>
      <c r="AF440" s="198">
        <v>0</v>
      </c>
      <c r="AG440" s="198">
        <v>-2</v>
      </c>
      <c r="AH440" s="198">
        <v>0</v>
      </c>
      <c r="AI440" s="198">
        <v>0</v>
      </c>
      <c r="AJ440" s="198">
        <v>-0.5</v>
      </c>
      <c r="AK440" s="198">
        <v>0.1</v>
      </c>
      <c r="AL440" s="198">
        <v>0</v>
      </c>
      <c r="AM440" s="198">
        <v>-0.2</v>
      </c>
      <c r="AN440" s="198">
        <v>0</v>
      </c>
      <c r="AO440" s="198">
        <v>0</v>
      </c>
      <c r="AP440" s="202">
        <v>-0.1</v>
      </c>
      <c r="AQ440" s="202">
        <v>0</v>
      </c>
      <c r="AR440" s="202">
        <v>0</v>
      </c>
      <c r="AS440" s="202">
        <v>-0.4</v>
      </c>
      <c r="AT440" s="202">
        <v>-0.1</v>
      </c>
      <c r="AU440" s="202">
        <v>0</v>
      </c>
      <c r="AV440" s="202">
        <v>-1.2</v>
      </c>
      <c r="AW440" s="202">
        <v>0.1</v>
      </c>
      <c r="AX440" s="202">
        <v>-0.1</v>
      </c>
      <c r="AY440" s="202">
        <v>-0.5</v>
      </c>
      <c r="AZ440" s="202">
        <v>0</v>
      </c>
      <c r="BA440" s="202">
        <v>0</v>
      </c>
      <c r="BB440" s="202">
        <v>0</v>
      </c>
      <c r="BC440" s="202">
        <v>0</v>
      </c>
      <c r="BD440" s="202">
        <v>0</v>
      </c>
      <c r="BE440" s="202">
        <v>-1</v>
      </c>
      <c r="BF440" s="202">
        <v>0</v>
      </c>
      <c r="BG440" s="202">
        <v>0</v>
      </c>
      <c r="BH440" s="202">
        <v>0</v>
      </c>
      <c r="BI440" s="202">
        <v>0.2</v>
      </c>
      <c r="BJ440" s="202">
        <v>-40.9</v>
      </c>
      <c r="BK440" s="202">
        <v>0</v>
      </c>
      <c r="BL440" s="202">
        <v>0</v>
      </c>
      <c r="BM440" s="202">
        <v>0</v>
      </c>
      <c r="BN440" s="202">
        <v>-7.3</v>
      </c>
      <c r="BO440" s="202">
        <v>-0.1</v>
      </c>
      <c r="BP440" s="202">
        <v>0</v>
      </c>
      <c r="BQ440" s="386">
        <v>-1.6</v>
      </c>
      <c r="BR440" s="386">
        <v>-0.1</v>
      </c>
      <c r="BS440" s="386">
        <v>0.1</v>
      </c>
      <c r="BT440" s="386">
        <v>-0.6</v>
      </c>
      <c r="BU440" s="386">
        <v>0</v>
      </c>
      <c r="BV440" s="386">
        <v>0</v>
      </c>
      <c r="BW440" s="386">
        <v>0</v>
      </c>
      <c r="BX440" s="386">
        <v>0</v>
      </c>
      <c r="BY440" s="386">
        <v>0</v>
      </c>
      <c r="BZ440" s="386">
        <v>0.1</v>
      </c>
      <c r="CA440" s="386">
        <v>0</v>
      </c>
      <c r="CB440" s="386">
        <v>0.1</v>
      </c>
      <c r="CC440" s="386">
        <v>0</v>
      </c>
      <c r="CD440" s="386">
        <v>0</v>
      </c>
      <c r="CE440" s="386">
        <v>-0.1</v>
      </c>
      <c r="CF440" s="198">
        <v>0.1</v>
      </c>
      <c r="CG440" s="198">
        <v>0</v>
      </c>
      <c r="CH440" s="198">
        <v>0</v>
      </c>
      <c r="CI440" s="198">
        <v>0</v>
      </c>
      <c r="CJ440" s="198">
        <v>0</v>
      </c>
    </row>
    <row r="441" spans="1:88" ht="16.2" x14ac:dyDescent="0.3">
      <c r="A441" s="173"/>
      <c r="B441" s="213" t="s">
        <v>57</v>
      </c>
      <c r="C441" s="185" t="s">
        <v>57</v>
      </c>
      <c r="D441" s="191" t="s">
        <v>57</v>
      </c>
      <c r="E441" s="191" t="s">
        <v>57</v>
      </c>
      <c r="F441" s="191" t="s">
        <v>57</v>
      </c>
      <c r="G441" s="191" t="s">
        <v>57</v>
      </c>
      <c r="H441" s="191" t="s">
        <v>57</v>
      </c>
      <c r="I441" s="191" t="s">
        <v>57</v>
      </c>
      <c r="J441" s="191" t="s">
        <v>57</v>
      </c>
      <c r="K441" s="191" t="s">
        <v>57</v>
      </c>
      <c r="L441" s="191" t="s">
        <v>57</v>
      </c>
      <c r="M441" s="191" t="s">
        <v>57</v>
      </c>
      <c r="N441" s="191" t="s">
        <v>57</v>
      </c>
      <c r="O441" s="191" t="s">
        <v>57</v>
      </c>
      <c r="P441" s="191" t="s">
        <v>57</v>
      </c>
      <c r="Q441" s="191" t="s">
        <v>57</v>
      </c>
      <c r="R441" s="191" t="s">
        <v>57</v>
      </c>
      <c r="S441" s="191" t="s">
        <v>57</v>
      </c>
      <c r="T441" s="191" t="s">
        <v>57</v>
      </c>
      <c r="U441" s="191" t="s">
        <v>57</v>
      </c>
      <c r="V441" s="191" t="s">
        <v>57</v>
      </c>
      <c r="W441" s="191" t="s">
        <v>57</v>
      </c>
      <c r="X441" s="191" t="s">
        <v>57</v>
      </c>
      <c r="Y441" s="191" t="s">
        <v>57</v>
      </c>
      <c r="Z441" s="191" t="s">
        <v>57</v>
      </c>
      <c r="AA441" s="191" t="s">
        <v>57</v>
      </c>
      <c r="AB441" s="191" t="s">
        <v>57</v>
      </c>
      <c r="AC441" s="191" t="s">
        <v>57</v>
      </c>
      <c r="AD441" s="191" t="s">
        <v>57</v>
      </c>
      <c r="AE441" s="191" t="s">
        <v>57</v>
      </c>
      <c r="AF441" s="191" t="s">
        <v>57</v>
      </c>
      <c r="AG441" s="191" t="s">
        <v>57</v>
      </c>
      <c r="AH441" s="191" t="s">
        <v>57</v>
      </c>
      <c r="AI441" s="191" t="s">
        <v>57</v>
      </c>
      <c r="AJ441" s="191" t="s">
        <v>57</v>
      </c>
      <c r="AK441" s="191" t="s">
        <v>57</v>
      </c>
      <c r="AL441" s="191" t="s">
        <v>57</v>
      </c>
      <c r="AM441" s="191" t="s">
        <v>57</v>
      </c>
      <c r="AN441" s="191" t="s">
        <v>57</v>
      </c>
      <c r="AO441" s="191" t="s">
        <v>57</v>
      </c>
      <c r="AP441" s="191" t="s">
        <v>57</v>
      </c>
      <c r="AQ441" s="191" t="s">
        <v>57</v>
      </c>
      <c r="AR441" s="191" t="s">
        <v>57</v>
      </c>
      <c r="AS441" s="191" t="s">
        <v>57</v>
      </c>
      <c r="AT441" s="191" t="s">
        <v>57</v>
      </c>
      <c r="AU441" s="191" t="s">
        <v>57</v>
      </c>
      <c r="AV441" s="191" t="s">
        <v>57</v>
      </c>
      <c r="AW441" s="191" t="s">
        <v>57</v>
      </c>
      <c r="AX441" s="191" t="s">
        <v>57</v>
      </c>
      <c r="AY441" s="191" t="s">
        <v>57</v>
      </c>
      <c r="AZ441" s="191" t="s">
        <v>57</v>
      </c>
      <c r="BA441" s="191" t="s">
        <v>57</v>
      </c>
      <c r="BB441" s="191" t="s">
        <v>57</v>
      </c>
      <c r="BC441" s="191" t="s">
        <v>57</v>
      </c>
      <c r="BD441" s="191" t="s">
        <v>57</v>
      </c>
      <c r="BE441" s="191" t="s">
        <v>57</v>
      </c>
      <c r="BF441" s="191" t="s">
        <v>57</v>
      </c>
      <c r="BG441" s="389" t="s">
        <v>57</v>
      </c>
      <c r="BH441" s="389" t="s">
        <v>57</v>
      </c>
      <c r="BI441" s="389" t="s">
        <v>57</v>
      </c>
      <c r="BJ441" s="389" t="s">
        <v>57</v>
      </c>
      <c r="BK441" s="389" t="s">
        <v>57</v>
      </c>
      <c r="BL441" s="389" t="s">
        <v>57</v>
      </c>
      <c r="BM441" s="389" t="s">
        <v>57</v>
      </c>
      <c r="BN441" s="389" t="s">
        <v>57</v>
      </c>
      <c r="BO441" s="389" t="s">
        <v>57</v>
      </c>
      <c r="BP441" s="389" t="s">
        <v>57</v>
      </c>
      <c r="BQ441" s="389" t="s">
        <v>57</v>
      </c>
      <c r="BR441" s="389" t="s">
        <v>57</v>
      </c>
      <c r="BS441" s="389" t="s">
        <v>57</v>
      </c>
      <c r="BT441" s="389" t="s">
        <v>57</v>
      </c>
      <c r="BU441" s="389" t="s">
        <v>57</v>
      </c>
      <c r="BV441" s="389" t="s">
        <v>57</v>
      </c>
      <c r="BW441" s="389" t="s">
        <v>57</v>
      </c>
      <c r="BX441" s="389" t="s">
        <v>57</v>
      </c>
      <c r="BY441" s="389" t="s">
        <v>57</v>
      </c>
      <c r="BZ441" s="389" t="s">
        <v>57</v>
      </c>
      <c r="CA441" s="389" t="s">
        <v>57</v>
      </c>
      <c r="CB441" s="389" t="s">
        <v>57</v>
      </c>
      <c r="CC441" s="389" t="s">
        <v>57</v>
      </c>
      <c r="CD441" s="389" t="s">
        <v>57</v>
      </c>
      <c r="CE441" s="389" t="s">
        <v>57</v>
      </c>
      <c r="CF441" s="209" t="s">
        <v>57</v>
      </c>
      <c r="CG441" s="209" t="s">
        <v>57</v>
      </c>
      <c r="CH441" s="209" t="s">
        <v>57</v>
      </c>
      <c r="CI441" s="209" t="s">
        <v>57</v>
      </c>
      <c r="CJ441" s="209" t="s">
        <v>57</v>
      </c>
    </row>
    <row r="442" spans="1:88" ht="16.2" x14ac:dyDescent="0.3">
      <c r="A442" s="173"/>
      <c r="B442" s="190" t="s">
        <v>259</v>
      </c>
      <c r="C442" s="211">
        <f t="shared" ref="C442:BN442" si="114">+C437+C431+C427+C425+C423</f>
        <v>3469.6</v>
      </c>
      <c r="D442" s="211">
        <f t="shared" si="114"/>
        <v>-1184.4999999999986</v>
      </c>
      <c r="E442" s="211">
        <f t="shared" si="114"/>
        <v>-9578.9000000000015</v>
      </c>
      <c r="F442" s="211">
        <f t="shared" si="114"/>
        <v>9424.7999999999993</v>
      </c>
      <c r="G442" s="211">
        <f t="shared" si="114"/>
        <v>-4391.7999999999984</v>
      </c>
      <c r="H442" s="211">
        <f t="shared" si="114"/>
        <v>7336.0999999999976</v>
      </c>
      <c r="I442" s="211">
        <f t="shared" si="114"/>
        <v>4690.0000000000018</v>
      </c>
      <c r="J442" s="211">
        <f t="shared" si="114"/>
        <v>-31855.4</v>
      </c>
      <c r="K442" s="211">
        <f t="shared" si="114"/>
        <v>1149.3999999999994</v>
      </c>
      <c r="L442" s="211">
        <f t="shared" si="114"/>
        <v>1220.3000000000002</v>
      </c>
      <c r="M442" s="211">
        <f t="shared" si="114"/>
        <v>827</v>
      </c>
      <c r="N442" s="211">
        <f t="shared" si="114"/>
        <v>9766</v>
      </c>
      <c r="O442" s="211">
        <f t="shared" si="114"/>
        <v>1376.1999999999998</v>
      </c>
      <c r="P442" s="211">
        <f t="shared" si="114"/>
        <v>-70.7000000000005</v>
      </c>
      <c r="Q442" s="211">
        <f t="shared" si="114"/>
        <v>-988.70000000000141</v>
      </c>
      <c r="R442" s="211">
        <f t="shared" si="114"/>
        <v>-126.400000000001</v>
      </c>
      <c r="S442" s="211">
        <f t="shared" si="114"/>
        <v>1553.4999999999989</v>
      </c>
      <c r="T442" s="211">
        <f t="shared" si="114"/>
        <v>-255.89999999999918</v>
      </c>
      <c r="U442" s="211">
        <f t="shared" si="114"/>
        <v>3535.5000000000014</v>
      </c>
      <c r="V442" s="211">
        <f t="shared" si="114"/>
        <v>1391.6000000000004</v>
      </c>
      <c r="W442" s="211">
        <f t="shared" si="114"/>
        <v>2768.0000000001082</v>
      </c>
      <c r="X442" s="211">
        <f t="shared" si="114"/>
        <v>947.19999999999982</v>
      </c>
      <c r="Y442" s="211">
        <f t="shared" si="114"/>
        <v>59.100000000000477</v>
      </c>
      <c r="Z442" s="211">
        <f t="shared" si="114"/>
        <v>2328.400000000001</v>
      </c>
      <c r="AA442" s="211">
        <f t="shared" si="114"/>
        <v>-653.00000000000091</v>
      </c>
      <c r="AB442" s="211">
        <f t="shared" si="114"/>
        <v>-45.39999999999884</v>
      </c>
      <c r="AC442" s="211">
        <f>+AC437+AC431+AC427+AC425+AC423</f>
        <v>672.2999999999987</v>
      </c>
      <c r="AD442" s="211">
        <f t="shared" si="114"/>
        <v>2776.0000000000009</v>
      </c>
      <c r="AE442" s="211">
        <f t="shared" si="114"/>
        <v>2759.7000000000007</v>
      </c>
      <c r="AF442" s="211">
        <f t="shared" si="114"/>
        <v>2432.1000000000004</v>
      </c>
      <c r="AG442" s="211">
        <f t="shared" si="114"/>
        <v>1616.4000000000024</v>
      </c>
      <c r="AH442" s="211">
        <f t="shared" si="114"/>
        <v>730.09999999999854</v>
      </c>
      <c r="AI442" s="211">
        <f t="shared" si="114"/>
        <v>-3250.3</v>
      </c>
      <c r="AJ442" s="211">
        <f t="shared" si="114"/>
        <v>6609</v>
      </c>
      <c r="AK442" s="211">
        <f t="shared" si="114"/>
        <v>5193.199999999998</v>
      </c>
      <c r="AL442" s="211">
        <f t="shared" si="114"/>
        <v>8810.2999999999993</v>
      </c>
      <c r="AM442" s="211">
        <f t="shared" si="114"/>
        <v>2515.0000000000005</v>
      </c>
      <c r="AN442" s="211">
        <f t="shared" si="114"/>
        <v>878.69999999999982</v>
      </c>
      <c r="AO442" s="211">
        <f t="shared" si="114"/>
        <v>9674.1000000000076</v>
      </c>
      <c r="AP442" s="211">
        <f t="shared" si="114"/>
        <v>-2101.5000000000045</v>
      </c>
      <c r="AQ442" s="211">
        <f t="shared" si="114"/>
        <v>378.90000000000094</v>
      </c>
      <c r="AR442" s="211">
        <f t="shared" si="114"/>
        <v>3927.8000000000038</v>
      </c>
      <c r="AS442" s="211">
        <f t="shared" si="114"/>
        <v>2267.0999999999976</v>
      </c>
      <c r="AT442" s="211">
        <f t="shared" si="114"/>
        <v>348.30000000000518</v>
      </c>
      <c r="AU442" s="211">
        <f t="shared" si="114"/>
        <v>1160.2000000000012</v>
      </c>
      <c r="AV442" s="211">
        <f t="shared" si="114"/>
        <v>3991.2000000000021</v>
      </c>
      <c r="AW442" s="211">
        <f t="shared" si="114"/>
        <v>387.09999999999673</v>
      </c>
      <c r="AX442" s="211">
        <f t="shared" si="114"/>
        <v>9895.7000000000007</v>
      </c>
      <c r="AY442" s="211">
        <f t="shared" si="114"/>
        <v>-698.89999999999486</v>
      </c>
      <c r="AZ442" s="211">
        <f t="shared" si="114"/>
        <v>-1657.0999999999995</v>
      </c>
      <c r="BA442" s="211">
        <f t="shared" si="114"/>
        <v>4046.500000000005</v>
      </c>
      <c r="BB442" s="211">
        <f t="shared" si="114"/>
        <v>-1973.4999999999986</v>
      </c>
      <c r="BC442" s="211">
        <f t="shared" si="114"/>
        <v>2561.0000000000009</v>
      </c>
      <c r="BD442" s="211">
        <f t="shared" si="114"/>
        <v>5002.6000000000031</v>
      </c>
      <c r="BE442" s="211">
        <f t="shared" si="114"/>
        <v>2298.099999999999</v>
      </c>
      <c r="BF442" s="211">
        <f t="shared" si="114"/>
        <v>-10375.6</v>
      </c>
      <c r="BG442" s="390">
        <f t="shared" si="114"/>
        <v>11189.8</v>
      </c>
      <c r="BH442" s="390">
        <f t="shared" si="114"/>
        <v>11070.999999999998</v>
      </c>
      <c r="BI442" s="390">
        <f t="shared" si="114"/>
        <v>7536.7999999999984</v>
      </c>
      <c r="BJ442" s="390">
        <f t="shared" si="114"/>
        <v>-54882.5</v>
      </c>
      <c r="BK442" s="390">
        <f t="shared" si="114"/>
        <v>10599.400000000001</v>
      </c>
      <c r="BL442" s="390">
        <f t="shared" si="114"/>
        <v>5267</v>
      </c>
      <c r="BM442" s="390">
        <f t="shared" si="114"/>
        <v>16512.599999999999</v>
      </c>
      <c r="BN442" s="390">
        <f t="shared" si="114"/>
        <v>10983.2</v>
      </c>
      <c r="BO442" s="390">
        <f t="shared" ref="BO442:BZ442" si="115">+BO437+BO431+BO427+BO425+BO423</f>
        <v>21662.100000000002</v>
      </c>
      <c r="BP442" s="390">
        <f t="shared" si="115"/>
        <v>6817.2000000000016</v>
      </c>
      <c r="BQ442" s="390">
        <f t="shared" si="115"/>
        <v>9555.5999999999913</v>
      </c>
      <c r="BR442" s="390">
        <f t="shared" si="115"/>
        <v>6338.2000000000016</v>
      </c>
      <c r="BS442" s="390">
        <f t="shared" si="115"/>
        <v>1660.0999999999995</v>
      </c>
      <c r="BT442" s="390">
        <f t="shared" si="115"/>
        <v>3172.9999999999986</v>
      </c>
      <c r="BU442" s="390">
        <f t="shared" si="115"/>
        <v>1693.900000000001</v>
      </c>
      <c r="BV442" s="390">
        <f t="shared" si="115"/>
        <v>1985.5000000000009</v>
      </c>
      <c r="BW442" s="390">
        <f t="shared" si="115"/>
        <v>873.40000000000191</v>
      </c>
      <c r="BX442" s="390">
        <f t="shared" si="115"/>
        <v>3369.1000000000004</v>
      </c>
      <c r="BY442" s="390">
        <f t="shared" si="115"/>
        <v>2397.1000000000022</v>
      </c>
      <c r="BZ442" s="390">
        <f t="shared" si="115"/>
        <v>-642.79999999999927</v>
      </c>
      <c r="CA442" s="390">
        <f t="shared" ref="CA442:CB442" si="116">+CA437+CA431+CA427+CA425+CA423</f>
        <v>-11900.799999999994</v>
      </c>
      <c r="CB442" s="390">
        <f t="shared" si="116"/>
        <v>4335.8999999999996</v>
      </c>
      <c r="CC442" s="390">
        <f t="shared" ref="CC442:CD442" si="117">+CC437+CC431+CC427+CC425+CC423</f>
        <v>-18176</v>
      </c>
      <c r="CD442" s="390">
        <f t="shared" si="117"/>
        <v>7086.2999999999993</v>
      </c>
      <c r="CE442" s="390">
        <f t="shared" ref="CE442" si="118">+CE437+CE431+CE427+CE425+CE423</f>
        <v>-226.39999999999691</v>
      </c>
      <c r="CF442" s="211">
        <f>+CF437+CF431+CF427+CF425+CF423</f>
        <v>-10798.5</v>
      </c>
      <c r="CG442" s="211">
        <f>+CG437+CG431+CG427+CG425+CG423</f>
        <v>3793.1999999999971</v>
      </c>
      <c r="CH442" s="211">
        <f>+CH437+CH431+CH427+CH425+CH423</f>
        <v>8044.9999999999973</v>
      </c>
      <c r="CI442" s="211">
        <f>+CI437+CI431+CI427+CI425+CI423</f>
        <v>5857.5000000000009</v>
      </c>
      <c r="CJ442" s="211">
        <f>+CJ437+CJ431+CJ427+CJ425+CJ423</f>
        <v>11200.499999999998</v>
      </c>
    </row>
    <row r="443" spans="1:88" ht="16.2" x14ac:dyDescent="0.3">
      <c r="A443" s="173"/>
      <c r="B443" s="190" t="s">
        <v>57</v>
      </c>
      <c r="C443" s="191" t="s">
        <v>57</v>
      </c>
      <c r="D443" s="214" t="s">
        <v>57</v>
      </c>
      <c r="E443" s="214" t="s">
        <v>57</v>
      </c>
      <c r="F443" s="214" t="s">
        <v>57</v>
      </c>
      <c r="G443" s="214" t="s">
        <v>57</v>
      </c>
      <c r="H443" s="214" t="s">
        <v>57</v>
      </c>
      <c r="I443" s="214" t="s">
        <v>57</v>
      </c>
      <c r="J443" s="214" t="s">
        <v>57</v>
      </c>
      <c r="K443" s="214" t="s">
        <v>57</v>
      </c>
      <c r="L443" s="214" t="s">
        <v>57</v>
      </c>
      <c r="M443" s="214" t="s">
        <v>57</v>
      </c>
      <c r="N443" s="214" t="s">
        <v>57</v>
      </c>
      <c r="O443" s="214" t="s">
        <v>57</v>
      </c>
      <c r="P443" s="214" t="s">
        <v>57</v>
      </c>
      <c r="Q443" s="214" t="s">
        <v>57</v>
      </c>
      <c r="R443" s="214" t="s">
        <v>57</v>
      </c>
      <c r="S443" s="214" t="s">
        <v>57</v>
      </c>
      <c r="T443" s="214" t="s">
        <v>57</v>
      </c>
      <c r="U443" s="214" t="s">
        <v>57</v>
      </c>
      <c r="V443" s="214" t="s">
        <v>57</v>
      </c>
      <c r="W443" s="214" t="s">
        <v>57</v>
      </c>
      <c r="X443" s="214" t="s">
        <v>57</v>
      </c>
      <c r="Y443" s="214" t="s">
        <v>57</v>
      </c>
      <c r="Z443" s="214" t="s">
        <v>57</v>
      </c>
      <c r="AA443" s="214" t="s">
        <v>57</v>
      </c>
      <c r="AB443" s="214" t="s">
        <v>57</v>
      </c>
      <c r="AC443" s="214" t="s">
        <v>57</v>
      </c>
      <c r="AD443" s="214" t="s">
        <v>57</v>
      </c>
      <c r="AE443" s="214" t="s">
        <v>57</v>
      </c>
      <c r="AF443" s="214" t="s">
        <v>57</v>
      </c>
      <c r="AG443" s="214" t="s">
        <v>57</v>
      </c>
      <c r="AH443" s="214" t="s">
        <v>57</v>
      </c>
      <c r="AI443" s="214" t="s">
        <v>57</v>
      </c>
      <c r="AJ443" s="214" t="s">
        <v>57</v>
      </c>
      <c r="AK443" s="214" t="s">
        <v>57</v>
      </c>
      <c r="AL443" s="214" t="s">
        <v>57</v>
      </c>
      <c r="AM443" s="214" t="s">
        <v>57</v>
      </c>
      <c r="AN443" s="214" t="s">
        <v>57</v>
      </c>
      <c r="AO443" s="214" t="s">
        <v>57</v>
      </c>
      <c r="AP443" s="214" t="s">
        <v>57</v>
      </c>
      <c r="AQ443" s="214" t="s">
        <v>57</v>
      </c>
      <c r="AR443" s="214" t="s">
        <v>57</v>
      </c>
      <c r="AS443" s="214" t="s">
        <v>57</v>
      </c>
      <c r="AT443" s="214" t="s">
        <v>57</v>
      </c>
      <c r="AU443" s="214" t="s">
        <v>57</v>
      </c>
      <c r="AV443" s="214" t="s">
        <v>57</v>
      </c>
      <c r="AW443" s="214" t="s">
        <v>57</v>
      </c>
      <c r="AX443" s="214" t="s">
        <v>57</v>
      </c>
      <c r="AY443" s="214" t="s">
        <v>57</v>
      </c>
      <c r="AZ443" s="214" t="s">
        <v>57</v>
      </c>
      <c r="BA443" s="214" t="s">
        <v>57</v>
      </c>
      <c r="BB443" s="214" t="s">
        <v>57</v>
      </c>
      <c r="BC443" s="214" t="s">
        <v>57</v>
      </c>
      <c r="BD443" s="214" t="s">
        <v>57</v>
      </c>
      <c r="BE443" s="214" t="s">
        <v>57</v>
      </c>
      <c r="BF443" s="214" t="s">
        <v>57</v>
      </c>
      <c r="BG443" s="391" t="s">
        <v>57</v>
      </c>
      <c r="BH443" s="391" t="s">
        <v>57</v>
      </c>
      <c r="BI443" s="391" t="s">
        <v>57</v>
      </c>
      <c r="BJ443" s="391" t="s">
        <v>57</v>
      </c>
      <c r="BK443" s="391" t="s">
        <v>57</v>
      </c>
      <c r="BL443" s="391" t="s">
        <v>57</v>
      </c>
      <c r="BM443" s="391" t="s">
        <v>57</v>
      </c>
      <c r="BN443" s="391" t="s">
        <v>57</v>
      </c>
      <c r="BO443" s="391" t="s">
        <v>57</v>
      </c>
      <c r="BP443" s="391" t="s">
        <v>57</v>
      </c>
      <c r="BQ443" s="391" t="s">
        <v>57</v>
      </c>
      <c r="BR443" s="391" t="s">
        <v>57</v>
      </c>
      <c r="BS443" s="391" t="s">
        <v>57</v>
      </c>
      <c r="BT443" s="391" t="s">
        <v>57</v>
      </c>
      <c r="BU443" s="391" t="s">
        <v>57</v>
      </c>
      <c r="BV443" s="391" t="s">
        <v>57</v>
      </c>
      <c r="BW443" s="391" t="s">
        <v>57</v>
      </c>
      <c r="BX443" s="391" t="s">
        <v>57</v>
      </c>
      <c r="BY443" s="391" t="s">
        <v>57</v>
      </c>
      <c r="BZ443" s="391" t="s">
        <v>57</v>
      </c>
      <c r="CA443" s="391" t="s">
        <v>57</v>
      </c>
      <c r="CB443" s="391" t="s">
        <v>57</v>
      </c>
      <c r="CC443" s="391" t="s">
        <v>57</v>
      </c>
      <c r="CD443" s="391" t="s">
        <v>57</v>
      </c>
      <c r="CE443" s="391" t="s">
        <v>57</v>
      </c>
      <c r="CF443" s="391" t="s">
        <v>57</v>
      </c>
      <c r="CG443" s="391" t="s">
        <v>57</v>
      </c>
      <c r="CH443" s="391" t="s">
        <v>57</v>
      </c>
      <c r="CI443" s="391" t="s">
        <v>57</v>
      </c>
      <c r="CJ443" s="391" t="s">
        <v>57</v>
      </c>
    </row>
    <row r="444" spans="1:88" ht="18" x14ac:dyDescent="0.35">
      <c r="A444" s="173"/>
      <c r="B444" s="226" t="s">
        <v>138</v>
      </c>
      <c r="C444" s="230">
        <f>+C16+C442</f>
        <v>335661.4</v>
      </c>
      <c r="D444" s="230">
        <f t="shared" ref="D444:AI444" si="119">+D442+D16</f>
        <v>334476.90000000002</v>
      </c>
      <c r="E444" s="230">
        <f t="shared" si="119"/>
        <v>324898</v>
      </c>
      <c r="F444" s="230">
        <f t="shared" si="119"/>
        <v>334322.8</v>
      </c>
      <c r="G444" s="230">
        <f t="shared" si="119"/>
        <v>329931</v>
      </c>
      <c r="H444" s="230">
        <f t="shared" si="119"/>
        <v>337267.1</v>
      </c>
      <c r="I444" s="230">
        <f t="shared" si="119"/>
        <v>341957.1</v>
      </c>
      <c r="J444" s="230">
        <f t="shared" si="119"/>
        <v>310101.69999999995</v>
      </c>
      <c r="K444" s="230">
        <f t="shared" si="119"/>
        <v>311251.09999999998</v>
      </c>
      <c r="L444" s="230">
        <f t="shared" si="119"/>
        <v>312471.39999999997</v>
      </c>
      <c r="M444" s="230">
        <f t="shared" si="119"/>
        <v>313298.39999999997</v>
      </c>
      <c r="N444" s="230">
        <f t="shared" si="119"/>
        <v>323064.39999999997</v>
      </c>
      <c r="O444" s="230">
        <f t="shared" si="119"/>
        <v>324440.59999999998</v>
      </c>
      <c r="P444" s="230">
        <f t="shared" si="119"/>
        <v>324369.89999999997</v>
      </c>
      <c r="Q444" s="230">
        <f t="shared" si="119"/>
        <v>323381.19999999995</v>
      </c>
      <c r="R444" s="230">
        <f t="shared" si="119"/>
        <v>323254.79999999993</v>
      </c>
      <c r="S444" s="230">
        <f t="shared" si="119"/>
        <v>324808.29999999993</v>
      </c>
      <c r="T444" s="230">
        <f t="shared" si="119"/>
        <v>324552.39999999991</v>
      </c>
      <c r="U444" s="230">
        <f t="shared" si="119"/>
        <v>328087.89999999991</v>
      </c>
      <c r="V444" s="230">
        <f t="shared" si="119"/>
        <v>329479.49999999988</v>
      </c>
      <c r="W444" s="230">
        <f t="shared" si="119"/>
        <v>332247.5</v>
      </c>
      <c r="X444" s="230">
        <f t="shared" si="119"/>
        <v>333194.7</v>
      </c>
      <c r="Y444" s="230">
        <f t="shared" si="119"/>
        <v>333253.8</v>
      </c>
      <c r="Z444" s="230">
        <f t="shared" si="119"/>
        <v>335582.2</v>
      </c>
      <c r="AA444" s="230">
        <f t="shared" si="119"/>
        <v>334929.2</v>
      </c>
      <c r="AB444" s="230">
        <f t="shared" si="119"/>
        <v>334883.8</v>
      </c>
      <c r="AC444" s="230">
        <f t="shared" si="119"/>
        <v>335556.1</v>
      </c>
      <c r="AD444" s="230">
        <f t="shared" si="119"/>
        <v>338332.1</v>
      </c>
      <c r="AE444" s="230">
        <f t="shared" si="119"/>
        <v>341091.8</v>
      </c>
      <c r="AF444" s="230">
        <f t="shared" si="119"/>
        <v>343523.89999999997</v>
      </c>
      <c r="AG444" s="230">
        <f t="shared" si="119"/>
        <v>345140.3</v>
      </c>
      <c r="AH444" s="230">
        <f t="shared" si="119"/>
        <v>345870.39999999997</v>
      </c>
      <c r="AI444" s="230">
        <f t="shared" si="119"/>
        <v>342620.1</v>
      </c>
      <c r="AJ444" s="230">
        <f t="shared" ref="AJ444:BO444" si="120">+AJ442+AJ16</f>
        <v>349229.1</v>
      </c>
      <c r="AK444" s="230">
        <f t="shared" si="120"/>
        <v>354422.3</v>
      </c>
      <c r="AL444" s="230">
        <f t="shared" si="120"/>
        <v>363232.6</v>
      </c>
      <c r="AM444" s="230">
        <f t="shared" si="120"/>
        <v>365747.6</v>
      </c>
      <c r="AN444" s="230">
        <f t="shared" si="120"/>
        <v>366626.3</v>
      </c>
      <c r="AO444" s="230">
        <f t="shared" si="120"/>
        <v>376300.4</v>
      </c>
      <c r="AP444" s="230">
        <f t="shared" si="120"/>
        <v>374198.9</v>
      </c>
      <c r="AQ444" s="230">
        <f t="shared" si="120"/>
        <v>374577.80000000005</v>
      </c>
      <c r="AR444" s="230">
        <f t="shared" si="120"/>
        <v>378505.60000000003</v>
      </c>
      <c r="AS444" s="230">
        <f t="shared" si="120"/>
        <v>380772.7</v>
      </c>
      <c r="AT444" s="230">
        <f t="shared" si="120"/>
        <v>381121</v>
      </c>
      <c r="AU444" s="230">
        <f t="shared" si="120"/>
        <v>382281.2</v>
      </c>
      <c r="AV444" s="230">
        <f t="shared" si="120"/>
        <v>386272.4</v>
      </c>
      <c r="AW444" s="230">
        <f t="shared" si="120"/>
        <v>386659.5</v>
      </c>
      <c r="AX444" s="230">
        <f t="shared" si="120"/>
        <v>396555.2</v>
      </c>
      <c r="AY444" s="230">
        <f t="shared" si="120"/>
        <v>395856.3</v>
      </c>
      <c r="AZ444" s="230">
        <f t="shared" si="120"/>
        <v>394199.2</v>
      </c>
      <c r="BA444" s="230">
        <f t="shared" si="120"/>
        <v>398245.7</v>
      </c>
      <c r="BB444" s="230">
        <f t="shared" si="120"/>
        <v>396272.2</v>
      </c>
      <c r="BC444" s="230">
        <f t="shared" si="120"/>
        <v>398833.2</v>
      </c>
      <c r="BD444" s="230">
        <f t="shared" si="120"/>
        <v>403835.8</v>
      </c>
      <c r="BE444" s="230">
        <f t="shared" si="120"/>
        <v>406133.89999999997</v>
      </c>
      <c r="BF444" s="230">
        <f t="shared" si="120"/>
        <v>395758.3</v>
      </c>
      <c r="BG444" s="230">
        <f t="shared" si="120"/>
        <v>406948.1</v>
      </c>
      <c r="BH444" s="230">
        <f t="shared" si="120"/>
        <v>418019.1</v>
      </c>
      <c r="BI444" s="230">
        <f t="shared" si="120"/>
        <v>425555.89999999997</v>
      </c>
      <c r="BJ444" s="230">
        <f t="shared" si="120"/>
        <v>370673.39999999997</v>
      </c>
      <c r="BK444" s="230">
        <f t="shared" si="120"/>
        <v>381272.8</v>
      </c>
      <c r="BL444" s="230">
        <f t="shared" si="120"/>
        <v>386539.8</v>
      </c>
      <c r="BM444" s="230">
        <f t="shared" si="120"/>
        <v>403052.39999999997</v>
      </c>
      <c r="BN444" s="230">
        <f t="shared" si="120"/>
        <v>414035.6</v>
      </c>
      <c r="BO444" s="230">
        <f t="shared" si="120"/>
        <v>435697.69999999995</v>
      </c>
      <c r="BP444" s="230">
        <f t="shared" ref="BP444:BZ444" si="121">+BP442+BP16</f>
        <v>442514.89999999997</v>
      </c>
      <c r="BQ444" s="230">
        <f t="shared" si="121"/>
        <v>452070.49999999994</v>
      </c>
      <c r="BR444" s="230">
        <f t="shared" si="121"/>
        <v>458408.69999999995</v>
      </c>
      <c r="BS444" s="230">
        <f t="shared" si="121"/>
        <v>460068.79999999993</v>
      </c>
      <c r="BT444" s="230">
        <f t="shared" si="121"/>
        <v>463241.79999999993</v>
      </c>
      <c r="BU444" s="230">
        <f t="shared" si="121"/>
        <v>464935.69999999995</v>
      </c>
      <c r="BV444" s="230">
        <f t="shared" si="121"/>
        <v>466921.19999999995</v>
      </c>
      <c r="BW444" s="230">
        <f t="shared" si="121"/>
        <v>467794.6</v>
      </c>
      <c r="BX444" s="230">
        <f t="shared" si="121"/>
        <v>471163.69999999995</v>
      </c>
      <c r="BY444" s="230">
        <f t="shared" si="121"/>
        <v>473560.79999999993</v>
      </c>
      <c r="BZ444" s="230">
        <f t="shared" si="121"/>
        <v>472917.99999999994</v>
      </c>
      <c r="CA444" s="230">
        <f t="shared" ref="CA444:CB444" si="122">+CA442+CA16</f>
        <v>461017.19999999995</v>
      </c>
      <c r="CB444" s="230">
        <f t="shared" si="122"/>
        <v>465353.1</v>
      </c>
      <c r="CC444" s="230">
        <f t="shared" ref="CC444:CD444" si="123">+CC442+CC16</f>
        <v>447177.1</v>
      </c>
      <c r="CD444" s="230">
        <f t="shared" si="123"/>
        <v>454263.39999999997</v>
      </c>
      <c r="CE444" s="230">
        <f t="shared" ref="CE444:CF444" si="124">+CE442+CE16</f>
        <v>454036.99999999994</v>
      </c>
      <c r="CF444" s="230">
        <f t="shared" si="124"/>
        <v>443238.49999999994</v>
      </c>
      <c r="CG444" s="230">
        <f t="shared" ref="CG444:CH444" si="125">+CG442+CG16</f>
        <v>447031.69999999995</v>
      </c>
      <c r="CH444" s="230">
        <f t="shared" si="125"/>
        <v>455076.69999999995</v>
      </c>
      <c r="CI444" s="230">
        <f t="shared" ref="CI444:CJ444" si="126">+CI442+CI16</f>
        <v>460934.19999999995</v>
      </c>
      <c r="CJ444" s="230">
        <f t="shared" si="126"/>
        <v>472134.69999999995</v>
      </c>
    </row>
    <row r="445" spans="1:88" ht="16.2" x14ac:dyDescent="0.3">
      <c r="A445" s="173"/>
      <c r="B445" s="228" t="s">
        <v>57</v>
      </c>
      <c r="C445" s="415" t="s">
        <v>57</v>
      </c>
      <c r="D445" s="415" t="s">
        <v>57</v>
      </c>
      <c r="E445" s="415" t="s">
        <v>57</v>
      </c>
      <c r="F445" s="415" t="s">
        <v>57</v>
      </c>
      <c r="G445" s="415" t="s">
        <v>57</v>
      </c>
      <c r="H445" s="415" t="s">
        <v>57</v>
      </c>
      <c r="I445" s="415" t="s">
        <v>57</v>
      </c>
      <c r="J445" s="415" t="s">
        <v>57</v>
      </c>
      <c r="K445" s="415" t="s">
        <v>57</v>
      </c>
      <c r="L445" s="415" t="s">
        <v>57</v>
      </c>
      <c r="M445" s="415" t="s">
        <v>57</v>
      </c>
      <c r="N445" s="415" t="s">
        <v>57</v>
      </c>
      <c r="O445" s="415" t="s">
        <v>57</v>
      </c>
      <c r="P445" s="415" t="s">
        <v>57</v>
      </c>
      <c r="Q445" s="415" t="s">
        <v>57</v>
      </c>
      <c r="R445" s="415" t="s">
        <v>57</v>
      </c>
      <c r="S445" s="415" t="s">
        <v>57</v>
      </c>
      <c r="T445" s="415" t="s">
        <v>57</v>
      </c>
      <c r="U445" s="415" t="s">
        <v>57</v>
      </c>
      <c r="V445" s="415" t="s">
        <v>57</v>
      </c>
      <c r="W445" s="415" t="s">
        <v>57</v>
      </c>
      <c r="X445" s="415" t="s">
        <v>57</v>
      </c>
      <c r="Y445" s="415" t="s">
        <v>57</v>
      </c>
      <c r="Z445" s="415" t="s">
        <v>57</v>
      </c>
      <c r="AA445" s="415" t="s">
        <v>57</v>
      </c>
      <c r="AB445" s="415" t="s">
        <v>57</v>
      </c>
      <c r="AC445" s="415" t="s">
        <v>57</v>
      </c>
      <c r="AD445" s="415" t="s">
        <v>57</v>
      </c>
      <c r="AE445" s="415" t="s">
        <v>57</v>
      </c>
      <c r="AF445" s="415" t="s">
        <v>57</v>
      </c>
      <c r="AG445" s="415" t="s">
        <v>57</v>
      </c>
      <c r="AH445" s="415" t="s">
        <v>57</v>
      </c>
      <c r="AI445" s="415" t="s">
        <v>57</v>
      </c>
      <c r="AJ445" s="415" t="s">
        <v>57</v>
      </c>
      <c r="AK445" s="415" t="s">
        <v>57</v>
      </c>
      <c r="AL445" s="415" t="s">
        <v>57</v>
      </c>
      <c r="AM445" s="415" t="s">
        <v>57</v>
      </c>
      <c r="AN445" s="415" t="s">
        <v>57</v>
      </c>
      <c r="AO445" s="415" t="s">
        <v>57</v>
      </c>
      <c r="AP445" s="415" t="s">
        <v>57</v>
      </c>
      <c r="AQ445" s="415" t="s">
        <v>57</v>
      </c>
      <c r="AR445" s="415" t="s">
        <v>57</v>
      </c>
      <c r="AS445" s="415" t="s">
        <v>57</v>
      </c>
      <c r="AT445" s="415" t="s">
        <v>57</v>
      </c>
      <c r="AU445" s="415" t="s">
        <v>57</v>
      </c>
      <c r="AV445" s="415" t="s">
        <v>57</v>
      </c>
      <c r="AW445" s="415" t="s">
        <v>57</v>
      </c>
      <c r="AX445" s="415" t="s">
        <v>57</v>
      </c>
      <c r="AY445" s="415" t="s">
        <v>57</v>
      </c>
      <c r="AZ445" s="415" t="s">
        <v>57</v>
      </c>
      <c r="BA445" s="415" t="s">
        <v>57</v>
      </c>
      <c r="BB445" s="415" t="s">
        <v>57</v>
      </c>
      <c r="BC445" s="415" t="s">
        <v>57</v>
      </c>
      <c r="BD445" s="415" t="s">
        <v>57</v>
      </c>
      <c r="BE445" s="415" t="s">
        <v>57</v>
      </c>
      <c r="BF445" s="415" t="s">
        <v>57</v>
      </c>
      <c r="BG445" s="415" t="s">
        <v>57</v>
      </c>
      <c r="BH445" s="415" t="s">
        <v>57</v>
      </c>
      <c r="BI445" s="415" t="s">
        <v>57</v>
      </c>
      <c r="BJ445" s="415" t="s">
        <v>57</v>
      </c>
      <c r="BK445" s="415" t="s">
        <v>57</v>
      </c>
      <c r="BL445" s="415" t="s">
        <v>57</v>
      </c>
      <c r="BM445" s="415" t="s">
        <v>57</v>
      </c>
      <c r="BN445" s="415" t="s">
        <v>57</v>
      </c>
      <c r="BO445" s="415" t="s">
        <v>57</v>
      </c>
      <c r="BP445" s="415" t="s">
        <v>57</v>
      </c>
      <c r="BQ445" s="415" t="s">
        <v>57</v>
      </c>
      <c r="BR445" s="415" t="s">
        <v>57</v>
      </c>
      <c r="BS445" s="415" t="s">
        <v>57</v>
      </c>
      <c r="BT445" s="415" t="s">
        <v>57</v>
      </c>
      <c r="BU445" s="415" t="s">
        <v>57</v>
      </c>
      <c r="BV445" s="415" t="s">
        <v>57</v>
      </c>
      <c r="BW445" s="415" t="s">
        <v>57</v>
      </c>
      <c r="BX445" s="415" t="s">
        <v>57</v>
      </c>
      <c r="BY445" s="415" t="s">
        <v>57</v>
      </c>
      <c r="BZ445" s="415" t="s">
        <v>57</v>
      </c>
      <c r="CA445" s="415" t="s">
        <v>57</v>
      </c>
      <c r="CB445" s="415" t="s">
        <v>57</v>
      </c>
      <c r="CC445" s="415" t="s">
        <v>57</v>
      </c>
      <c r="CD445" s="415" t="s">
        <v>57</v>
      </c>
      <c r="CE445" s="415" t="s">
        <v>57</v>
      </c>
      <c r="CF445" s="415" t="s">
        <v>57</v>
      </c>
      <c r="CG445" s="415" t="s">
        <v>57</v>
      </c>
      <c r="CH445" s="415" t="s">
        <v>57</v>
      </c>
      <c r="CI445" s="415" t="s">
        <v>57</v>
      </c>
      <c r="CJ445" s="415" t="s">
        <v>57</v>
      </c>
    </row>
    <row r="446" spans="1:88" ht="18" x14ac:dyDescent="0.35">
      <c r="A446" s="173"/>
      <c r="B446" s="226" t="s">
        <v>101</v>
      </c>
      <c r="C446" s="230">
        <f>+C14+C437</f>
        <v>2809.7000000000003</v>
      </c>
      <c r="D446" s="230">
        <f t="shared" ref="D446:AI446" si="127">+D437+D14</f>
        <v>2801.0000000000005</v>
      </c>
      <c r="E446" s="230">
        <f t="shared" si="127"/>
        <v>2476.9000000000005</v>
      </c>
      <c r="F446" s="230">
        <f t="shared" si="127"/>
        <v>2477.8000000000006</v>
      </c>
      <c r="G446" s="230">
        <f t="shared" si="127"/>
        <v>2476.5000000000005</v>
      </c>
      <c r="H446" s="230">
        <f t="shared" si="127"/>
        <v>2456.4000000000005</v>
      </c>
      <c r="I446" s="230">
        <f t="shared" si="127"/>
        <v>2433.1000000000004</v>
      </c>
      <c r="J446" s="230">
        <f t="shared" si="127"/>
        <v>2409.6000000000004</v>
      </c>
      <c r="K446" s="230">
        <f t="shared" si="127"/>
        <v>2405.6000000000004</v>
      </c>
      <c r="L446" s="230">
        <f t="shared" si="127"/>
        <v>2425.9000000000005</v>
      </c>
      <c r="M446" s="230">
        <f t="shared" si="127"/>
        <v>2416.9000000000005</v>
      </c>
      <c r="N446" s="230">
        <f t="shared" si="127"/>
        <v>2434.9000000000005</v>
      </c>
      <c r="O446" s="230">
        <f t="shared" si="127"/>
        <v>2428.3000000000006</v>
      </c>
      <c r="P446" s="230">
        <f t="shared" si="127"/>
        <v>2422.9000000000005</v>
      </c>
      <c r="Q446" s="230">
        <f t="shared" si="127"/>
        <v>2422.4000000000005</v>
      </c>
      <c r="R446" s="230">
        <f t="shared" si="127"/>
        <v>2414.1000000000004</v>
      </c>
      <c r="S446" s="230">
        <f t="shared" si="127"/>
        <v>2424.6000000000004</v>
      </c>
      <c r="T446" s="230">
        <f t="shared" si="127"/>
        <v>2433.8000000000002</v>
      </c>
      <c r="U446" s="230">
        <f t="shared" si="127"/>
        <v>2474.6</v>
      </c>
      <c r="V446" s="230">
        <f t="shared" si="127"/>
        <v>2486.9</v>
      </c>
      <c r="W446" s="230">
        <f t="shared" si="127"/>
        <v>2469.8000000000002</v>
      </c>
      <c r="X446" s="230">
        <f t="shared" si="127"/>
        <v>2456.3000000000002</v>
      </c>
      <c r="Y446" s="230">
        <f t="shared" si="127"/>
        <v>2477.8000000000002</v>
      </c>
      <c r="Z446" s="230">
        <f t="shared" si="127"/>
        <v>2500.5</v>
      </c>
      <c r="AA446" s="230">
        <f t="shared" si="127"/>
        <v>2493.9</v>
      </c>
      <c r="AB446" s="230">
        <f t="shared" si="127"/>
        <v>2488.8000000000002</v>
      </c>
      <c r="AC446" s="230">
        <f t="shared" si="127"/>
        <v>2461.2000000000003</v>
      </c>
      <c r="AD446" s="230">
        <f t="shared" si="127"/>
        <v>2484.0000000000005</v>
      </c>
      <c r="AE446" s="230">
        <f t="shared" si="127"/>
        <v>2501.8000000000006</v>
      </c>
      <c r="AF446" s="230">
        <f t="shared" si="127"/>
        <v>2473.9000000000005</v>
      </c>
      <c r="AG446" s="230">
        <f t="shared" si="127"/>
        <v>2474.8000000000006</v>
      </c>
      <c r="AH446" s="230">
        <f t="shared" si="127"/>
        <v>2470.7000000000007</v>
      </c>
      <c r="AI446" s="230">
        <f t="shared" si="127"/>
        <v>2453.7000000000007</v>
      </c>
      <c r="AJ446" s="230">
        <f t="shared" ref="AJ446:BO446" si="128">+AJ437+AJ14</f>
        <v>2452.4000000000005</v>
      </c>
      <c r="AK446" s="230">
        <f t="shared" si="128"/>
        <v>2436.6000000000004</v>
      </c>
      <c r="AL446" s="230">
        <f t="shared" si="128"/>
        <v>2439.3000000000002</v>
      </c>
      <c r="AM446" s="230">
        <f t="shared" si="128"/>
        <v>2429.1000000000004</v>
      </c>
      <c r="AN446" s="230">
        <f t="shared" si="128"/>
        <v>2428.9000000000005</v>
      </c>
      <c r="AO446" s="230">
        <f t="shared" si="128"/>
        <v>2416.0000000000005</v>
      </c>
      <c r="AP446" s="230">
        <f t="shared" si="128"/>
        <v>2374.3000000000006</v>
      </c>
      <c r="AQ446" s="230">
        <f t="shared" si="128"/>
        <v>2390.7000000000007</v>
      </c>
      <c r="AR446" s="230">
        <f t="shared" si="128"/>
        <v>2370.9000000000005</v>
      </c>
      <c r="AS446" s="230">
        <f t="shared" si="128"/>
        <v>2351.1000000000004</v>
      </c>
      <c r="AT446" s="230">
        <f t="shared" si="128"/>
        <v>2337.6000000000004</v>
      </c>
      <c r="AU446" s="230">
        <f t="shared" si="128"/>
        <v>2317.2000000000003</v>
      </c>
      <c r="AV446" s="230">
        <f t="shared" si="128"/>
        <v>2321.8000000000002</v>
      </c>
      <c r="AW446" s="230">
        <f t="shared" si="128"/>
        <v>2364.1000000000004</v>
      </c>
      <c r="AX446" s="230">
        <f t="shared" si="128"/>
        <v>2388.2000000000003</v>
      </c>
      <c r="AY446" s="230">
        <f t="shared" si="128"/>
        <v>2400.0000000000005</v>
      </c>
      <c r="AZ446" s="230">
        <f t="shared" si="128"/>
        <v>2376.4000000000005</v>
      </c>
      <c r="BA446" s="230">
        <f t="shared" si="128"/>
        <v>2397.9000000000005</v>
      </c>
      <c r="BB446" s="230">
        <f t="shared" si="128"/>
        <v>2411.9000000000005</v>
      </c>
      <c r="BC446" s="230">
        <f t="shared" si="128"/>
        <v>2386.1000000000004</v>
      </c>
      <c r="BD446" s="230">
        <f t="shared" si="128"/>
        <v>2402.9000000000005</v>
      </c>
      <c r="BE446" s="230">
        <f t="shared" si="128"/>
        <v>2408.9000000000005</v>
      </c>
      <c r="BF446" s="230">
        <f t="shared" si="128"/>
        <v>2386.8000000000006</v>
      </c>
      <c r="BG446" s="230">
        <f t="shared" si="128"/>
        <v>2369.3000000000006</v>
      </c>
      <c r="BH446" s="230">
        <f t="shared" si="128"/>
        <v>2376.6000000000008</v>
      </c>
      <c r="BI446" s="230">
        <f t="shared" si="128"/>
        <v>2406.0000000000009</v>
      </c>
      <c r="BJ446" s="230">
        <f t="shared" si="128"/>
        <v>2345.6000000000008</v>
      </c>
      <c r="BK446" s="230">
        <f t="shared" si="128"/>
        <v>2332.6000000000008</v>
      </c>
      <c r="BL446" s="230">
        <f t="shared" si="128"/>
        <v>2338.2000000000007</v>
      </c>
      <c r="BM446" s="230">
        <f t="shared" si="128"/>
        <v>2344.0000000000009</v>
      </c>
      <c r="BN446" s="230">
        <f t="shared" si="128"/>
        <v>2329.7000000000007</v>
      </c>
      <c r="BO446" s="230">
        <f t="shared" si="128"/>
        <v>2348.0000000000009</v>
      </c>
      <c r="BP446" s="230">
        <f t="shared" ref="BP446:BZ446" si="129">+BP437+BP14</f>
        <v>2339.6000000000008</v>
      </c>
      <c r="BQ446" s="230">
        <f t="shared" si="129"/>
        <v>2349.400000000001</v>
      </c>
      <c r="BR446" s="230">
        <f t="shared" si="129"/>
        <v>2368.7000000000012</v>
      </c>
      <c r="BS446" s="230">
        <f t="shared" si="129"/>
        <v>2376.900000000001</v>
      </c>
      <c r="BT446" s="230">
        <f t="shared" si="129"/>
        <v>2356.7000000000012</v>
      </c>
      <c r="BU446" s="230">
        <f t="shared" si="129"/>
        <v>2334.2000000000012</v>
      </c>
      <c r="BV446" s="230">
        <f t="shared" si="129"/>
        <v>2315.900000000001</v>
      </c>
      <c r="BW446" s="230">
        <f t="shared" si="129"/>
        <v>2317.400000000001</v>
      </c>
      <c r="BX446" s="230">
        <f t="shared" si="129"/>
        <v>2319.8000000000011</v>
      </c>
      <c r="BY446" s="230">
        <f t="shared" si="129"/>
        <v>2354.400000000001</v>
      </c>
      <c r="BZ446" s="230">
        <f t="shared" si="129"/>
        <v>2392.0000000000009</v>
      </c>
      <c r="CA446" s="230">
        <f t="shared" ref="CA446:CB446" si="130">+CA437+CA14</f>
        <v>2394.5000000000009</v>
      </c>
      <c r="CB446" s="230">
        <f t="shared" si="130"/>
        <v>2429.400000000001</v>
      </c>
      <c r="CC446" s="230">
        <f t="shared" ref="CC446:CD446" si="131">+CC437+CC14</f>
        <v>2393.5000000000009</v>
      </c>
      <c r="CD446" s="230">
        <f t="shared" si="131"/>
        <v>2417.2000000000007</v>
      </c>
      <c r="CE446" s="230">
        <f t="shared" ref="CE446:CF446" si="132">+CE437+CE14</f>
        <v>2419.7000000000007</v>
      </c>
      <c r="CF446" s="230">
        <f t="shared" si="132"/>
        <v>2402.1000000000008</v>
      </c>
      <c r="CG446" s="230">
        <f t="shared" ref="CG446:CH446" si="133">+CG437+CG14</f>
        <v>2407.6000000000008</v>
      </c>
      <c r="CH446" s="230">
        <f t="shared" si="133"/>
        <v>2419.7000000000007</v>
      </c>
      <c r="CI446" s="230">
        <f t="shared" ref="CI446:CJ446" si="134">+CI437+CI14</f>
        <v>2430.5000000000009</v>
      </c>
      <c r="CJ446" s="230">
        <f t="shared" si="134"/>
        <v>2431.1000000000008</v>
      </c>
    </row>
    <row r="447" spans="1:88" ht="16.2" x14ac:dyDescent="0.3">
      <c r="A447" s="173"/>
      <c r="B447" s="228" t="s">
        <v>57</v>
      </c>
      <c r="C447" s="415" t="s">
        <v>57</v>
      </c>
      <c r="D447" s="415" t="s">
        <v>57</v>
      </c>
      <c r="E447" s="415" t="s">
        <v>57</v>
      </c>
      <c r="F447" s="415" t="s">
        <v>57</v>
      </c>
      <c r="G447" s="415" t="s">
        <v>57</v>
      </c>
      <c r="H447" s="415" t="s">
        <v>57</v>
      </c>
      <c r="I447" s="415" t="s">
        <v>57</v>
      </c>
      <c r="J447" s="415" t="s">
        <v>57</v>
      </c>
      <c r="K447" s="415" t="s">
        <v>57</v>
      </c>
      <c r="L447" s="415" t="s">
        <v>57</v>
      </c>
      <c r="M447" s="415" t="s">
        <v>57</v>
      </c>
      <c r="N447" s="415" t="s">
        <v>57</v>
      </c>
      <c r="O447" s="415" t="s">
        <v>57</v>
      </c>
      <c r="P447" s="415" t="s">
        <v>57</v>
      </c>
      <c r="Q447" s="415" t="s">
        <v>57</v>
      </c>
      <c r="R447" s="415" t="s">
        <v>57</v>
      </c>
      <c r="S447" s="415" t="s">
        <v>57</v>
      </c>
      <c r="T447" s="415" t="s">
        <v>57</v>
      </c>
      <c r="U447" s="415" t="s">
        <v>57</v>
      </c>
      <c r="V447" s="415" t="s">
        <v>57</v>
      </c>
      <c r="W447" s="415" t="s">
        <v>57</v>
      </c>
      <c r="X447" s="415" t="s">
        <v>57</v>
      </c>
      <c r="Y447" s="415" t="s">
        <v>57</v>
      </c>
      <c r="Z447" s="415" t="s">
        <v>57</v>
      </c>
      <c r="AA447" s="415" t="s">
        <v>57</v>
      </c>
      <c r="AB447" s="415" t="s">
        <v>57</v>
      </c>
      <c r="AC447" s="415" t="s">
        <v>57</v>
      </c>
      <c r="AD447" s="415" t="s">
        <v>57</v>
      </c>
      <c r="AE447" s="415" t="s">
        <v>57</v>
      </c>
      <c r="AF447" s="415" t="s">
        <v>57</v>
      </c>
      <c r="AG447" s="415" t="s">
        <v>57</v>
      </c>
      <c r="AH447" s="415" t="s">
        <v>57</v>
      </c>
      <c r="AI447" s="415" t="s">
        <v>57</v>
      </c>
      <c r="AJ447" s="415" t="s">
        <v>57</v>
      </c>
      <c r="AK447" s="415" t="s">
        <v>57</v>
      </c>
      <c r="AL447" s="415" t="s">
        <v>57</v>
      </c>
      <c r="AM447" s="415" t="s">
        <v>57</v>
      </c>
      <c r="AN447" s="415" t="s">
        <v>57</v>
      </c>
      <c r="AO447" s="415" t="s">
        <v>57</v>
      </c>
      <c r="AP447" s="415" t="s">
        <v>57</v>
      </c>
      <c r="AQ447" s="415" t="s">
        <v>57</v>
      </c>
      <c r="AR447" s="415" t="s">
        <v>57</v>
      </c>
      <c r="AS447" s="415" t="s">
        <v>57</v>
      </c>
      <c r="AT447" s="415" t="s">
        <v>57</v>
      </c>
      <c r="AU447" s="415" t="s">
        <v>57</v>
      </c>
      <c r="AV447" s="415" t="s">
        <v>57</v>
      </c>
      <c r="AW447" s="415" t="s">
        <v>57</v>
      </c>
      <c r="AX447" s="415" t="s">
        <v>57</v>
      </c>
      <c r="AY447" s="415" t="s">
        <v>57</v>
      </c>
      <c r="AZ447" s="415" t="s">
        <v>57</v>
      </c>
      <c r="BA447" s="415" t="s">
        <v>57</v>
      </c>
      <c r="BB447" s="415" t="s">
        <v>57</v>
      </c>
      <c r="BC447" s="415" t="s">
        <v>57</v>
      </c>
      <c r="BD447" s="415" t="s">
        <v>57</v>
      </c>
      <c r="BE447" s="415" t="s">
        <v>57</v>
      </c>
      <c r="BF447" s="415" t="s">
        <v>57</v>
      </c>
      <c r="BG447" s="415" t="s">
        <v>57</v>
      </c>
      <c r="BH447" s="415" t="s">
        <v>57</v>
      </c>
      <c r="BI447" s="415" t="s">
        <v>57</v>
      </c>
      <c r="BJ447" s="415" t="s">
        <v>57</v>
      </c>
      <c r="BK447" s="415" t="s">
        <v>57</v>
      </c>
      <c r="BL447" s="415" t="s">
        <v>57</v>
      </c>
      <c r="BM447" s="415" t="s">
        <v>57</v>
      </c>
      <c r="BN447" s="415" t="s">
        <v>57</v>
      </c>
      <c r="BO447" s="415" t="s">
        <v>57</v>
      </c>
      <c r="BP447" s="415" t="s">
        <v>57</v>
      </c>
      <c r="BQ447" s="415" t="s">
        <v>57</v>
      </c>
      <c r="BR447" s="415" t="s">
        <v>57</v>
      </c>
      <c r="BS447" s="415" t="s">
        <v>57</v>
      </c>
      <c r="BT447" s="415" t="s">
        <v>57</v>
      </c>
      <c r="BU447" s="415" t="s">
        <v>57</v>
      </c>
      <c r="BV447" s="415" t="s">
        <v>57</v>
      </c>
      <c r="BW447" s="415" t="s">
        <v>57</v>
      </c>
      <c r="BX447" s="415" t="s">
        <v>57</v>
      </c>
      <c r="BY447" s="415" t="s">
        <v>57</v>
      </c>
      <c r="BZ447" s="415" t="s">
        <v>57</v>
      </c>
      <c r="CA447" s="415" t="s">
        <v>57</v>
      </c>
      <c r="CB447" s="415" t="s">
        <v>57</v>
      </c>
      <c r="CC447" s="415" t="s">
        <v>57</v>
      </c>
      <c r="CD447" s="415" t="s">
        <v>57</v>
      </c>
      <c r="CE447" s="415" t="s">
        <v>57</v>
      </c>
      <c r="CF447" s="415" t="s">
        <v>57</v>
      </c>
      <c r="CG447" s="415" t="s">
        <v>57</v>
      </c>
      <c r="CH447" s="415" t="s">
        <v>57</v>
      </c>
      <c r="CI447" s="415" t="s">
        <v>57</v>
      </c>
      <c r="CJ447" s="415" t="s">
        <v>57</v>
      </c>
    </row>
    <row r="448" spans="1:88" ht="33" x14ac:dyDescent="0.35">
      <c r="A448" s="173"/>
      <c r="B448" s="226" t="s">
        <v>128</v>
      </c>
      <c r="C448" s="230">
        <f t="shared" ref="C448:BN448" si="135">+C444-C446</f>
        <v>332851.7</v>
      </c>
      <c r="D448" s="230">
        <f t="shared" si="135"/>
        <v>331675.90000000002</v>
      </c>
      <c r="E448" s="230">
        <f t="shared" si="135"/>
        <v>322421.09999999998</v>
      </c>
      <c r="F448" s="230">
        <f t="shared" si="135"/>
        <v>331845</v>
      </c>
      <c r="G448" s="230">
        <f t="shared" si="135"/>
        <v>327454.5</v>
      </c>
      <c r="H448" s="230">
        <f t="shared" si="135"/>
        <v>334810.69999999995</v>
      </c>
      <c r="I448" s="230">
        <f t="shared" si="135"/>
        <v>339524</v>
      </c>
      <c r="J448" s="230">
        <f t="shared" si="135"/>
        <v>307692.09999999998</v>
      </c>
      <c r="K448" s="230">
        <f t="shared" si="135"/>
        <v>308845.5</v>
      </c>
      <c r="L448" s="230">
        <f t="shared" si="135"/>
        <v>310045.49999999994</v>
      </c>
      <c r="M448" s="230">
        <f t="shared" si="135"/>
        <v>310881.49999999994</v>
      </c>
      <c r="N448" s="230">
        <f t="shared" si="135"/>
        <v>320629.49999999994</v>
      </c>
      <c r="O448" s="230">
        <f t="shared" si="135"/>
        <v>322012.3</v>
      </c>
      <c r="P448" s="230">
        <f t="shared" si="135"/>
        <v>321946.99999999994</v>
      </c>
      <c r="Q448" s="230">
        <f t="shared" si="135"/>
        <v>320958.79999999993</v>
      </c>
      <c r="R448" s="230">
        <f t="shared" si="135"/>
        <v>320840.69999999995</v>
      </c>
      <c r="S448" s="230">
        <f t="shared" si="135"/>
        <v>322383.69999999995</v>
      </c>
      <c r="T448" s="230">
        <f t="shared" si="135"/>
        <v>322118.59999999992</v>
      </c>
      <c r="U448" s="230">
        <f t="shared" si="135"/>
        <v>325613.29999999993</v>
      </c>
      <c r="V448" s="230">
        <f t="shared" si="135"/>
        <v>326992.59999999986</v>
      </c>
      <c r="W448" s="230">
        <f t="shared" si="135"/>
        <v>329777.7</v>
      </c>
      <c r="X448" s="230">
        <f t="shared" si="135"/>
        <v>330738.40000000002</v>
      </c>
      <c r="Y448" s="230">
        <f t="shared" si="135"/>
        <v>330776</v>
      </c>
      <c r="Z448" s="230">
        <f t="shared" si="135"/>
        <v>333081.7</v>
      </c>
      <c r="AA448" s="230">
        <f t="shared" si="135"/>
        <v>332435.3</v>
      </c>
      <c r="AB448" s="230">
        <f t="shared" si="135"/>
        <v>332395</v>
      </c>
      <c r="AC448" s="230">
        <f t="shared" si="135"/>
        <v>333094.89999999997</v>
      </c>
      <c r="AD448" s="230">
        <f t="shared" si="135"/>
        <v>335848.1</v>
      </c>
      <c r="AE448" s="230">
        <f t="shared" si="135"/>
        <v>338590</v>
      </c>
      <c r="AF448" s="230">
        <f t="shared" si="135"/>
        <v>341049.99999999994</v>
      </c>
      <c r="AG448" s="230">
        <f t="shared" si="135"/>
        <v>342665.5</v>
      </c>
      <c r="AH448" s="230">
        <f t="shared" si="135"/>
        <v>343399.69999999995</v>
      </c>
      <c r="AI448" s="230">
        <f t="shared" si="135"/>
        <v>340166.39999999997</v>
      </c>
      <c r="AJ448" s="230">
        <f t="shared" si="135"/>
        <v>346776.69999999995</v>
      </c>
      <c r="AK448" s="230">
        <f t="shared" si="135"/>
        <v>351985.7</v>
      </c>
      <c r="AL448" s="230">
        <f t="shared" si="135"/>
        <v>360793.3</v>
      </c>
      <c r="AM448" s="230">
        <f t="shared" si="135"/>
        <v>363318.5</v>
      </c>
      <c r="AN448" s="230">
        <f t="shared" si="135"/>
        <v>364197.39999999997</v>
      </c>
      <c r="AO448" s="230">
        <f t="shared" si="135"/>
        <v>373884.4</v>
      </c>
      <c r="AP448" s="230">
        <f t="shared" si="135"/>
        <v>371824.60000000003</v>
      </c>
      <c r="AQ448" s="230">
        <f t="shared" si="135"/>
        <v>372187.10000000003</v>
      </c>
      <c r="AR448" s="230">
        <f t="shared" si="135"/>
        <v>376134.7</v>
      </c>
      <c r="AS448" s="230">
        <f t="shared" si="135"/>
        <v>378421.60000000003</v>
      </c>
      <c r="AT448" s="230">
        <f t="shared" si="135"/>
        <v>378783.4</v>
      </c>
      <c r="AU448" s="230">
        <f t="shared" si="135"/>
        <v>379964</v>
      </c>
      <c r="AV448" s="230">
        <f t="shared" si="135"/>
        <v>383950.60000000003</v>
      </c>
      <c r="AW448" s="230">
        <f t="shared" si="135"/>
        <v>384295.4</v>
      </c>
      <c r="AX448" s="230">
        <f t="shared" si="135"/>
        <v>394167</v>
      </c>
      <c r="AY448" s="230">
        <f t="shared" si="135"/>
        <v>393456.3</v>
      </c>
      <c r="AZ448" s="230">
        <f t="shared" si="135"/>
        <v>391822.8</v>
      </c>
      <c r="BA448" s="230">
        <f t="shared" si="135"/>
        <v>395847.8</v>
      </c>
      <c r="BB448" s="230">
        <f t="shared" si="135"/>
        <v>393860.3</v>
      </c>
      <c r="BC448" s="230">
        <f t="shared" si="135"/>
        <v>396447.10000000003</v>
      </c>
      <c r="BD448" s="230">
        <f t="shared" si="135"/>
        <v>401432.89999999997</v>
      </c>
      <c r="BE448" s="230">
        <f t="shared" si="135"/>
        <v>403724.99999999994</v>
      </c>
      <c r="BF448" s="230">
        <f t="shared" si="135"/>
        <v>393371.5</v>
      </c>
      <c r="BG448" s="230">
        <f t="shared" si="135"/>
        <v>404578.8</v>
      </c>
      <c r="BH448" s="230">
        <f t="shared" si="135"/>
        <v>415642.5</v>
      </c>
      <c r="BI448" s="230">
        <f t="shared" si="135"/>
        <v>423149.89999999997</v>
      </c>
      <c r="BJ448" s="230">
        <f t="shared" si="135"/>
        <v>368327.8</v>
      </c>
      <c r="BK448" s="230">
        <f t="shared" si="135"/>
        <v>378940.2</v>
      </c>
      <c r="BL448" s="230">
        <f t="shared" si="135"/>
        <v>384201.6</v>
      </c>
      <c r="BM448" s="230">
        <f t="shared" si="135"/>
        <v>400708.39999999997</v>
      </c>
      <c r="BN448" s="230">
        <f t="shared" si="135"/>
        <v>411705.89999999997</v>
      </c>
      <c r="BO448" s="230">
        <f t="shared" ref="BO448:BZ448" si="136">+BO444-BO446</f>
        <v>433349.69999999995</v>
      </c>
      <c r="BP448" s="230">
        <f t="shared" si="136"/>
        <v>440175.3</v>
      </c>
      <c r="BQ448" s="230">
        <f t="shared" si="136"/>
        <v>449721.09999999992</v>
      </c>
      <c r="BR448" s="230">
        <f t="shared" si="136"/>
        <v>456039.99999999994</v>
      </c>
      <c r="BS448" s="230">
        <f t="shared" si="136"/>
        <v>457691.89999999991</v>
      </c>
      <c r="BT448" s="230">
        <f t="shared" si="136"/>
        <v>460885.09999999992</v>
      </c>
      <c r="BU448" s="230">
        <f t="shared" si="136"/>
        <v>462601.49999999994</v>
      </c>
      <c r="BV448" s="230">
        <f t="shared" si="136"/>
        <v>464605.29999999993</v>
      </c>
      <c r="BW448" s="230">
        <f t="shared" si="136"/>
        <v>465477.19999999995</v>
      </c>
      <c r="BX448" s="230">
        <f t="shared" si="136"/>
        <v>468843.89999999997</v>
      </c>
      <c r="BY448" s="230">
        <f t="shared" si="136"/>
        <v>471206.39999999991</v>
      </c>
      <c r="BZ448" s="230">
        <f t="shared" si="136"/>
        <v>470525.99999999994</v>
      </c>
      <c r="CA448" s="230">
        <f t="shared" ref="CA448:CB448" si="137">+CA444-CA446</f>
        <v>458622.69999999995</v>
      </c>
      <c r="CB448" s="230">
        <f t="shared" si="137"/>
        <v>462923.69999999995</v>
      </c>
      <c r="CC448" s="230">
        <f t="shared" ref="CC448:CD448" si="138">+CC444-CC446</f>
        <v>444783.6</v>
      </c>
      <c r="CD448" s="230">
        <f t="shared" si="138"/>
        <v>451846.19999999995</v>
      </c>
      <c r="CE448" s="230">
        <f t="shared" ref="CE448:CF448" si="139">+CE444-CE446</f>
        <v>451617.29999999993</v>
      </c>
      <c r="CF448" s="230">
        <f t="shared" si="139"/>
        <v>440836.39999999997</v>
      </c>
      <c r="CG448" s="230">
        <f t="shared" ref="CG448:CH448" si="140">+CG444-CG446</f>
        <v>444624.1</v>
      </c>
      <c r="CH448" s="230">
        <f t="shared" si="140"/>
        <v>452656.99999999994</v>
      </c>
      <c r="CI448" s="230">
        <f t="shared" ref="CI448:CJ448" si="141">+CI444-CI446</f>
        <v>458503.69999999995</v>
      </c>
      <c r="CJ448" s="230">
        <f t="shared" si="141"/>
        <v>469703.6</v>
      </c>
    </row>
    <row r="449" spans="1:99" ht="15.6" thickBot="1" x14ac:dyDescent="0.35">
      <c r="A449" s="173"/>
      <c r="B449" s="215" t="s">
        <v>57</v>
      </c>
      <c r="C449" s="216" t="s">
        <v>57</v>
      </c>
      <c r="D449" s="217" t="s">
        <v>57</v>
      </c>
      <c r="E449" s="217" t="s">
        <v>57</v>
      </c>
      <c r="F449" s="217" t="s">
        <v>57</v>
      </c>
      <c r="G449" s="217" t="s">
        <v>57</v>
      </c>
      <c r="H449" s="217" t="s">
        <v>57</v>
      </c>
      <c r="I449" s="217" t="s">
        <v>57</v>
      </c>
      <c r="J449" s="217" t="s">
        <v>57</v>
      </c>
      <c r="K449" s="217" t="s">
        <v>57</v>
      </c>
      <c r="L449" s="217" t="s">
        <v>57</v>
      </c>
      <c r="M449" s="217" t="s">
        <v>57</v>
      </c>
      <c r="N449" s="218" t="s">
        <v>57</v>
      </c>
      <c r="O449" s="218" t="s">
        <v>57</v>
      </c>
      <c r="P449" s="218" t="s">
        <v>57</v>
      </c>
      <c r="Q449" s="218" t="s">
        <v>57</v>
      </c>
      <c r="R449" s="218" t="s">
        <v>57</v>
      </c>
      <c r="S449" s="218" t="s">
        <v>57</v>
      </c>
      <c r="T449" s="218" t="s">
        <v>57</v>
      </c>
      <c r="U449" s="218" t="s">
        <v>57</v>
      </c>
      <c r="V449" s="218" t="s">
        <v>57</v>
      </c>
      <c r="W449" s="218" t="s">
        <v>57</v>
      </c>
      <c r="X449" s="218" t="s">
        <v>57</v>
      </c>
      <c r="Y449" s="218" t="s">
        <v>57</v>
      </c>
      <c r="Z449" s="218" t="s">
        <v>57</v>
      </c>
      <c r="AA449" s="218" t="s">
        <v>57</v>
      </c>
      <c r="AB449" s="218" t="s">
        <v>57</v>
      </c>
      <c r="AC449" s="218" t="s">
        <v>57</v>
      </c>
      <c r="AD449" s="218" t="s">
        <v>57</v>
      </c>
      <c r="AE449" s="218" t="s">
        <v>57</v>
      </c>
      <c r="AF449" s="218" t="s">
        <v>57</v>
      </c>
      <c r="AG449" s="218" t="s">
        <v>57</v>
      </c>
      <c r="AH449" s="218" t="s">
        <v>57</v>
      </c>
      <c r="AI449" s="218" t="s">
        <v>57</v>
      </c>
      <c r="AJ449" s="218" t="s">
        <v>57</v>
      </c>
      <c r="AK449" s="218" t="s">
        <v>57</v>
      </c>
      <c r="AL449" s="218" t="s">
        <v>57</v>
      </c>
      <c r="AM449" s="218" t="s">
        <v>57</v>
      </c>
      <c r="AN449" s="218" t="s">
        <v>57</v>
      </c>
      <c r="AO449" s="218" t="s">
        <v>57</v>
      </c>
      <c r="AP449" s="218" t="s">
        <v>57</v>
      </c>
      <c r="AQ449" s="218" t="s">
        <v>57</v>
      </c>
      <c r="AR449" s="218" t="s">
        <v>57</v>
      </c>
      <c r="AS449" s="218" t="s">
        <v>57</v>
      </c>
      <c r="AT449" s="218" t="s">
        <v>57</v>
      </c>
      <c r="AU449" s="218" t="s">
        <v>57</v>
      </c>
      <c r="AV449" s="218" t="s">
        <v>57</v>
      </c>
      <c r="AW449" s="218" t="s">
        <v>57</v>
      </c>
      <c r="AX449" s="218" t="s">
        <v>57</v>
      </c>
      <c r="AY449" s="218" t="s">
        <v>57</v>
      </c>
      <c r="AZ449" s="218" t="s">
        <v>57</v>
      </c>
      <c r="BA449" s="218" t="s">
        <v>57</v>
      </c>
      <c r="BB449" s="218" t="s">
        <v>57</v>
      </c>
      <c r="BC449" s="218" t="s">
        <v>57</v>
      </c>
      <c r="BD449" s="218" t="s">
        <v>57</v>
      </c>
      <c r="BE449" s="218" t="s">
        <v>57</v>
      </c>
      <c r="BF449" s="218" t="s">
        <v>57</v>
      </c>
      <c r="BG449" s="218" t="s">
        <v>57</v>
      </c>
      <c r="BH449" s="218" t="s">
        <v>57</v>
      </c>
      <c r="BI449" s="218" t="s">
        <v>57</v>
      </c>
      <c r="BJ449" s="218" t="s">
        <v>57</v>
      </c>
      <c r="BK449" s="218" t="s">
        <v>57</v>
      </c>
      <c r="BL449" s="218" t="s">
        <v>57</v>
      </c>
      <c r="BM449" s="218" t="s">
        <v>57</v>
      </c>
      <c r="BN449" s="218" t="s">
        <v>57</v>
      </c>
      <c r="BO449" s="218" t="s">
        <v>57</v>
      </c>
      <c r="BP449" s="218" t="s">
        <v>57</v>
      </c>
      <c r="BQ449" s="218" t="s">
        <v>57</v>
      </c>
      <c r="BR449" s="218" t="s">
        <v>57</v>
      </c>
      <c r="BS449" s="218" t="s">
        <v>57</v>
      </c>
      <c r="BT449" s="413" t="s">
        <v>57</v>
      </c>
      <c r="BU449" s="413" t="s">
        <v>57</v>
      </c>
      <c r="BV449" s="413" t="s">
        <v>57</v>
      </c>
      <c r="BW449" s="413" t="s">
        <v>57</v>
      </c>
      <c r="BX449" s="413" t="s">
        <v>57</v>
      </c>
      <c r="BY449" s="413" t="s">
        <v>57</v>
      </c>
      <c r="BZ449" s="413" t="s">
        <v>57</v>
      </c>
      <c r="CA449" s="413" t="s">
        <v>57</v>
      </c>
      <c r="CB449" s="413" t="s">
        <v>57</v>
      </c>
      <c r="CC449" s="413" t="s">
        <v>57</v>
      </c>
      <c r="CD449" s="413" t="s">
        <v>57</v>
      </c>
      <c r="CE449" s="424" t="s">
        <v>57</v>
      </c>
      <c r="CF449" s="424" t="s">
        <v>57</v>
      </c>
      <c r="CG449" s="425" t="s">
        <v>57</v>
      </c>
      <c r="CH449" s="425" t="s">
        <v>57</v>
      </c>
      <c r="CI449" s="425" t="s">
        <v>57</v>
      </c>
      <c r="CJ449" s="425" t="s">
        <v>57</v>
      </c>
    </row>
    <row r="450" spans="1:99" ht="15.6" thickTop="1" x14ac:dyDescent="0.3">
      <c r="A450" s="392"/>
      <c r="B450" s="392"/>
      <c r="C450" s="427"/>
      <c r="D450" s="427"/>
      <c r="E450" s="427"/>
      <c r="F450" s="427"/>
      <c r="G450" s="427"/>
      <c r="H450" s="427"/>
      <c r="I450" s="427"/>
      <c r="J450" s="427"/>
      <c r="K450" s="427"/>
      <c r="L450" s="427"/>
      <c r="M450" s="427"/>
      <c r="N450" s="427"/>
      <c r="O450" s="427"/>
      <c r="P450" s="427"/>
      <c r="Q450" s="427"/>
      <c r="R450" s="427"/>
      <c r="S450" s="427"/>
      <c r="T450" s="427"/>
      <c r="U450" s="427"/>
      <c r="V450" s="427"/>
      <c r="W450" s="427"/>
      <c r="X450" s="427"/>
      <c r="Y450" s="427"/>
      <c r="Z450" s="427"/>
      <c r="AA450" s="427"/>
      <c r="AB450" s="427"/>
      <c r="AC450" s="427"/>
      <c r="AD450" s="427"/>
      <c r="AE450" s="427"/>
      <c r="AF450" s="427"/>
      <c r="AG450" s="427"/>
      <c r="AH450" s="427"/>
      <c r="AI450" s="427"/>
      <c r="AJ450" s="427"/>
      <c r="AK450" s="427"/>
      <c r="AL450" s="427"/>
      <c r="AM450" s="427"/>
      <c r="AN450" s="427"/>
      <c r="AO450" s="427"/>
      <c r="AP450" s="427"/>
      <c r="AQ450" s="427"/>
      <c r="AR450" s="427"/>
      <c r="AS450" s="427"/>
      <c r="AT450" s="427"/>
      <c r="AU450" s="427"/>
      <c r="AV450" s="427"/>
      <c r="AW450" s="427"/>
      <c r="AX450" s="427"/>
      <c r="AY450" s="427"/>
      <c r="AZ450" s="427"/>
      <c r="BA450" s="427"/>
      <c r="BB450" s="427"/>
      <c r="BC450" s="427"/>
      <c r="BD450" s="427"/>
      <c r="BE450" s="427"/>
      <c r="BF450" s="427"/>
      <c r="BG450" s="427"/>
      <c r="BH450" s="427"/>
      <c r="BI450" s="427"/>
      <c r="BJ450" s="427"/>
      <c r="BK450" s="427"/>
      <c r="BL450" s="427"/>
      <c r="BM450" s="427"/>
      <c r="BN450" s="427"/>
      <c r="BO450" s="427"/>
      <c r="BP450" s="427"/>
      <c r="BQ450" s="427"/>
      <c r="BR450" s="427"/>
      <c r="BS450" s="427"/>
      <c r="BT450" s="427"/>
      <c r="BU450" s="427"/>
      <c r="BV450" s="427"/>
      <c r="BW450" s="427"/>
      <c r="BX450" s="427"/>
      <c r="BY450" s="427"/>
      <c r="BZ450" s="427"/>
      <c r="CA450" s="427"/>
      <c r="CB450" s="427"/>
      <c r="CC450" s="427"/>
      <c r="CD450" s="427"/>
      <c r="CE450" s="427"/>
      <c r="CF450" s="427"/>
      <c r="CG450" s="427"/>
      <c r="CH450" s="427"/>
      <c r="CI450" s="427"/>
      <c r="CJ450" s="427"/>
      <c r="CK450" s="427"/>
      <c r="CL450" s="427"/>
      <c r="CM450" s="427"/>
      <c r="CN450" s="427"/>
      <c r="CO450" s="427"/>
      <c r="CP450" s="427"/>
      <c r="CQ450" s="427"/>
      <c r="CR450" s="427"/>
      <c r="CS450" s="427"/>
      <c r="CT450" s="427"/>
      <c r="CU450" s="427"/>
    </row>
    <row r="451" spans="1:99" ht="14.25" customHeight="1" x14ac:dyDescent="0.3">
      <c r="A451" s="173"/>
      <c r="B451" s="219"/>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c r="Y451" s="224"/>
      <c r="Z451" s="224"/>
      <c r="AA451" s="224"/>
      <c r="AB451" s="224"/>
      <c r="AC451" s="224"/>
      <c r="AD451" s="224"/>
      <c r="AE451" s="224"/>
      <c r="AF451" s="224"/>
      <c r="AG451" s="224"/>
      <c r="AH451" s="224"/>
      <c r="AI451" s="224"/>
      <c r="AJ451" s="224"/>
      <c r="AK451" s="224"/>
      <c r="AL451" s="224"/>
      <c r="AM451" s="224"/>
      <c r="AN451" s="224"/>
      <c r="AO451" s="224"/>
      <c r="AP451" s="224"/>
      <c r="AQ451" s="224"/>
      <c r="AR451" s="224"/>
      <c r="AS451" s="224"/>
      <c r="AT451" s="224"/>
      <c r="AU451" s="224"/>
      <c r="AV451" s="224"/>
      <c r="AW451" s="224"/>
      <c r="AX451" s="224"/>
      <c r="AY451" s="224"/>
      <c r="AZ451" s="224"/>
      <c r="BA451" s="224"/>
      <c r="BB451" s="224"/>
      <c r="BC451" s="224"/>
      <c r="BD451" s="224"/>
      <c r="BE451" s="224"/>
      <c r="BF451" s="224"/>
      <c r="BG451" s="224"/>
      <c r="BH451" s="224"/>
      <c r="BI451" s="224"/>
      <c r="BJ451" s="224"/>
      <c r="BK451" s="224"/>
      <c r="BL451" s="224"/>
      <c r="BM451" s="224"/>
      <c r="BN451" s="224"/>
      <c r="BO451" s="224"/>
      <c r="BP451" s="224"/>
      <c r="BQ451" s="224"/>
      <c r="BR451" s="224"/>
      <c r="BS451" s="224"/>
      <c r="BT451" s="224"/>
      <c r="BU451" s="224"/>
      <c r="BV451" s="224"/>
      <c r="BW451" s="224"/>
      <c r="BX451" s="224"/>
      <c r="BY451" s="224"/>
      <c r="BZ451" s="224"/>
      <c r="CA451" s="224"/>
      <c r="CB451" s="224"/>
      <c r="CC451" s="224"/>
      <c r="CD451" s="224"/>
      <c r="CE451" s="224"/>
      <c r="CF451" s="224"/>
      <c r="CG451" s="224"/>
      <c r="CH451" s="224"/>
      <c r="CI451" s="224"/>
      <c r="CJ451" s="224"/>
      <c r="CK451" s="224"/>
      <c r="CL451" s="224"/>
      <c r="CM451" s="224"/>
      <c r="CN451" s="224"/>
      <c r="CO451" s="224"/>
      <c r="CP451" s="224"/>
      <c r="CQ451" s="224"/>
      <c r="CR451" s="224"/>
      <c r="CS451" s="224"/>
      <c r="CT451" s="224"/>
      <c r="CU451" s="224"/>
    </row>
    <row r="452" spans="1:99" x14ac:dyDescent="0.3">
      <c r="A452" s="173"/>
      <c r="B452" s="426" t="s">
        <v>413</v>
      </c>
      <c r="C452" s="428"/>
      <c r="D452" s="428"/>
      <c r="E452" s="428"/>
      <c r="F452" s="428"/>
      <c r="G452" s="428"/>
      <c r="H452" s="428"/>
      <c r="I452" s="428"/>
      <c r="J452" s="428"/>
      <c r="K452" s="428"/>
      <c r="L452" s="428"/>
      <c r="M452" s="428"/>
      <c r="N452" s="428"/>
      <c r="O452" s="428"/>
      <c r="P452" s="428"/>
      <c r="Q452" s="428"/>
      <c r="R452" s="428"/>
      <c r="S452" s="428"/>
      <c r="T452" s="428"/>
      <c r="U452" s="428"/>
      <c r="V452" s="428"/>
      <c r="W452" s="428"/>
      <c r="X452" s="428"/>
      <c r="Y452" s="428"/>
      <c r="Z452" s="428"/>
      <c r="AA452" s="428"/>
      <c r="AB452" s="428"/>
      <c r="AC452" s="428"/>
      <c r="AD452" s="428"/>
      <c r="AE452" s="428"/>
      <c r="AF452" s="428"/>
      <c r="AG452" s="428"/>
      <c r="AH452" s="428"/>
      <c r="AI452" s="428"/>
      <c r="AJ452" s="428"/>
      <c r="AK452" s="428"/>
      <c r="AL452" s="428"/>
      <c r="AM452" s="428"/>
      <c r="AN452" s="428"/>
      <c r="AO452" s="428"/>
      <c r="AP452" s="428"/>
      <c r="AQ452" s="428"/>
      <c r="AR452" s="428"/>
      <c r="AS452" s="428"/>
      <c r="AT452" s="428"/>
      <c r="AU452" s="428"/>
      <c r="AV452" s="428"/>
      <c r="AW452" s="428"/>
      <c r="AX452" s="428"/>
      <c r="AY452" s="428"/>
      <c r="AZ452" s="428"/>
      <c r="BA452" s="428"/>
      <c r="BB452" s="428"/>
      <c r="BC452" s="428"/>
      <c r="BD452" s="428"/>
      <c r="BE452" s="428"/>
      <c r="BF452" s="428"/>
      <c r="BG452" s="428"/>
      <c r="BH452" s="428"/>
      <c r="BI452" s="428"/>
      <c r="BJ452" s="428"/>
      <c r="BK452" s="428"/>
      <c r="BL452" s="428"/>
      <c r="BM452" s="428"/>
      <c r="BN452" s="428"/>
      <c r="BO452" s="428"/>
      <c r="BP452" s="428"/>
      <c r="BQ452" s="428"/>
      <c r="BR452" s="428"/>
      <c r="BS452" s="428"/>
      <c r="BT452" s="428"/>
      <c r="BU452" s="428"/>
      <c r="BV452" s="428"/>
      <c r="BW452" s="428"/>
      <c r="BX452" s="428"/>
      <c r="BY452" s="428"/>
      <c r="BZ452" s="428"/>
      <c r="CA452" s="428"/>
      <c r="CB452" s="428"/>
      <c r="CC452" s="428"/>
      <c r="CD452" s="428"/>
      <c r="CE452" s="428"/>
      <c r="CF452" s="428"/>
      <c r="CG452" s="428"/>
      <c r="CH452" s="428"/>
      <c r="CI452" s="428"/>
      <c r="CJ452" s="428"/>
      <c r="CK452" s="428"/>
      <c r="CL452" s="428"/>
      <c r="CM452" s="428"/>
      <c r="CN452" s="428"/>
      <c r="CO452" s="428"/>
      <c r="CP452" s="428"/>
      <c r="CQ452" s="428"/>
      <c r="CR452" s="428"/>
      <c r="CS452" s="428"/>
      <c r="CT452" s="428"/>
      <c r="CU452" s="428"/>
    </row>
    <row r="453" spans="1:99" x14ac:dyDescent="0.3">
      <c r="A453" s="173"/>
      <c r="B453" s="460" t="s">
        <v>412</v>
      </c>
      <c r="C453" s="460"/>
      <c r="D453" s="460"/>
      <c r="E453" s="460"/>
      <c r="F453" s="460"/>
      <c r="G453" s="460"/>
      <c r="H453" s="460"/>
      <c r="I453" s="460"/>
      <c r="J453" s="88"/>
      <c r="K453" s="350"/>
      <c r="L453" s="350"/>
      <c r="M453" s="350"/>
      <c r="N453" s="350"/>
      <c r="O453" s="350"/>
      <c r="P453" s="350"/>
      <c r="Q453" s="350"/>
      <c r="R453" s="350"/>
      <c r="S453" s="350"/>
      <c r="T453" s="350"/>
      <c r="U453" s="350"/>
      <c r="V453" s="350"/>
      <c r="W453" s="350"/>
      <c r="X453" s="350"/>
      <c r="Y453" s="350"/>
      <c r="Z453" s="350"/>
      <c r="AA453" s="350"/>
      <c r="AB453" s="350"/>
      <c r="AC453" s="350"/>
      <c r="AD453" s="350"/>
      <c r="AE453" s="350"/>
      <c r="AF453" s="350"/>
      <c r="AG453" s="350"/>
      <c r="AH453" s="350"/>
      <c r="AI453" s="350"/>
      <c r="AJ453" s="350"/>
      <c r="AK453" s="350"/>
      <c r="AL453" s="350"/>
      <c r="AM453" s="350"/>
      <c r="AN453" s="350"/>
      <c r="AO453" s="350"/>
      <c r="AP453" s="350"/>
      <c r="AQ453" s="350"/>
      <c r="AR453" s="350"/>
      <c r="AS453" s="350"/>
      <c r="AT453" s="350"/>
      <c r="AU453" s="350"/>
      <c r="AV453" s="350"/>
      <c r="AW453" s="350"/>
      <c r="AX453" s="350"/>
      <c r="AY453" s="350"/>
      <c r="AZ453" s="350"/>
      <c r="BA453" s="350"/>
      <c r="BB453" s="350"/>
      <c r="BC453" s="350"/>
      <c r="BD453" s="350"/>
      <c r="BE453" s="350"/>
      <c r="BF453" s="350"/>
      <c r="BG453" s="350"/>
      <c r="BH453" s="350"/>
      <c r="BI453" s="350"/>
      <c r="BJ453" s="350"/>
      <c r="BK453" s="350"/>
      <c r="BL453" s="350"/>
      <c r="BM453" s="350"/>
      <c r="BN453" s="350"/>
      <c r="BO453" s="350"/>
      <c r="BP453" s="350"/>
      <c r="BQ453" s="350"/>
      <c r="BR453" s="350"/>
      <c r="BS453" s="350"/>
      <c r="BT453" s="350"/>
      <c r="BU453" s="350"/>
      <c r="BV453" s="350"/>
      <c r="BW453" s="350"/>
      <c r="BX453" s="350"/>
      <c r="BY453" s="350"/>
      <c r="BZ453" s="350"/>
      <c r="CA453" s="350"/>
      <c r="CB453" s="350"/>
      <c r="CC453" s="350"/>
      <c r="CD453" s="350"/>
      <c r="CE453" s="350"/>
      <c r="CF453" s="350"/>
      <c r="CG453" s="350"/>
      <c r="CH453" s="350"/>
      <c r="CI453" s="350"/>
      <c r="CJ453" s="350"/>
    </row>
    <row r="454" spans="1:99" ht="19.2" customHeight="1" x14ac:dyDescent="0.3">
      <c r="A454" s="173"/>
      <c r="B454" s="354" t="s">
        <v>143</v>
      </c>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c r="Y454" s="221"/>
      <c r="Z454" s="221"/>
      <c r="AA454" s="221"/>
      <c r="AB454" s="221"/>
      <c r="AC454" s="221"/>
      <c r="AD454" s="221"/>
      <c r="AE454" s="221"/>
      <c r="AF454" s="221"/>
      <c r="AG454" s="221"/>
      <c r="AH454" s="221"/>
      <c r="AI454" s="221"/>
      <c r="AJ454" s="221"/>
      <c r="AK454" s="221"/>
      <c r="AL454" s="221"/>
      <c r="AM454" s="221"/>
      <c r="AN454" s="221"/>
      <c r="AO454" s="221"/>
      <c r="AP454" s="221"/>
      <c r="AQ454" s="221"/>
      <c r="AR454" s="221"/>
      <c r="AS454" s="221"/>
      <c r="AT454" s="221"/>
      <c r="AU454" s="221"/>
      <c r="AV454" s="221"/>
      <c r="AW454" s="221"/>
      <c r="AX454" s="221"/>
      <c r="AY454" s="221"/>
      <c r="AZ454" s="221"/>
      <c r="BA454" s="221"/>
      <c r="BB454" s="221"/>
      <c r="BC454" s="221"/>
      <c r="BD454" s="221"/>
      <c r="BE454" s="221"/>
      <c r="BF454" s="221"/>
      <c r="BG454" s="221"/>
      <c r="BH454" s="221"/>
      <c r="BI454" s="221"/>
      <c r="BJ454" s="221"/>
      <c r="BK454" s="221"/>
      <c r="BL454" s="221"/>
      <c r="BM454" s="221"/>
      <c r="BN454" s="221"/>
      <c r="BO454" s="221"/>
      <c r="BP454" s="221"/>
      <c r="BQ454" s="221"/>
      <c r="BR454" s="221"/>
      <c r="BS454" s="221"/>
      <c r="BT454" s="221"/>
      <c r="BU454" s="221"/>
      <c r="BV454" s="221"/>
      <c r="BW454" s="221"/>
      <c r="BX454" s="221"/>
      <c r="BY454" s="221"/>
      <c r="BZ454" s="221"/>
      <c r="CA454" s="221"/>
      <c r="CB454" s="221"/>
      <c r="CC454" s="221"/>
      <c r="CD454" s="221"/>
      <c r="CE454" s="221"/>
      <c r="CF454" s="221"/>
      <c r="CG454" s="221"/>
      <c r="CH454" s="221"/>
      <c r="CI454" s="221"/>
      <c r="CJ454" s="221"/>
    </row>
    <row r="455" spans="1:99" ht="82.5" customHeight="1" x14ac:dyDescent="0.3">
      <c r="A455" s="173"/>
      <c r="B455" s="447" t="s">
        <v>193</v>
      </c>
      <c r="C455" s="448"/>
      <c r="D455" s="448"/>
      <c r="E455" s="448"/>
      <c r="F455" s="448"/>
      <c r="G455" s="449"/>
      <c r="K455" s="88"/>
      <c r="L455" s="88"/>
      <c r="M455" s="88"/>
      <c r="N455" s="88"/>
      <c r="O455" s="88"/>
      <c r="P455" s="88"/>
      <c r="Q455" s="88"/>
      <c r="R455" s="88"/>
      <c r="S455" s="88"/>
      <c r="T455" s="88"/>
      <c r="U455" s="88"/>
      <c r="V455" s="88"/>
      <c r="W455" s="88"/>
      <c r="X455" s="88"/>
      <c r="Y455" s="88"/>
      <c r="Z455" s="88"/>
      <c r="AA455" s="88"/>
      <c r="AB455" s="88"/>
      <c r="AC455" s="88"/>
      <c r="AD455" s="88"/>
      <c r="AE455" s="88"/>
      <c r="AF455" s="88"/>
      <c r="AG455" s="88"/>
      <c r="AH455" s="88"/>
      <c r="AI455" s="88"/>
      <c r="AJ455" s="88"/>
      <c r="AK455" s="88"/>
      <c r="AL455" s="88"/>
      <c r="AM455" s="88"/>
      <c r="AN455" s="88"/>
      <c r="AO455" s="88"/>
      <c r="AP455" s="88"/>
      <c r="AQ455" s="88"/>
      <c r="AR455" s="88"/>
      <c r="AS455" s="88"/>
      <c r="AT455" s="88"/>
      <c r="AU455" s="88"/>
      <c r="AV455" s="88"/>
      <c r="AW455" s="88"/>
      <c r="AX455" s="88"/>
      <c r="AY455" s="88"/>
      <c r="AZ455" s="88"/>
      <c r="BA455" s="88"/>
      <c r="BB455" s="88"/>
      <c r="BC455" s="88"/>
      <c r="BD455" s="88"/>
      <c r="BE455" s="88"/>
      <c r="BF455" s="88"/>
      <c r="BG455" s="88"/>
      <c r="BH455" s="88"/>
      <c r="BI455" s="88"/>
      <c r="BJ455" s="88"/>
      <c r="BK455" s="88"/>
      <c r="BL455" s="88"/>
      <c r="BM455" s="88"/>
      <c r="BN455" s="88"/>
      <c r="BO455" s="88"/>
      <c r="BP455" s="88"/>
      <c r="BQ455" s="88"/>
      <c r="BR455" s="88"/>
      <c r="BS455" s="88"/>
      <c r="BT455" s="88"/>
      <c r="BU455" s="88"/>
      <c r="BV455" s="88"/>
      <c r="BW455" s="88"/>
      <c r="BX455" s="88"/>
      <c r="BY455" s="88"/>
      <c r="BZ455" s="88"/>
      <c r="CA455" s="88"/>
      <c r="CB455" s="88"/>
      <c r="CC455" s="88"/>
      <c r="CD455" s="88"/>
      <c r="CE455" s="88"/>
      <c r="CF455" s="88"/>
      <c r="CG455" s="88"/>
      <c r="CH455" s="88"/>
      <c r="CI455" s="88"/>
      <c r="CJ455" s="88"/>
    </row>
    <row r="456" spans="1:99" ht="67.5" customHeight="1" x14ac:dyDescent="0.3">
      <c r="A456" s="173"/>
      <c r="B456" s="450" t="s">
        <v>192</v>
      </c>
      <c r="C456" s="451"/>
      <c r="D456" s="451"/>
      <c r="E456" s="451"/>
      <c r="F456" s="451"/>
      <c r="G456" s="452"/>
      <c r="AA456" s="88"/>
      <c r="AB456" s="88"/>
      <c r="AC456" s="88"/>
      <c r="AD456" s="88"/>
      <c r="AE456" s="88"/>
      <c r="AF456" s="88"/>
      <c r="AG456" s="88"/>
      <c r="AH456" s="88"/>
      <c r="AI456" s="220"/>
      <c r="AJ456" s="220"/>
      <c r="AK456" s="220"/>
      <c r="AL456" s="220"/>
      <c r="AM456" s="220"/>
      <c r="AN456" s="88"/>
      <c r="AT456" s="355"/>
      <c r="AU456" s="355"/>
      <c r="AV456" s="350"/>
      <c r="AW456" s="350"/>
      <c r="AX456" s="350"/>
      <c r="AY456" s="350"/>
      <c r="AZ456" s="350"/>
      <c r="BA456" s="350"/>
      <c r="BB456" s="350"/>
      <c r="BC456" s="385"/>
      <c r="BD456" s="385"/>
      <c r="BE456" s="385"/>
      <c r="BF456" s="385"/>
      <c r="BG456" s="385"/>
      <c r="BH456" s="385"/>
      <c r="BI456" s="385"/>
    </row>
    <row r="457" spans="1:99" x14ac:dyDescent="0.3">
      <c r="V457" s="165"/>
      <c r="W457" s="165"/>
      <c r="X457" s="165"/>
      <c r="Y457" s="165"/>
      <c r="Z457" s="165"/>
      <c r="AA457" s="165"/>
      <c r="AB457" s="165"/>
      <c r="AC457" s="165"/>
      <c r="AD457" s="165"/>
      <c r="AE457" s="165"/>
      <c r="AI457" s="220"/>
      <c r="AJ457" s="220"/>
      <c r="AK457" s="220"/>
      <c r="AL457" s="220"/>
      <c r="AM457" s="220"/>
      <c r="BA457" s="350"/>
      <c r="BB457" s="350"/>
      <c r="BC457" s="350"/>
      <c r="BD457" s="350"/>
      <c r="BE457" s="350"/>
    </row>
    <row r="458" spans="1:99" ht="54" customHeight="1" x14ac:dyDescent="0.3">
      <c r="B458" s="445" t="s">
        <v>335</v>
      </c>
      <c r="C458" s="445"/>
      <c r="D458" s="445"/>
      <c r="E458" s="445"/>
      <c r="F458" s="445"/>
      <c r="G458" s="445"/>
      <c r="V458" s="223"/>
      <c r="W458" s="223"/>
      <c r="X458" s="223"/>
      <c r="Y458" s="223"/>
      <c r="Z458" s="223"/>
      <c r="AA458" s="223"/>
      <c r="AB458" s="223"/>
      <c r="AC458" s="223"/>
      <c r="AD458" s="223"/>
      <c r="AE458" s="223"/>
    </row>
    <row r="459" spans="1:99" x14ac:dyDescent="0.3">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c r="Y459" s="224"/>
      <c r="Z459" s="224"/>
      <c r="AA459" s="224"/>
      <c r="AB459" s="224"/>
      <c r="AC459" s="224"/>
      <c r="AD459" s="224"/>
      <c r="AE459" s="224"/>
      <c r="AF459" s="224"/>
      <c r="AG459" s="224"/>
      <c r="AH459" s="224"/>
      <c r="AI459" s="224"/>
      <c r="AJ459" s="224"/>
      <c r="AK459" s="224"/>
      <c r="AL459" s="224"/>
      <c r="AM459" s="224"/>
      <c r="AN459" s="224"/>
      <c r="AO459" s="224"/>
      <c r="AP459" s="224"/>
      <c r="AQ459" s="224"/>
      <c r="AR459" s="224"/>
      <c r="AS459" s="224"/>
      <c r="AT459" s="224"/>
      <c r="AU459" s="224"/>
      <c r="AV459" s="224"/>
      <c r="AW459" s="224"/>
      <c r="AX459" s="224"/>
      <c r="AY459" s="224"/>
      <c r="AZ459" s="224"/>
      <c r="BA459" s="224"/>
      <c r="BB459" s="224"/>
      <c r="BC459" s="224"/>
      <c r="BD459" s="224"/>
      <c r="BE459" s="224"/>
      <c r="BF459" s="224"/>
      <c r="BG459" s="224"/>
      <c r="BH459" s="224"/>
      <c r="BI459" s="224"/>
      <c r="BJ459" s="224"/>
      <c r="BK459" s="224"/>
      <c r="BL459" s="224"/>
      <c r="BM459" s="224"/>
      <c r="BN459" s="224"/>
      <c r="BO459" s="224"/>
      <c r="BP459" s="224"/>
      <c r="BQ459" s="224"/>
      <c r="BR459" s="224"/>
      <c r="BS459" s="224"/>
      <c r="BT459" s="224"/>
      <c r="BU459" s="224"/>
      <c r="BV459" s="224"/>
      <c r="BW459" s="224"/>
      <c r="BX459" s="224"/>
      <c r="BY459" s="224"/>
      <c r="BZ459" s="224"/>
      <c r="CA459" s="224"/>
      <c r="CB459" s="224"/>
      <c r="CC459" s="224"/>
      <c r="CD459" s="224"/>
      <c r="CE459" s="224"/>
      <c r="CF459" s="224"/>
      <c r="CG459" s="224"/>
      <c r="CH459" s="224"/>
      <c r="CI459" s="224"/>
      <c r="CJ459" s="224"/>
    </row>
    <row r="460" spans="1:99" x14ac:dyDescent="0.3">
      <c r="C460" s="1"/>
      <c r="N460" s="1"/>
      <c r="O460" s="1"/>
      <c r="P460" s="1"/>
      <c r="Q460" s="1"/>
      <c r="R460" s="1"/>
      <c r="S460" s="1"/>
      <c r="T460" s="1"/>
      <c r="U460" s="1"/>
    </row>
    <row r="461" spans="1:99" x14ac:dyDescent="0.3">
      <c r="C461" s="1"/>
      <c r="N461" s="1"/>
      <c r="O461" s="1"/>
      <c r="P461" s="1"/>
      <c r="Q461" s="1"/>
      <c r="R461" s="1"/>
      <c r="S461" s="1"/>
      <c r="T461" s="1"/>
      <c r="U461" s="1"/>
    </row>
    <row r="462" spans="1:99" x14ac:dyDescent="0.3">
      <c r="C462" s="1"/>
      <c r="N462" s="1"/>
      <c r="O462" s="1"/>
      <c r="P462" s="1"/>
      <c r="Q462" s="1"/>
      <c r="R462" s="1"/>
      <c r="S462" s="1"/>
      <c r="T462" s="1"/>
      <c r="U462" s="1"/>
    </row>
    <row r="463" spans="1:99" x14ac:dyDescent="0.3">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c r="Y463" s="224"/>
      <c r="Z463" s="224"/>
      <c r="AA463" s="224"/>
      <c r="AB463" s="224"/>
      <c r="AC463" s="224"/>
      <c r="AD463" s="224"/>
      <c r="AE463" s="224"/>
      <c r="AF463" s="224"/>
      <c r="AG463" s="224"/>
      <c r="AH463" s="224"/>
      <c r="AI463" s="224"/>
      <c r="AJ463" s="224"/>
      <c r="AK463" s="224"/>
      <c r="AL463" s="224"/>
      <c r="AM463" s="224"/>
      <c r="AN463" s="224"/>
      <c r="AO463" s="224"/>
      <c r="AP463" s="224"/>
      <c r="AQ463" s="224"/>
      <c r="AR463" s="224"/>
      <c r="AS463" s="224"/>
      <c r="AT463" s="224"/>
      <c r="AU463" s="224"/>
      <c r="AV463" s="224"/>
      <c r="AW463" s="224"/>
      <c r="AX463" s="224"/>
      <c r="AY463" s="224"/>
      <c r="AZ463" s="224"/>
      <c r="BA463" s="224"/>
      <c r="BB463" s="224"/>
      <c r="BC463" s="224"/>
      <c r="BD463" s="224"/>
      <c r="BE463" s="224"/>
      <c r="BF463" s="224"/>
      <c r="BG463" s="224"/>
      <c r="BH463" s="224"/>
      <c r="BI463" s="224"/>
      <c r="BJ463" s="224"/>
      <c r="BK463" s="224"/>
      <c r="BL463" s="224"/>
      <c r="BM463" s="224"/>
      <c r="BN463" s="224"/>
      <c r="BO463" s="224"/>
      <c r="BP463" s="224"/>
      <c r="BQ463" s="224"/>
      <c r="BR463" s="224"/>
      <c r="BS463" s="224"/>
      <c r="BT463" s="224"/>
      <c r="BU463" s="224"/>
      <c r="BV463" s="224"/>
      <c r="BW463" s="224"/>
      <c r="BX463" s="224"/>
      <c r="BY463" s="224"/>
      <c r="BZ463" s="224"/>
      <c r="CA463" s="224"/>
      <c r="CB463" s="224"/>
      <c r="CC463" s="224"/>
      <c r="CD463" s="224"/>
      <c r="CE463" s="224"/>
      <c r="CF463" s="224"/>
      <c r="CG463" s="224"/>
      <c r="CH463" s="224"/>
      <c r="CI463" s="224"/>
      <c r="CJ463" s="224"/>
    </row>
    <row r="464" spans="1:99" x14ac:dyDescent="0.3">
      <c r="A464" s="1"/>
      <c r="B464" s="1"/>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c r="Y464" s="224"/>
      <c r="Z464" s="224"/>
      <c r="AA464" s="224"/>
      <c r="AB464" s="224"/>
      <c r="AC464" s="224"/>
      <c r="AD464" s="224"/>
      <c r="AE464" s="224"/>
      <c r="AF464" s="224"/>
      <c r="AG464" s="224"/>
      <c r="AH464" s="224"/>
      <c r="AI464" s="224"/>
      <c r="AJ464" s="224"/>
      <c r="AK464" s="224"/>
      <c r="AL464" s="224"/>
      <c r="AM464" s="224"/>
      <c r="AN464" s="224"/>
      <c r="AO464" s="224"/>
      <c r="AP464" s="224"/>
      <c r="AQ464" s="224"/>
      <c r="AR464" s="224"/>
      <c r="AS464" s="224"/>
      <c r="AT464" s="224"/>
      <c r="AU464" s="224"/>
      <c r="AV464" s="224"/>
      <c r="AW464" s="224"/>
      <c r="AX464" s="224"/>
      <c r="AY464" s="224"/>
      <c r="AZ464" s="224"/>
      <c r="BA464" s="224"/>
      <c r="BB464" s="224"/>
      <c r="BC464" s="224"/>
      <c r="BD464" s="224"/>
      <c r="BE464" s="224"/>
      <c r="BF464" s="224"/>
      <c r="BG464" s="224"/>
      <c r="BH464" s="224"/>
      <c r="BI464" s="224"/>
    </row>
  </sheetData>
  <sortState ref="B68:AT128">
    <sortCondition ref="B68:B128"/>
  </sortState>
  <mergeCells count="7">
    <mergeCell ref="B458:G458"/>
    <mergeCell ref="B5:N5"/>
    <mergeCell ref="B456:G456"/>
    <mergeCell ref="B6:N6"/>
    <mergeCell ref="B7:N7"/>
    <mergeCell ref="B453:I453"/>
    <mergeCell ref="B455:G455"/>
  </mergeCells>
  <hyperlinks>
    <hyperlink ref="A1" location="Indice!A1" display="A.1"/>
  </hyperlinks>
  <printOptions horizontalCentered="1" verticalCentered="1"/>
  <pageMargins left="0.11811023622047245" right="0.11811023622047245" top="0.15748031496062992" bottom="0.15748031496062992" header="0.31496062992125984" footer="0.31496062992125984"/>
  <pageSetup paperSize="9" scale="10" orientation="portrait" horizontalDpi="4294967294" vertic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CK259"/>
  <sheetViews>
    <sheetView zoomScale="80" zoomScaleNormal="80" workbookViewId="0">
      <pane xSplit="2" ySplit="14" topLeftCell="C15" activePane="bottomRight" state="frozen"/>
      <selection pane="topRight" activeCell="C1" sqref="C1"/>
      <selection pane="bottomLeft" activeCell="A15" sqref="A15"/>
      <selection pane="bottomRight" activeCell="B2" sqref="B2"/>
    </sheetView>
  </sheetViews>
  <sheetFormatPr baseColWidth="10" defaultColWidth="11.44140625" defaultRowHeight="15" x14ac:dyDescent="0.3"/>
  <cols>
    <col min="1" max="1" width="10.109375" style="222" customWidth="1"/>
    <col min="2" max="2" width="41.5546875" style="1" bestFit="1" customWidth="1"/>
    <col min="3" max="64" width="11.6640625" style="1" customWidth="1"/>
    <col min="65" max="88" width="11.6640625" style="394" customWidth="1"/>
    <col min="89" max="16384" width="11.44140625" style="1"/>
  </cols>
  <sheetData>
    <row r="1" spans="1:89" x14ac:dyDescent="0.3">
      <c r="A1" s="7" t="s">
        <v>108</v>
      </c>
    </row>
    <row r="2" spans="1:89" ht="16.2" x14ac:dyDescent="0.3">
      <c r="A2" s="168"/>
      <c r="B2" s="75" t="s">
        <v>183</v>
      </c>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72"/>
      <c r="BC2" s="272"/>
      <c r="BD2" s="272"/>
      <c r="BE2" s="272"/>
      <c r="BF2" s="272"/>
      <c r="BG2" s="272"/>
      <c r="BH2" s="272"/>
      <c r="BI2" s="272"/>
      <c r="BJ2" s="272"/>
      <c r="BK2" s="272"/>
      <c r="BL2" s="272"/>
      <c r="BM2" s="395"/>
      <c r="BN2" s="395"/>
      <c r="BO2" s="395"/>
      <c r="BP2" s="395"/>
      <c r="BQ2" s="395"/>
      <c r="BR2" s="395"/>
      <c r="BS2" s="395"/>
      <c r="BT2" s="395"/>
      <c r="BU2" s="395"/>
      <c r="BV2" s="395"/>
      <c r="BW2" s="395"/>
      <c r="BX2" s="395"/>
      <c r="BY2" s="395"/>
      <c r="BZ2" s="395"/>
      <c r="CA2" s="395"/>
      <c r="CB2" s="395"/>
      <c r="CC2" s="395"/>
      <c r="CD2" s="395"/>
      <c r="CE2" s="395"/>
      <c r="CF2" s="395"/>
      <c r="CG2" s="395"/>
      <c r="CH2" s="395"/>
      <c r="CI2" s="395"/>
      <c r="CJ2" s="395"/>
      <c r="CK2" s="77"/>
    </row>
    <row r="3" spans="1:89" ht="16.2" x14ac:dyDescent="0.3">
      <c r="A3" s="166"/>
      <c r="B3" s="79" t="s">
        <v>0</v>
      </c>
      <c r="C3" s="272"/>
      <c r="D3" s="272"/>
      <c r="E3" s="272"/>
      <c r="F3" s="272"/>
      <c r="G3" s="272"/>
      <c r="H3" s="272"/>
      <c r="I3" s="272"/>
      <c r="J3" s="272"/>
      <c r="K3" s="272"/>
      <c r="L3" s="272"/>
      <c r="M3" s="272"/>
      <c r="N3" s="272"/>
      <c r="O3" s="272"/>
      <c r="P3" s="272"/>
      <c r="Q3" s="272"/>
      <c r="R3" s="272"/>
      <c r="S3" s="272"/>
      <c r="T3" s="272"/>
      <c r="U3" s="272"/>
      <c r="V3" s="272"/>
      <c r="W3" s="272"/>
      <c r="X3" s="272"/>
      <c r="Y3" s="272"/>
      <c r="Z3" s="272"/>
      <c r="AA3" s="272"/>
      <c r="AB3" s="272"/>
      <c r="AC3" s="272"/>
      <c r="AD3" s="272"/>
      <c r="AE3" s="272"/>
      <c r="AF3" s="272"/>
      <c r="AG3" s="272"/>
      <c r="AH3" s="272"/>
      <c r="AI3" s="272"/>
      <c r="AJ3" s="272"/>
      <c r="AK3" s="272"/>
      <c r="AL3" s="272"/>
      <c r="AM3" s="272"/>
      <c r="AN3" s="272"/>
      <c r="AO3" s="272"/>
      <c r="AP3" s="272"/>
      <c r="AQ3" s="272"/>
      <c r="AR3" s="272"/>
      <c r="AS3" s="272"/>
      <c r="AT3" s="272"/>
      <c r="AU3" s="272"/>
      <c r="AV3" s="272"/>
      <c r="AW3" s="272"/>
      <c r="AX3" s="272"/>
      <c r="AY3" s="272"/>
      <c r="AZ3" s="272"/>
      <c r="BA3" s="272"/>
      <c r="BB3" s="272"/>
      <c r="BC3" s="272"/>
      <c r="BD3" s="272"/>
      <c r="BE3" s="272"/>
      <c r="BF3" s="272"/>
      <c r="BG3" s="272"/>
      <c r="BH3" s="272"/>
      <c r="BI3" s="272"/>
      <c r="BJ3" s="272"/>
      <c r="BK3" s="272"/>
      <c r="BL3" s="272"/>
      <c r="BM3" s="395"/>
      <c r="BN3" s="395"/>
      <c r="BO3" s="395"/>
      <c r="BP3" s="395"/>
      <c r="BQ3" s="395"/>
      <c r="BR3" s="395"/>
      <c r="BS3" s="395"/>
      <c r="BT3" s="395"/>
      <c r="BU3" s="395"/>
      <c r="BV3" s="395"/>
      <c r="BW3" s="395"/>
      <c r="BX3" s="395"/>
      <c r="BY3" s="395"/>
      <c r="BZ3" s="395"/>
      <c r="CA3" s="395"/>
      <c r="CB3" s="395"/>
      <c r="CC3" s="395"/>
      <c r="CD3" s="395"/>
      <c r="CE3" s="395"/>
      <c r="CF3" s="395"/>
      <c r="CG3" s="395"/>
      <c r="CH3" s="395"/>
      <c r="CI3" s="395"/>
      <c r="CJ3" s="395"/>
      <c r="CK3" s="74"/>
    </row>
    <row r="4" spans="1:89" ht="4.2" customHeight="1" x14ac:dyDescent="0.3">
      <c r="A4" s="166"/>
      <c r="B4" s="80"/>
      <c r="C4" s="273"/>
      <c r="D4" s="273"/>
      <c r="E4" s="273"/>
      <c r="F4" s="273"/>
      <c r="G4" s="273"/>
      <c r="H4" s="273"/>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3"/>
      <c r="AV4" s="273"/>
      <c r="AW4" s="273"/>
      <c r="AX4" s="273"/>
      <c r="AY4" s="273"/>
      <c r="AZ4" s="273"/>
      <c r="BA4" s="273"/>
      <c r="BB4" s="273"/>
      <c r="BC4" s="273"/>
      <c r="BD4" s="273"/>
      <c r="BE4" s="273"/>
      <c r="BF4" s="273"/>
      <c r="BG4" s="273"/>
      <c r="BH4" s="273"/>
      <c r="BI4" s="273"/>
      <c r="BJ4" s="273"/>
      <c r="BK4" s="273"/>
      <c r="BL4" s="273"/>
      <c r="BM4" s="396"/>
      <c r="BN4" s="396"/>
      <c r="BO4" s="396"/>
      <c r="BP4" s="396"/>
      <c r="BQ4" s="396"/>
      <c r="BR4" s="396"/>
      <c r="BS4" s="396"/>
      <c r="BT4" s="396"/>
      <c r="BU4" s="396"/>
      <c r="BV4" s="396"/>
      <c r="BW4" s="396"/>
      <c r="BX4" s="396"/>
      <c r="BY4" s="396"/>
      <c r="BZ4" s="396"/>
      <c r="CA4" s="396"/>
      <c r="CB4" s="396"/>
      <c r="CC4" s="396"/>
      <c r="CD4" s="396"/>
      <c r="CE4" s="396"/>
      <c r="CF4" s="396"/>
      <c r="CG4" s="396"/>
      <c r="CH4" s="396"/>
      <c r="CI4" s="396"/>
      <c r="CJ4" s="396"/>
      <c r="CK4" s="82"/>
    </row>
    <row r="5" spans="1:89" x14ac:dyDescent="0.3">
      <c r="A5" s="166"/>
      <c r="B5" s="80"/>
      <c r="C5" s="80"/>
      <c r="D5" s="80"/>
      <c r="E5" s="80"/>
      <c r="F5" s="83"/>
      <c r="G5" s="83"/>
      <c r="H5" s="83"/>
      <c r="I5" s="83"/>
      <c r="J5" s="83"/>
      <c r="K5" s="83"/>
      <c r="L5" s="83"/>
      <c r="M5" s="83"/>
      <c r="N5" s="83"/>
      <c r="O5" s="274"/>
      <c r="P5" s="274"/>
      <c r="Q5" s="274"/>
      <c r="R5" s="274"/>
      <c r="S5" s="274"/>
      <c r="T5" s="274"/>
      <c r="U5" s="274"/>
      <c r="V5" s="274"/>
      <c r="W5" s="274"/>
      <c r="X5" s="274"/>
      <c r="Y5" s="274"/>
      <c r="Z5" s="274"/>
      <c r="AA5" s="274"/>
      <c r="AB5" s="274"/>
      <c r="AC5" s="274"/>
      <c r="AD5" s="274"/>
      <c r="AE5" s="274"/>
      <c r="AF5" s="274"/>
      <c r="AG5" s="274"/>
      <c r="AH5" s="274"/>
      <c r="AI5" s="274"/>
      <c r="AJ5" s="274"/>
      <c r="AK5" s="274"/>
      <c r="AL5" s="274"/>
      <c r="AM5" s="274"/>
      <c r="AN5" s="274"/>
      <c r="AO5" s="274"/>
      <c r="AP5" s="274"/>
      <c r="AQ5" s="274"/>
      <c r="AR5" s="274"/>
      <c r="AS5" s="274"/>
      <c r="AT5" s="274"/>
      <c r="AU5" s="274"/>
      <c r="AV5" s="274"/>
      <c r="AW5" s="274"/>
      <c r="AX5" s="274"/>
      <c r="AY5" s="274"/>
      <c r="AZ5" s="274"/>
      <c r="BA5" s="274"/>
      <c r="BB5" s="274"/>
      <c r="BC5" s="274"/>
      <c r="BD5" s="274"/>
      <c r="BE5" s="274"/>
      <c r="BF5" s="274"/>
      <c r="BG5" s="274"/>
      <c r="BH5" s="274"/>
      <c r="BI5" s="274"/>
      <c r="BJ5" s="274"/>
      <c r="BK5" s="274"/>
      <c r="BL5" s="274"/>
      <c r="BM5" s="83"/>
      <c r="BN5" s="83"/>
      <c r="BO5" s="83"/>
      <c r="BP5" s="83"/>
      <c r="BQ5" s="83"/>
      <c r="BR5" s="83"/>
      <c r="BS5" s="83"/>
      <c r="BT5" s="83"/>
      <c r="BU5" s="83"/>
      <c r="BV5" s="83"/>
      <c r="BW5" s="83"/>
      <c r="BX5" s="83"/>
      <c r="BY5" s="83"/>
      <c r="BZ5" s="83"/>
      <c r="CA5" s="83"/>
      <c r="CB5" s="83"/>
      <c r="CC5" s="83"/>
      <c r="CD5" s="83"/>
      <c r="CE5" s="83"/>
      <c r="CF5" s="83"/>
      <c r="CG5" s="83"/>
      <c r="CH5" s="83"/>
      <c r="CI5" s="83"/>
      <c r="CJ5" s="83"/>
      <c r="CK5" s="82"/>
    </row>
    <row r="6" spans="1:89" ht="18" x14ac:dyDescent="0.35">
      <c r="A6" s="173"/>
      <c r="B6" s="454" t="s">
        <v>416</v>
      </c>
      <c r="C6" s="454"/>
      <c r="D6" s="454"/>
      <c r="E6" s="454"/>
      <c r="F6" s="454"/>
      <c r="G6" s="454"/>
      <c r="H6" s="454"/>
      <c r="I6" s="454"/>
      <c r="J6" s="454"/>
      <c r="K6" s="454"/>
      <c r="L6" s="454"/>
      <c r="M6" s="454"/>
      <c r="N6" s="275"/>
      <c r="O6" s="275"/>
      <c r="P6" s="275"/>
      <c r="Q6" s="275"/>
      <c r="R6" s="275"/>
      <c r="S6" s="275"/>
      <c r="T6" s="275"/>
      <c r="U6" s="275"/>
      <c r="V6" s="275"/>
      <c r="W6" s="275"/>
      <c r="X6" s="275"/>
      <c r="Y6" s="275"/>
      <c r="Z6" s="275"/>
      <c r="AA6" s="275"/>
      <c r="AB6" s="275"/>
      <c r="AC6" s="275"/>
      <c r="AD6" s="275"/>
      <c r="AE6" s="275"/>
      <c r="AF6" s="275"/>
      <c r="AG6" s="275"/>
      <c r="AH6" s="275"/>
      <c r="AI6" s="275"/>
      <c r="AJ6" s="275"/>
      <c r="AK6" s="275"/>
      <c r="AL6" s="275"/>
      <c r="AM6" s="275"/>
      <c r="AN6" s="275"/>
      <c r="AO6" s="275"/>
      <c r="AP6" s="275"/>
      <c r="AQ6" s="275"/>
      <c r="AR6" s="275"/>
      <c r="AS6" s="275"/>
      <c r="AT6" s="351"/>
      <c r="AU6" s="351"/>
      <c r="AV6" s="351"/>
      <c r="AW6" s="351"/>
      <c r="AX6" s="351"/>
      <c r="AY6" s="351"/>
      <c r="AZ6" s="351"/>
      <c r="BA6" s="351"/>
      <c r="BB6" s="351"/>
      <c r="BC6" s="351"/>
      <c r="BD6" s="351"/>
      <c r="BE6" s="351"/>
      <c r="BF6" s="351"/>
      <c r="BG6" s="351"/>
      <c r="BH6" s="351"/>
      <c r="BI6" s="351"/>
      <c r="BJ6" s="351"/>
      <c r="BK6" s="351"/>
      <c r="BL6" s="351"/>
      <c r="BM6" s="397"/>
      <c r="BN6" s="397"/>
      <c r="BO6" s="397"/>
      <c r="BP6" s="397"/>
      <c r="BQ6" s="397"/>
      <c r="BR6" s="397"/>
      <c r="BS6" s="397"/>
      <c r="BT6" s="397"/>
      <c r="BU6" s="397"/>
      <c r="BV6" s="397"/>
      <c r="BW6" s="397"/>
      <c r="BX6" s="397"/>
      <c r="BY6" s="397"/>
      <c r="BZ6" s="397"/>
      <c r="CA6" s="397"/>
      <c r="CB6" s="397"/>
      <c r="CC6" s="397"/>
      <c r="CD6" s="397"/>
      <c r="CE6" s="397"/>
      <c r="CF6" s="397"/>
      <c r="CG6" s="397"/>
      <c r="CH6" s="397"/>
      <c r="CI6" s="397"/>
      <c r="CJ6" s="397"/>
      <c r="CK6" s="275"/>
    </row>
    <row r="7" spans="1:89" ht="18" x14ac:dyDescent="0.35">
      <c r="A7" s="173"/>
      <c r="B7" s="454" t="s">
        <v>363</v>
      </c>
      <c r="C7" s="454"/>
      <c r="D7" s="454"/>
      <c r="E7" s="454"/>
      <c r="F7" s="454"/>
      <c r="G7" s="454"/>
      <c r="H7" s="454"/>
      <c r="I7" s="454"/>
      <c r="J7" s="454"/>
      <c r="K7" s="454"/>
      <c r="L7" s="454"/>
      <c r="M7" s="454"/>
      <c r="N7" s="275"/>
      <c r="O7" s="275"/>
      <c r="P7" s="275"/>
      <c r="Q7" s="275"/>
      <c r="R7" s="275"/>
      <c r="S7" s="275"/>
      <c r="T7" s="276"/>
      <c r="U7" s="276"/>
      <c r="V7" s="276"/>
      <c r="W7" s="276"/>
      <c r="X7" s="276"/>
      <c r="Y7" s="276"/>
      <c r="Z7" s="276"/>
      <c r="AA7" s="276"/>
      <c r="AB7" s="276"/>
      <c r="AC7" s="276"/>
      <c r="AD7" s="276"/>
      <c r="AE7" s="276"/>
      <c r="AF7" s="276"/>
      <c r="AG7" s="276"/>
      <c r="AH7" s="276"/>
      <c r="AI7" s="276"/>
      <c r="AJ7" s="276"/>
      <c r="AK7" s="276"/>
      <c r="AL7" s="276"/>
      <c r="AM7" s="276"/>
      <c r="AN7" s="276"/>
      <c r="AO7" s="276"/>
      <c r="AP7" s="276"/>
      <c r="AQ7" s="276"/>
      <c r="AR7" s="276"/>
      <c r="AS7" s="276"/>
      <c r="AT7" s="276"/>
      <c r="AU7" s="276"/>
      <c r="AV7" s="276"/>
      <c r="AW7" s="276"/>
      <c r="AX7" s="276"/>
      <c r="AY7" s="276"/>
      <c r="AZ7" s="276"/>
      <c r="BA7" s="276"/>
      <c r="BB7" s="276"/>
      <c r="BC7" s="276"/>
      <c r="BD7" s="276"/>
      <c r="BE7" s="276"/>
      <c r="BF7" s="276"/>
      <c r="BG7" s="276"/>
      <c r="BH7" s="276"/>
      <c r="BI7" s="276"/>
      <c r="BJ7" s="276"/>
      <c r="BK7" s="276"/>
      <c r="BL7" s="276"/>
      <c r="BM7" s="397"/>
      <c r="BN7" s="397"/>
      <c r="BO7" s="397"/>
      <c r="BP7" s="397"/>
      <c r="BQ7" s="397"/>
      <c r="BR7" s="397"/>
      <c r="BS7" s="397"/>
      <c r="BT7" s="397"/>
      <c r="BU7" s="397"/>
      <c r="BV7" s="397"/>
      <c r="BW7" s="397"/>
      <c r="BX7" s="397"/>
      <c r="BY7" s="397"/>
      <c r="BZ7" s="397"/>
      <c r="CA7" s="397"/>
      <c r="CB7" s="397"/>
      <c r="CC7" s="397"/>
      <c r="CD7" s="397"/>
      <c r="CE7" s="397"/>
      <c r="CF7" s="397"/>
      <c r="CG7" s="397"/>
      <c r="CH7" s="397"/>
      <c r="CI7" s="397"/>
      <c r="CJ7" s="397"/>
      <c r="CK7" s="275"/>
    </row>
    <row r="8" spans="1:89" ht="16.2" x14ac:dyDescent="0.3">
      <c r="A8" s="173"/>
      <c r="B8" s="453" t="s">
        <v>427</v>
      </c>
      <c r="C8" s="453"/>
      <c r="D8" s="453"/>
      <c r="E8" s="453"/>
      <c r="F8" s="453"/>
      <c r="G8" s="453"/>
      <c r="H8" s="453"/>
      <c r="I8" s="453"/>
      <c r="J8" s="453"/>
      <c r="K8" s="453"/>
      <c r="L8" s="453"/>
      <c r="M8" s="453"/>
      <c r="N8" s="264"/>
      <c r="O8" s="264"/>
      <c r="P8" s="264"/>
      <c r="Q8" s="264"/>
      <c r="R8" s="264"/>
      <c r="S8" s="264"/>
      <c r="T8" s="264"/>
      <c r="U8" s="264"/>
      <c r="V8" s="264"/>
      <c r="W8" s="264"/>
      <c r="X8" s="264"/>
      <c r="Y8" s="264"/>
      <c r="Z8" s="264"/>
      <c r="AA8" s="264"/>
      <c r="AB8" s="264"/>
      <c r="AC8" s="264"/>
      <c r="AD8" s="264"/>
      <c r="AE8" s="264"/>
      <c r="AF8" s="264"/>
      <c r="AG8" s="264"/>
      <c r="AH8" s="264"/>
      <c r="AI8" s="264"/>
      <c r="AJ8" s="264"/>
      <c r="AK8" s="264"/>
      <c r="AL8" s="264"/>
      <c r="AM8" s="264"/>
      <c r="AN8" s="264"/>
      <c r="AO8" s="264"/>
      <c r="AP8" s="264"/>
      <c r="AQ8" s="264"/>
      <c r="AR8" s="264"/>
      <c r="AS8" s="264"/>
      <c r="AT8" s="264"/>
      <c r="AU8" s="264"/>
      <c r="AV8" s="264"/>
      <c r="AW8" s="264"/>
      <c r="AX8" s="264"/>
      <c r="AY8" s="264"/>
      <c r="AZ8" s="264"/>
      <c r="BA8" s="264"/>
      <c r="BB8" s="264"/>
      <c r="BC8" s="264"/>
      <c r="BD8" s="264"/>
      <c r="BE8" s="264"/>
      <c r="BF8" s="264"/>
      <c r="BG8" s="264"/>
      <c r="BH8" s="264"/>
      <c r="BI8" s="264"/>
      <c r="BJ8" s="264"/>
      <c r="BK8" s="264"/>
      <c r="BL8" s="264"/>
      <c r="BM8" s="398"/>
      <c r="BN8" s="398"/>
      <c r="BO8" s="398"/>
      <c r="BP8" s="398"/>
      <c r="BQ8" s="398"/>
      <c r="BR8" s="398"/>
      <c r="BS8" s="398"/>
      <c r="BT8" s="398"/>
      <c r="BU8" s="398"/>
      <c r="BV8" s="398"/>
      <c r="BW8" s="398"/>
      <c r="BX8" s="398"/>
      <c r="BY8" s="398"/>
      <c r="BZ8" s="398"/>
      <c r="CA8" s="398"/>
      <c r="CB8" s="398"/>
      <c r="CC8" s="398"/>
      <c r="CD8" s="398"/>
      <c r="CE8" s="398"/>
      <c r="CF8" s="398"/>
      <c r="CG8" s="398"/>
      <c r="CH8" s="398"/>
      <c r="CI8" s="398"/>
      <c r="CJ8" s="398"/>
      <c r="CK8" s="264"/>
    </row>
    <row r="9" spans="1:89" x14ac:dyDescent="0.3">
      <c r="A9" s="173"/>
      <c r="B9" s="82"/>
      <c r="C9" s="82"/>
      <c r="D9" s="82"/>
      <c r="E9" s="277"/>
      <c r="F9" s="277"/>
      <c r="G9" s="277"/>
      <c r="H9" s="277"/>
      <c r="I9" s="277"/>
      <c r="J9" s="277"/>
      <c r="K9" s="277"/>
      <c r="L9" s="277"/>
      <c r="M9" s="277"/>
      <c r="N9" s="277"/>
      <c r="O9" s="277"/>
      <c r="P9" s="277"/>
      <c r="Q9" s="277"/>
      <c r="R9" s="277"/>
      <c r="S9" s="277"/>
      <c r="T9" s="277"/>
      <c r="U9" s="277"/>
      <c r="V9" s="277"/>
      <c r="W9" s="277"/>
      <c r="X9" s="277"/>
      <c r="Y9" s="277"/>
      <c r="Z9" s="277"/>
      <c r="AA9" s="277"/>
      <c r="AB9" s="277"/>
      <c r="AC9" s="277"/>
      <c r="AD9" s="277"/>
      <c r="AE9" s="277"/>
      <c r="AF9" s="277"/>
      <c r="AG9" s="277"/>
      <c r="AH9" s="277"/>
      <c r="AI9" s="277"/>
      <c r="AJ9" s="277"/>
      <c r="AK9" s="277"/>
      <c r="AL9" s="277"/>
      <c r="AM9" s="277"/>
      <c r="AN9" s="277"/>
      <c r="AO9" s="277"/>
      <c r="AP9" s="277"/>
      <c r="AQ9" s="277"/>
      <c r="AR9" s="277"/>
      <c r="AS9" s="277"/>
      <c r="AT9" s="277"/>
      <c r="AU9" s="277"/>
      <c r="AV9" s="277"/>
      <c r="AW9" s="277"/>
      <c r="AX9" s="277"/>
      <c r="AY9" s="277"/>
      <c r="AZ9" s="277"/>
      <c r="BA9" s="277"/>
      <c r="BB9" s="277"/>
      <c r="BC9" s="277"/>
      <c r="BD9" s="277"/>
      <c r="BE9" s="277"/>
      <c r="BF9" s="277"/>
      <c r="BG9" s="277"/>
      <c r="BH9" s="277"/>
      <c r="BI9" s="277"/>
      <c r="BJ9" s="277"/>
      <c r="BK9" s="277"/>
      <c r="BL9" s="277"/>
      <c r="BM9" s="83"/>
      <c r="BN9" s="83"/>
      <c r="BO9" s="83"/>
      <c r="BP9" s="83"/>
      <c r="BQ9" s="83"/>
      <c r="BR9" s="83"/>
      <c r="BS9" s="83"/>
      <c r="BT9" s="83"/>
      <c r="BU9" s="83"/>
      <c r="BV9" s="83"/>
      <c r="BW9" s="83"/>
      <c r="BX9" s="83"/>
      <c r="BY9" s="83"/>
      <c r="BZ9" s="83"/>
      <c r="CA9" s="83"/>
      <c r="CB9" s="83"/>
      <c r="CC9" s="83"/>
      <c r="CD9" s="83"/>
      <c r="CE9" s="83"/>
      <c r="CF9" s="83"/>
      <c r="CG9" s="83"/>
      <c r="CH9" s="83"/>
      <c r="CI9" s="83"/>
      <c r="CJ9" s="83"/>
      <c r="CK9" s="88"/>
    </row>
    <row r="10" spans="1:89" x14ac:dyDescent="0.3">
      <c r="A10" s="173"/>
      <c r="B10" s="89"/>
      <c r="C10" s="277"/>
      <c r="D10" s="277"/>
      <c r="E10" s="277"/>
      <c r="F10" s="277"/>
      <c r="G10" s="277"/>
      <c r="H10" s="277"/>
      <c r="I10" s="277"/>
      <c r="J10" s="277"/>
      <c r="K10" s="277"/>
      <c r="L10" s="277"/>
      <c r="M10" s="277"/>
      <c r="N10" s="277"/>
      <c r="O10" s="277"/>
      <c r="P10" s="277"/>
      <c r="Q10" s="277"/>
      <c r="R10" s="277"/>
      <c r="S10" s="277"/>
      <c r="T10" s="277"/>
      <c r="U10" s="277"/>
      <c r="V10" s="277"/>
      <c r="W10" s="277"/>
      <c r="X10" s="90"/>
      <c r="Y10" s="90"/>
      <c r="Z10" s="90"/>
      <c r="AA10" s="277"/>
      <c r="AB10" s="277"/>
      <c r="AC10" s="277"/>
      <c r="AD10" s="277"/>
      <c r="AE10" s="277"/>
      <c r="AF10" s="277"/>
      <c r="AG10" s="277"/>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7"/>
      <c r="BD10" s="277"/>
      <c r="BE10" s="277"/>
      <c r="BF10" s="277"/>
      <c r="BG10" s="277"/>
      <c r="BH10" s="277"/>
      <c r="BI10" s="277"/>
      <c r="BJ10" s="277"/>
      <c r="BK10" s="277"/>
      <c r="BL10" s="277"/>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9"/>
    </row>
    <row r="11" spans="1:89" ht="15.6" thickBot="1" x14ac:dyDescent="0.35">
      <c r="A11" s="173"/>
      <c r="B11" s="91"/>
      <c r="C11" s="278"/>
      <c r="D11" s="278"/>
      <c r="E11" s="278"/>
      <c r="F11" s="278"/>
      <c r="G11" s="278"/>
      <c r="H11" s="278"/>
      <c r="I11" s="278"/>
      <c r="J11" s="278"/>
      <c r="K11" s="278"/>
      <c r="L11" s="278"/>
      <c r="M11" s="278"/>
      <c r="N11" s="278"/>
      <c r="O11" s="278"/>
      <c r="P11" s="278"/>
      <c r="Q11" s="278"/>
      <c r="R11" s="278"/>
      <c r="S11" s="278"/>
      <c r="T11" s="278"/>
      <c r="U11" s="278"/>
      <c r="V11" s="278"/>
      <c r="W11" s="278"/>
      <c r="X11" s="278"/>
      <c r="Y11" s="278"/>
      <c r="Z11" s="278"/>
      <c r="AA11" s="278"/>
      <c r="AB11" s="278"/>
      <c r="AC11" s="278"/>
      <c r="AD11" s="278"/>
      <c r="AE11" s="278"/>
      <c r="AF11" s="278"/>
      <c r="AG11" s="278"/>
      <c r="AH11" s="278"/>
      <c r="AI11" s="278"/>
      <c r="AJ11" s="278"/>
      <c r="AK11" s="278"/>
      <c r="AL11" s="278"/>
      <c r="AM11" s="278"/>
      <c r="AN11" s="278"/>
      <c r="AO11" s="278"/>
      <c r="AP11" s="278"/>
      <c r="AQ11" s="278"/>
      <c r="AR11" s="278"/>
      <c r="AS11" s="278"/>
      <c r="AT11" s="278"/>
      <c r="AU11" s="278"/>
      <c r="AV11" s="278"/>
      <c r="AW11" s="278"/>
      <c r="AX11" s="278"/>
      <c r="AY11" s="278"/>
      <c r="AZ11" s="278"/>
      <c r="BA11" s="278"/>
      <c r="BB11" s="278"/>
      <c r="BC11" s="278"/>
      <c r="BD11" s="278"/>
      <c r="BE11" s="278"/>
      <c r="BF11" s="278"/>
      <c r="BG11" s="278"/>
      <c r="BH11" s="278"/>
      <c r="BI11" s="278"/>
      <c r="BJ11" s="278"/>
      <c r="BK11" s="278"/>
      <c r="BL11" s="278"/>
      <c r="BM11" s="399"/>
      <c r="BN11" s="399"/>
      <c r="BO11" s="399"/>
      <c r="BP11" s="399"/>
      <c r="BQ11" s="399"/>
      <c r="BR11" s="399"/>
      <c r="BS11" s="399"/>
      <c r="BT11" s="399"/>
      <c r="BU11" s="399"/>
      <c r="BV11" s="399"/>
      <c r="BW11" s="399"/>
      <c r="BX11" s="399"/>
      <c r="BY11" s="399"/>
      <c r="BZ11" s="399"/>
      <c r="CA11" s="399"/>
      <c r="CB11" s="399"/>
      <c r="CC11" s="399"/>
      <c r="CD11" s="399"/>
      <c r="CE11" s="399"/>
      <c r="CF11" s="399"/>
      <c r="CG11" s="399"/>
      <c r="CH11" s="399"/>
      <c r="CI11" s="399"/>
      <c r="CJ11" s="399"/>
      <c r="CK11" s="91"/>
    </row>
    <row r="12" spans="1:89" ht="19.2" thickTop="1" thickBot="1" x14ac:dyDescent="0.4">
      <c r="A12" s="173"/>
      <c r="B12" s="243"/>
      <c r="C12" s="235">
        <v>43466</v>
      </c>
      <c r="D12" s="235">
        <v>43497</v>
      </c>
      <c r="E12" s="235">
        <v>43525</v>
      </c>
      <c r="F12" s="235">
        <v>43556</v>
      </c>
      <c r="G12" s="235">
        <v>43586</v>
      </c>
      <c r="H12" s="235">
        <v>43617</v>
      </c>
      <c r="I12" s="235">
        <v>43647</v>
      </c>
      <c r="J12" s="235">
        <v>43678</v>
      </c>
      <c r="K12" s="235">
        <v>43709</v>
      </c>
      <c r="L12" s="235">
        <v>43739</v>
      </c>
      <c r="M12" s="235">
        <v>43770</v>
      </c>
      <c r="N12" s="235">
        <v>43800</v>
      </c>
      <c r="O12" s="304">
        <v>43831</v>
      </c>
      <c r="P12" s="304">
        <v>43862</v>
      </c>
      <c r="Q12" s="304">
        <v>43891</v>
      </c>
      <c r="R12" s="235">
        <v>43922</v>
      </c>
      <c r="S12" s="304">
        <v>43952</v>
      </c>
      <c r="T12" s="304">
        <v>43983</v>
      </c>
      <c r="U12" s="304">
        <v>44013</v>
      </c>
      <c r="V12" s="304">
        <v>44044</v>
      </c>
      <c r="W12" s="304">
        <v>44075</v>
      </c>
      <c r="X12" s="304">
        <v>44105</v>
      </c>
      <c r="Y12" s="304">
        <v>44136</v>
      </c>
      <c r="Z12" s="304">
        <v>44166</v>
      </c>
      <c r="AA12" s="304">
        <v>44197</v>
      </c>
      <c r="AB12" s="304">
        <v>44228</v>
      </c>
      <c r="AC12" s="304">
        <v>44256</v>
      </c>
      <c r="AD12" s="304">
        <v>44287</v>
      </c>
      <c r="AE12" s="304">
        <v>44317</v>
      </c>
      <c r="AF12" s="304">
        <v>44348</v>
      </c>
      <c r="AG12" s="304">
        <v>44378</v>
      </c>
      <c r="AH12" s="304">
        <v>44409</v>
      </c>
      <c r="AI12" s="304">
        <v>44440</v>
      </c>
      <c r="AJ12" s="304">
        <v>44470</v>
      </c>
      <c r="AK12" s="304">
        <v>44501</v>
      </c>
      <c r="AL12" s="304">
        <v>44531</v>
      </c>
      <c r="AM12" s="304">
        <v>44562</v>
      </c>
      <c r="AN12" s="304">
        <v>44593</v>
      </c>
      <c r="AO12" s="304">
        <v>44621</v>
      </c>
      <c r="AP12" s="304">
        <v>44652</v>
      </c>
      <c r="AQ12" s="304">
        <v>44682</v>
      </c>
      <c r="AR12" s="304">
        <v>44713</v>
      </c>
      <c r="AS12" s="304">
        <v>44743</v>
      </c>
      <c r="AT12" s="304">
        <v>44774</v>
      </c>
      <c r="AU12" s="304">
        <v>44805</v>
      </c>
      <c r="AV12" s="304">
        <v>44835</v>
      </c>
      <c r="AW12" s="304">
        <v>44866</v>
      </c>
      <c r="AX12" s="304">
        <v>44896</v>
      </c>
      <c r="AY12" s="304">
        <v>44927</v>
      </c>
      <c r="AZ12" s="304">
        <v>44958</v>
      </c>
      <c r="BA12" s="304">
        <v>44986</v>
      </c>
      <c r="BB12" s="304">
        <v>45017</v>
      </c>
      <c r="BC12" s="304">
        <v>45047</v>
      </c>
      <c r="BD12" s="304">
        <v>45078</v>
      </c>
      <c r="BE12" s="304">
        <v>45108</v>
      </c>
      <c r="BF12" s="304">
        <v>45139</v>
      </c>
      <c r="BG12" s="304">
        <v>45170</v>
      </c>
      <c r="BH12" s="304">
        <v>45200</v>
      </c>
      <c r="BI12" s="304">
        <v>45231</v>
      </c>
      <c r="BJ12" s="304">
        <v>45261</v>
      </c>
      <c r="BK12" s="304">
        <v>45292</v>
      </c>
      <c r="BL12" s="304">
        <v>45323</v>
      </c>
      <c r="BM12" s="304">
        <v>45352</v>
      </c>
      <c r="BN12" s="402">
        <v>45383</v>
      </c>
      <c r="BO12" s="402">
        <v>45413</v>
      </c>
      <c r="BP12" s="402">
        <v>45444</v>
      </c>
      <c r="BQ12" s="402">
        <v>45474</v>
      </c>
      <c r="BR12" s="402">
        <v>45505</v>
      </c>
      <c r="BS12" s="402">
        <v>45536</v>
      </c>
      <c r="BT12" s="402">
        <v>45566</v>
      </c>
      <c r="BU12" s="402">
        <v>45597</v>
      </c>
      <c r="BV12" s="402">
        <v>45627</v>
      </c>
      <c r="BW12" s="402">
        <v>45658</v>
      </c>
      <c r="BX12" s="402">
        <v>45689</v>
      </c>
      <c r="BY12" s="402">
        <v>45717</v>
      </c>
      <c r="BZ12" s="402">
        <v>45748</v>
      </c>
      <c r="CA12" s="402">
        <v>45778</v>
      </c>
      <c r="CB12" s="402">
        <v>45809</v>
      </c>
      <c r="CC12" s="402">
        <v>45839</v>
      </c>
      <c r="CD12" s="402">
        <v>45870</v>
      </c>
      <c r="CE12" s="402">
        <v>45901</v>
      </c>
      <c r="CF12" s="402">
        <v>45931</v>
      </c>
      <c r="CG12" s="402">
        <v>45962</v>
      </c>
      <c r="CH12" s="402">
        <v>45992</v>
      </c>
      <c r="CI12" s="402">
        <v>46023</v>
      </c>
      <c r="CJ12" s="402">
        <v>46054</v>
      </c>
      <c r="CK12" s="316" t="s">
        <v>187</v>
      </c>
    </row>
    <row r="13" spans="1:89" ht="15.6" thickTop="1" x14ac:dyDescent="0.3">
      <c r="A13" s="173"/>
      <c r="B13" s="244"/>
      <c r="C13" s="244"/>
      <c r="D13" s="244"/>
      <c r="E13" s="244"/>
      <c r="F13" s="307"/>
      <c r="G13" s="307"/>
      <c r="H13" s="307"/>
      <c r="I13" s="307"/>
      <c r="J13" s="307"/>
      <c r="K13" s="307"/>
      <c r="L13" s="307"/>
      <c r="M13" s="307"/>
      <c r="N13" s="307"/>
      <c r="O13" s="307"/>
      <c r="P13" s="307"/>
      <c r="Q13" s="307"/>
      <c r="R13" s="307"/>
      <c r="S13" s="307"/>
      <c r="T13" s="307"/>
      <c r="U13" s="307"/>
      <c r="V13" s="307"/>
      <c r="W13" s="307"/>
      <c r="X13" s="307"/>
      <c r="Y13" s="307"/>
      <c r="Z13" s="307"/>
      <c r="AA13" s="307"/>
      <c r="AB13" s="307"/>
      <c r="AC13" s="307"/>
      <c r="AD13" s="307"/>
      <c r="AE13" s="307"/>
      <c r="AF13" s="307"/>
      <c r="AG13" s="307"/>
      <c r="AH13" s="307"/>
      <c r="AI13" s="307"/>
      <c r="AJ13" s="307"/>
      <c r="AK13" s="307"/>
      <c r="AL13" s="307"/>
      <c r="AM13" s="307"/>
      <c r="AN13" s="307"/>
      <c r="AO13" s="307"/>
      <c r="AP13" s="307"/>
      <c r="AQ13" s="307"/>
      <c r="AR13" s="307"/>
      <c r="AS13" s="307"/>
      <c r="AT13" s="307"/>
      <c r="AU13" s="307"/>
      <c r="AV13" s="307"/>
      <c r="AW13" s="307"/>
      <c r="AX13" s="307"/>
      <c r="AY13" s="307"/>
      <c r="AZ13" s="307"/>
      <c r="BA13" s="307"/>
      <c r="BB13" s="307"/>
      <c r="BC13" s="307"/>
      <c r="BD13" s="307"/>
      <c r="BE13" s="307"/>
      <c r="BF13" s="307"/>
      <c r="BG13" s="307"/>
      <c r="BH13" s="307"/>
      <c r="BI13" s="307"/>
      <c r="BJ13" s="307"/>
      <c r="BK13" s="307"/>
      <c r="BL13" s="307"/>
      <c r="BM13" s="307"/>
      <c r="BN13" s="307"/>
      <c r="BO13" s="307"/>
      <c r="BP13" s="307"/>
      <c r="BQ13" s="307"/>
      <c r="BR13" s="307"/>
      <c r="BS13" s="307"/>
      <c r="BT13" s="307"/>
      <c r="BU13" s="307"/>
      <c r="BV13" s="307"/>
      <c r="BW13" s="307"/>
      <c r="BX13" s="307"/>
      <c r="BY13" s="307"/>
      <c r="BZ13" s="307"/>
      <c r="CA13" s="307"/>
      <c r="CB13" s="307"/>
      <c r="CC13" s="307"/>
      <c r="CD13" s="307"/>
      <c r="CE13" s="307"/>
      <c r="CF13" s="307"/>
      <c r="CG13" s="307"/>
      <c r="CH13" s="307"/>
      <c r="CI13" s="307"/>
      <c r="CJ13" s="307"/>
      <c r="CK13" s="369"/>
    </row>
    <row r="14" spans="1:89" ht="16.2" x14ac:dyDescent="0.3">
      <c r="A14" s="173"/>
      <c r="B14" s="233" t="s">
        <v>348</v>
      </c>
      <c r="C14" s="246">
        <f>+C16+C20</f>
        <v>7749.7999999999993</v>
      </c>
      <c r="D14" s="246">
        <f t="shared" ref="D14:BA14" si="0">+D16+D20</f>
        <v>9350.6</v>
      </c>
      <c r="E14" s="246">
        <f t="shared" si="0"/>
        <v>10472.5</v>
      </c>
      <c r="F14" s="246">
        <f t="shared" si="0"/>
        <v>12399.6</v>
      </c>
      <c r="G14" s="246">
        <f t="shared" si="0"/>
        <v>13012.8</v>
      </c>
      <c r="H14" s="246">
        <f t="shared" si="0"/>
        <v>8971.2000000000007</v>
      </c>
      <c r="I14" s="246">
        <f t="shared" si="0"/>
        <v>9102.1</v>
      </c>
      <c r="J14" s="246">
        <f t="shared" si="0"/>
        <v>6297.1</v>
      </c>
      <c r="K14" s="246">
        <f t="shared" si="0"/>
        <v>3554.6000000000004</v>
      </c>
      <c r="L14" s="246">
        <f t="shared" si="0"/>
        <v>3863.3</v>
      </c>
      <c r="M14" s="246">
        <f t="shared" si="0"/>
        <v>6094.7000000000007</v>
      </c>
      <c r="N14" s="246">
        <f t="shared" si="0"/>
        <v>6441.6</v>
      </c>
      <c r="O14" s="246">
        <f t="shared" si="0"/>
        <v>3206.7000000000003</v>
      </c>
      <c r="P14" s="246">
        <f t="shared" si="0"/>
        <v>2488.6999999999998</v>
      </c>
      <c r="Q14" s="246">
        <f t="shared" si="0"/>
        <v>5556.6</v>
      </c>
      <c r="R14" s="246">
        <f t="shared" si="0"/>
        <v>3653.3999999999996</v>
      </c>
      <c r="S14" s="246">
        <f t="shared" si="0"/>
        <v>2691.8</v>
      </c>
      <c r="T14" s="246">
        <f t="shared" si="0"/>
        <v>4933.2</v>
      </c>
      <c r="U14" s="246">
        <f t="shared" si="0"/>
        <v>3500.7000000000003</v>
      </c>
      <c r="V14" s="246">
        <f t="shared" si="0"/>
        <v>3290</v>
      </c>
      <c r="W14" s="246">
        <f t="shared" si="0"/>
        <v>3541.5</v>
      </c>
      <c r="X14" s="246">
        <f t="shared" si="0"/>
        <v>4494.7</v>
      </c>
      <c r="Y14" s="246">
        <f t="shared" si="0"/>
        <v>6631.8</v>
      </c>
      <c r="Z14" s="246">
        <f t="shared" si="0"/>
        <v>4620.7</v>
      </c>
      <c r="AA14" s="246">
        <f t="shared" si="0"/>
        <v>3115.0000000000005</v>
      </c>
      <c r="AB14" s="246">
        <f t="shared" si="0"/>
        <v>3963.4</v>
      </c>
      <c r="AC14" s="246">
        <f t="shared" si="0"/>
        <v>4557.7</v>
      </c>
      <c r="AD14" s="246">
        <f t="shared" si="0"/>
        <v>3296.7000000000003</v>
      </c>
      <c r="AE14" s="246">
        <f t="shared" si="0"/>
        <v>4217.3</v>
      </c>
      <c r="AF14" s="246">
        <f t="shared" si="0"/>
        <v>5727.8</v>
      </c>
      <c r="AG14" s="246">
        <f t="shared" si="0"/>
        <v>5291.6</v>
      </c>
      <c r="AH14" s="246">
        <f t="shared" si="0"/>
        <v>4795.5999999999995</v>
      </c>
      <c r="AI14" s="246">
        <f t="shared" si="0"/>
        <v>10923.2</v>
      </c>
      <c r="AJ14" s="246">
        <f t="shared" si="0"/>
        <v>4889.8999999999996</v>
      </c>
      <c r="AK14" s="246">
        <f t="shared" si="0"/>
        <v>3512.7</v>
      </c>
      <c r="AL14" s="246">
        <f t="shared" si="0"/>
        <v>2371.9</v>
      </c>
      <c r="AM14" s="246">
        <f t="shared" si="0"/>
        <v>7743.2</v>
      </c>
      <c r="AN14" s="246">
        <f t="shared" si="0"/>
        <v>1346.8</v>
      </c>
      <c r="AO14" s="246">
        <f t="shared" si="0"/>
        <v>13905.400000000001</v>
      </c>
      <c r="AP14" s="246">
        <f t="shared" si="0"/>
        <v>8295</v>
      </c>
      <c r="AQ14" s="246">
        <f t="shared" si="0"/>
        <v>11237.800000000001</v>
      </c>
      <c r="AR14" s="246">
        <f t="shared" si="0"/>
        <v>4944</v>
      </c>
      <c r="AS14" s="246">
        <f t="shared" si="0"/>
        <v>5786.4000000000005</v>
      </c>
      <c r="AT14" s="246">
        <f t="shared" si="0"/>
        <v>2692.1</v>
      </c>
      <c r="AU14" s="246">
        <f t="shared" si="0"/>
        <v>5327.3</v>
      </c>
      <c r="AV14" s="246">
        <f t="shared" si="0"/>
        <v>6438.1</v>
      </c>
      <c r="AW14" s="246">
        <f t="shared" si="0"/>
        <v>4435.8999999999996</v>
      </c>
      <c r="AX14" s="246">
        <f t="shared" si="0"/>
        <v>10160.099999999999</v>
      </c>
      <c r="AY14" s="246">
        <f t="shared" si="0"/>
        <v>7310</v>
      </c>
      <c r="AZ14" s="246">
        <f t="shared" si="0"/>
        <v>4533.7999999999993</v>
      </c>
      <c r="BA14" s="246">
        <f t="shared" si="0"/>
        <v>8789.7000000000007</v>
      </c>
      <c r="BB14" s="246">
        <f t="shared" ref="BB14:BH14" si="1">+BB16+BB20</f>
        <v>9177.9</v>
      </c>
      <c r="BC14" s="246">
        <f t="shared" si="1"/>
        <v>5945.1</v>
      </c>
      <c r="BD14" s="246">
        <f t="shared" si="1"/>
        <v>10821.1</v>
      </c>
      <c r="BE14" s="246">
        <f t="shared" si="1"/>
        <v>9596.7000000000007</v>
      </c>
      <c r="BF14" s="246">
        <f t="shared" si="1"/>
        <v>6620.2000000000007</v>
      </c>
      <c r="BG14" s="246">
        <f t="shared" si="1"/>
        <v>3539.8</v>
      </c>
      <c r="BH14" s="246">
        <f t="shared" si="1"/>
        <v>4258.1000000000004</v>
      </c>
      <c r="BI14" s="246">
        <f t="shared" ref="BI14" si="2">+BI16+BI20</f>
        <v>8304.0999999999985</v>
      </c>
      <c r="BJ14" s="246">
        <f t="shared" ref="BJ14:BP14" si="3">+BJ16+BJ20</f>
        <v>6093.9</v>
      </c>
      <c r="BK14" s="246">
        <f t="shared" si="3"/>
        <v>8662.9</v>
      </c>
      <c r="BL14" s="246">
        <f t="shared" si="3"/>
        <v>13105.5</v>
      </c>
      <c r="BM14" s="246">
        <f t="shared" si="3"/>
        <v>1966.8999999999999</v>
      </c>
      <c r="BN14" s="246">
        <f t="shared" si="3"/>
        <v>6336</v>
      </c>
      <c r="BO14" s="246">
        <f t="shared" si="3"/>
        <v>7291.7999999999993</v>
      </c>
      <c r="BP14" s="246">
        <f t="shared" si="3"/>
        <v>7052.7</v>
      </c>
      <c r="BQ14" s="246">
        <f t="shared" ref="BQ14:CA14" si="4">+BQ16+BQ20</f>
        <v>15295.800000000001</v>
      </c>
      <c r="BR14" s="246">
        <f t="shared" si="4"/>
        <v>6704.1</v>
      </c>
      <c r="BS14" s="246">
        <f t="shared" si="4"/>
        <v>15548.6</v>
      </c>
      <c r="BT14" s="246">
        <f t="shared" si="4"/>
        <v>8202.6</v>
      </c>
      <c r="BU14" s="246">
        <f t="shared" si="4"/>
        <v>9307.2000000000007</v>
      </c>
      <c r="BV14" s="246">
        <f t="shared" si="4"/>
        <v>7504.3</v>
      </c>
      <c r="BW14" s="246">
        <f t="shared" si="4"/>
        <v>14734.8</v>
      </c>
      <c r="BX14" s="246">
        <f t="shared" si="4"/>
        <v>9703</v>
      </c>
      <c r="BY14" s="246">
        <f t="shared" si="4"/>
        <v>12106.3</v>
      </c>
      <c r="BZ14" s="246">
        <f t="shared" si="4"/>
        <v>12700.4</v>
      </c>
      <c r="CA14" s="246">
        <f t="shared" si="4"/>
        <v>25565.5</v>
      </c>
      <c r="CB14" s="246">
        <v>13924.099999999999</v>
      </c>
      <c r="CC14" s="246">
        <f t="shared" ref="CC14:CJ14" si="5">+CC16+CC20</f>
        <v>15807.9</v>
      </c>
      <c r="CD14" s="246">
        <f t="shared" si="5"/>
        <v>20443.7</v>
      </c>
      <c r="CE14" s="246">
        <f t="shared" si="5"/>
        <v>10157.599999999999</v>
      </c>
      <c r="CF14" s="246">
        <f t="shared" si="5"/>
        <v>10958.8</v>
      </c>
      <c r="CG14" s="246">
        <f t="shared" si="5"/>
        <v>16753.7</v>
      </c>
      <c r="CH14" s="246">
        <f t="shared" si="5"/>
        <v>15555.099999999999</v>
      </c>
      <c r="CI14" s="246">
        <f t="shared" ref="CI14" si="6">+CI16+CI20</f>
        <v>18032.7</v>
      </c>
      <c r="CJ14" s="246">
        <f t="shared" si="5"/>
        <v>11422.7</v>
      </c>
      <c r="CK14" s="374">
        <f>+CK16+CK20</f>
        <v>0.99999999999999989</v>
      </c>
    </row>
    <row r="15" spans="1:89" ht="11.4" customHeight="1" x14ac:dyDescent="0.35">
      <c r="A15" s="173"/>
      <c r="B15" s="95"/>
      <c r="C15" s="95"/>
      <c r="D15" s="95"/>
      <c r="E15" s="95"/>
      <c r="F15" s="280"/>
      <c r="G15" s="280"/>
      <c r="H15" s="280"/>
      <c r="I15" s="280"/>
      <c r="J15" s="280"/>
      <c r="K15" s="280"/>
      <c r="L15" s="280">
        <v>0</v>
      </c>
      <c r="M15" s="280">
        <v>0</v>
      </c>
      <c r="N15" s="280">
        <v>0</v>
      </c>
      <c r="O15" s="280"/>
      <c r="P15" s="280"/>
      <c r="Q15" s="280"/>
      <c r="R15" s="280"/>
      <c r="S15" s="280"/>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280"/>
      <c r="BS15" s="280"/>
      <c r="BT15" s="280"/>
      <c r="BU15" s="280"/>
      <c r="BV15" s="280"/>
      <c r="BW15" s="280"/>
      <c r="BX15" s="280"/>
      <c r="BY15" s="280"/>
      <c r="BZ15" s="280"/>
      <c r="CA15" s="280"/>
      <c r="CB15" s="280"/>
      <c r="CC15" s="280"/>
      <c r="CD15" s="280"/>
      <c r="CE15" s="280"/>
      <c r="CF15" s="280"/>
      <c r="CG15" s="280"/>
      <c r="CH15" s="280"/>
      <c r="CI15" s="280"/>
      <c r="CJ15" s="280"/>
      <c r="CK15" s="97"/>
    </row>
    <row r="16" spans="1:89" x14ac:dyDescent="0.3">
      <c r="A16" s="173"/>
      <c r="B16" s="36" t="s">
        <v>349</v>
      </c>
      <c r="C16" s="375">
        <f>+C17+C18</f>
        <v>3605.5</v>
      </c>
      <c r="D16" s="375">
        <f t="shared" ref="D16:BA16" si="7">+D17+D18</f>
        <v>5986.9</v>
      </c>
      <c r="E16" s="375">
        <f t="shared" si="7"/>
        <v>5695</v>
      </c>
      <c r="F16" s="375">
        <f t="shared" si="7"/>
        <v>5603.1</v>
      </c>
      <c r="G16" s="375">
        <f t="shared" si="7"/>
        <v>4894.5</v>
      </c>
      <c r="H16" s="375">
        <f t="shared" si="7"/>
        <v>5679.8</v>
      </c>
      <c r="I16" s="375">
        <f t="shared" si="7"/>
        <v>4394.6000000000004</v>
      </c>
      <c r="J16" s="375">
        <f t="shared" si="7"/>
        <v>857.5</v>
      </c>
      <c r="K16" s="375">
        <f t="shared" si="7"/>
        <v>1916.7</v>
      </c>
      <c r="L16" s="375">
        <f t="shared" si="7"/>
        <v>1684.3000000000002</v>
      </c>
      <c r="M16" s="375">
        <f t="shared" si="7"/>
        <v>3962.4</v>
      </c>
      <c r="N16" s="375">
        <f t="shared" si="7"/>
        <v>4307</v>
      </c>
      <c r="O16" s="375">
        <f t="shared" si="7"/>
        <v>1633.8000000000002</v>
      </c>
      <c r="P16" s="375">
        <f t="shared" si="7"/>
        <v>1829.2</v>
      </c>
      <c r="Q16" s="375">
        <f t="shared" si="7"/>
        <v>4672.9000000000005</v>
      </c>
      <c r="R16" s="375">
        <f t="shared" si="7"/>
        <v>3360.2</v>
      </c>
      <c r="S16" s="375">
        <f t="shared" si="7"/>
        <v>2162.8000000000002</v>
      </c>
      <c r="T16" s="375">
        <f t="shared" si="7"/>
        <v>4651.3999999999996</v>
      </c>
      <c r="U16" s="375">
        <f t="shared" si="7"/>
        <v>3136.9</v>
      </c>
      <c r="V16" s="375">
        <f t="shared" si="7"/>
        <v>2782.6</v>
      </c>
      <c r="W16" s="375">
        <f t="shared" si="7"/>
        <v>3208</v>
      </c>
      <c r="X16" s="375">
        <f t="shared" si="7"/>
        <v>4284.7</v>
      </c>
      <c r="Y16" s="375">
        <f t="shared" si="7"/>
        <v>6089.2</v>
      </c>
      <c r="Z16" s="375">
        <f t="shared" si="7"/>
        <v>4386.2</v>
      </c>
      <c r="AA16" s="375">
        <f t="shared" si="7"/>
        <v>2703.2000000000003</v>
      </c>
      <c r="AB16" s="375">
        <f t="shared" si="7"/>
        <v>3473.6</v>
      </c>
      <c r="AC16" s="375">
        <f t="shared" si="7"/>
        <v>4197.2</v>
      </c>
      <c r="AD16" s="375">
        <f t="shared" si="7"/>
        <v>3068.6000000000004</v>
      </c>
      <c r="AE16" s="375">
        <f t="shared" si="7"/>
        <v>3674.8</v>
      </c>
      <c r="AF16" s="375">
        <f t="shared" si="7"/>
        <v>5510.2</v>
      </c>
      <c r="AG16" s="375">
        <f t="shared" si="7"/>
        <v>4571</v>
      </c>
      <c r="AH16" s="375">
        <f t="shared" si="7"/>
        <v>4218.8999999999996</v>
      </c>
      <c r="AI16" s="375">
        <f t="shared" si="7"/>
        <v>8678.6</v>
      </c>
      <c r="AJ16" s="375">
        <f t="shared" si="7"/>
        <v>4687.2999999999993</v>
      </c>
      <c r="AK16" s="375">
        <f t="shared" si="7"/>
        <v>2880.7</v>
      </c>
      <c r="AL16" s="375">
        <f t="shared" si="7"/>
        <v>320.39999999999998</v>
      </c>
      <c r="AM16" s="375">
        <f t="shared" si="7"/>
        <v>5948.2</v>
      </c>
      <c r="AN16" s="375">
        <f t="shared" si="7"/>
        <v>614.9</v>
      </c>
      <c r="AO16" s="375">
        <f t="shared" si="7"/>
        <v>10796.2</v>
      </c>
      <c r="AP16" s="375">
        <f t="shared" si="7"/>
        <v>7402.0999999999995</v>
      </c>
      <c r="AQ16" s="375">
        <f t="shared" si="7"/>
        <v>10638.2</v>
      </c>
      <c r="AR16" s="375">
        <f t="shared" si="7"/>
        <v>2038.1999999999998</v>
      </c>
      <c r="AS16" s="375">
        <f t="shared" si="7"/>
        <v>2842.6000000000004</v>
      </c>
      <c r="AT16" s="375">
        <f t="shared" si="7"/>
        <v>1981</v>
      </c>
      <c r="AU16" s="375">
        <f t="shared" si="7"/>
        <v>2357.7000000000003</v>
      </c>
      <c r="AV16" s="375">
        <f t="shared" si="7"/>
        <v>3639.9</v>
      </c>
      <c r="AW16" s="375">
        <f t="shared" si="7"/>
        <v>3617</v>
      </c>
      <c r="AX16" s="375">
        <f t="shared" si="7"/>
        <v>7049.2999999999993</v>
      </c>
      <c r="AY16" s="375">
        <f t="shared" si="7"/>
        <v>2787.2</v>
      </c>
      <c r="AZ16" s="375">
        <f t="shared" si="7"/>
        <v>3427.2999999999997</v>
      </c>
      <c r="BA16" s="375">
        <f t="shared" si="7"/>
        <v>5391.4000000000005</v>
      </c>
      <c r="BB16" s="375">
        <f t="shared" ref="BB16:BH16" si="8">+BB17+BB18</f>
        <v>6124.0999999999995</v>
      </c>
      <c r="BC16" s="375">
        <f t="shared" si="8"/>
        <v>4842.3</v>
      </c>
      <c r="BD16" s="375">
        <f t="shared" si="8"/>
        <v>7847.1</v>
      </c>
      <c r="BE16" s="375">
        <f t="shared" si="8"/>
        <v>5339.3</v>
      </c>
      <c r="BF16" s="375">
        <f t="shared" si="8"/>
        <v>3932.4</v>
      </c>
      <c r="BG16" s="375">
        <f t="shared" si="8"/>
        <v>2978.5</v>
      </c>
      <c r="BH16" s="375">
        <f t="shared" si="8"/>
        <v>3634.2000000000003</v>
      </c>
      <c r="BI16" s="375">
        <f t="shared" ref="BI16" si="9">+BI17+BI18</f>
        <v>4518</v>
      </c>
      <c r="BJ16" s="375">
        <f t="shared" ref="BJ16:BP16" si="10">+BJ17+BJ18</f>
        <v>4855.5</v>
      </c>
      <c r="BK16" s="375">
        <f t="shared" si="10"/>
        <v>4677.0999999999995</v>
      </c>
      <c r="BL16" s="375">
        <f t="shared" si="10"/>
        <v>11108.3</v>
      </c>
      <c r="BM16" s="375">
        <f t="shared" si="10"/>
        <v>1119</v>
      </c>
      <c r="BN16" s="375">
        <f t="shared" si="10"/>
        <v>4074.8</v>
      </c>
      <c r="BO16" s="375">
        <f t="shared" si="10"/>
        <v>6057.2999999999993</v>
      </c>
      <c r="BP16" s="375">
        <f t="shared" si="10"/>
        <v>6698.4</v>
      </c>
      <c r="BQ16" s="375">
        <f t="shared" ref="BQ16:CB16" si="11">+BQ17+BQ18</f>
        <v>11536.400000000001</v>
      </c>
      <c r="BR16" s="375">
        <f t="shared" si="11"/>
        <v>5661.9000000000005</v>
      </c>
      <c r="BS16" s="375">
        <f t="shared" si="11"/>
        <v>14689.800000000001</v>
      </c>
      <c r="BT16" s="375">
        <f t="shared" si="11"/>
        <v>6788.4</v>
      </c>
      <c r="BU16" s="375">
        <f t="shared" si="11"/>
        <v>8142.2</v>
      </c>
      <c r="BV16" s="375">
        <f t="shared" si="11"/>
        <v>7136.2</v>
      </c>
      <c r="BW16" s="375">
        <f t="shared" si="11"/>
        <v>10934</v>
      </c>
      <c r="BX16" s="375">
        <f t="shared" si="11"/>
        <v>8826.4</v>
      </c>
      <c r="BY16" s="375">
        <f t="shared" si="11"/>
        <v>11303.3</v>
      </c>
      <c r="BZ16" s="419">
        <f t="shared" si="11"/>
        <v>12353.9</v>
      </c>
      <c r="CA16" s="419">
        <f t="shared" si="11"/>
        <v>12491.8</v>
      </c>
      <c r="CB16" s="419">
        <f t="shared" si="11"/>
        <v>13629.699999999999</v>
      </c>
      <c r="CC16" s="375">
        <f t="shared" ref="CC16:CJ16" si="12">+CC17+CC18</f>
        <v>11120.5</v>
      </c>
      <c r="CD16" s="375">
        <f t="shared" si="12"/>
        <v>17416.400000000001</v>
      </c>
      <c r="CE16" s="375">
        <f t="shared" si="12"/>
        <v>9226.0999999999985</v>
      </c>
      <c r="CF16" s="375">
        <f t="shared" si="12"/>
        <v>10564.5</v>
      </c>
      <c r="CG16" s="375">
        <f t="shared" si="12"/>
        <v>15515.9</v>
      </c>
      <c r="CH16" s="375">
        <f t="shared" si="12"/>
        <v>15233.3</v>
      </c>
      <c r="CI16" s="375">
        <f t="shared" ref="CI16" si="13">+CI17+CI18</f>
        <v>13182.6</v>
      </c>
      <c r="CJ16" s="375">
        <f t="shared" si="12"/>
        <v>10398.6</v>
      </c>
      <c r="CK16" s="376">
        <f>+CJ16/$CJ$14</f>
        <v>0.91034518984128088</v>
      </c>
    </row>
    <row r="17" spans="1:89" x14ac:dyDescent="0.3">
      <c r="A17" s="173"/>
      <c r="B17" s="105" t="s">
        <v>350</v>
      </c>
      <c r="C17" s="309">
        <v>3126.1</v>
      </c>
      <c r="D17" s="309">
        <v>5974.7</v>
      </c>
      <c r="E17" s="309">
        <v>4796.8999999999996</v>
      </c>
      <c r="F17" s="309">
        <v>4876.6000000000004</v>
      </c>
      <c r="G17" s="309">
        <v>4357.6000000000004</v>
      </c>
      <c r="H17" s="309">
        <v>4720</v>
      </c>
      <c r="I17" s="309">
        <v>3927.8</v>
      </c>
      <c r="J17" s="309">
        <v>704.2</v>
      </c>
      <c r="K17" s="309">
        <v>1101.4000000000001</v>
      </c>
      <c r="L17" s="309">
        <v>1108.2</v>
      </c>
      <c r="M17" s="309">
        <v>3531.5</v>
      </c>
      <c r="N17" s="309">
        <v>3208</v>
      </c>
      <c r="O17" s="309">
        <v>1132.2</v>
      </c>
      <c r="P17" s="309">
        <v>1588.9</v>
      </c>
      <c r="Q17" s="309">
        <v>4247.3</v>
      </c>
      <c r="R17" s="309">
        <v>2818.5</v>
      </c>
      <c r="S17" s="309">
        <v>1732.8</v>
      </c>
      <c r="T17" s="309">
        <v>4091.1</v>
      </c>
      <c r="U17" s="309">
        <v>2983.8</v>
      </c>
      <c r="V17" s="309">
        <v>2483.4</v>
      </c>
      <c r="W17" s="309">
        <v>2868.7</v>
      </c>
      <c r="X17" s="309">
        <v>3910.7</v>
      </c>
      <c r="Y17" s="309">
        <v>5615.4</v>
      </c>
      <c r="Z17" s="309">
        <v>4347.2</v>
      </c>
      <c r="AA17" s="309">
        <v>2326.8000000000002</v>
      </c>
      <c r="AB17" s="309">
        <v>3356.9</v>
      </c>
      <c r="AC17" s="309">
        <v>3898</v>
      </c>
      <c r="AD17" s="309">
        <v>2682.3</v>
      </c>
      <c r="AE17" s="309">
        <v>3092.4</v>
      </c>
      <c r="AF17" s="309">
        <v>5089.7</v>
      </c>
      <c r="AG17" s="309">
        <v>4309.5</v>
      </c>
      <c r="AH17" s="309">
        <v>4020.5</v>
      </c>
      <c r="AI17" s="309">
        <v>8392.1</v>
      </c>
      <c r="AJ17" s="309">
        <v>4227.3999999999996</v>
      </c>
      <c r="AK17" s="309">
        <v>2366.1999999999998</v>
      </c>
      <c r="AL17" s="309">
        <v>318.2</v>
      </c>
      <c r="AM17" s="309">
        <v>5573.5</v>
      </c>
      <c r="AN17" s="309">
        <v>479.5</v>
      </c>
      <c r="AO17" s="309">
        <v>10608.1</v>
      </c>
      <c r="AP17" s="309">
        <v>7132.4</v>
      </c>
      <c r="AQ17" s="309">
        <v>10071.1</v>
      </c>
      <c r="AR17" s="309">
        <v>1777.8</v>
      </c>
      <c r="AS17" s="309">
        <v>2725.8</v>
      </c>
      <c r="AT17" s="309">
        <v>1803.2</v>
      </c>
      <c r="AU17" s="309">
        <v>2117.8000000000002</v>
      </c>
      <c r="AV17" s="309">
        <v>3487.5</v>
      </c>
      <c r="AW17" s="309">
        <v>2719.6</v>
      </c>
      <c r="AX17" s="309">
        <v>6925.9</v>
      </c>
      <c r="AY17" s="309">
        <v>2460.6999999999998</v>
      </c>
      <c r="AZ17" s="309">
        <v>3230.7</v>
      </c>
      <c r="BA17" s="309">
        <v>5182.3</v>
      </c>
      <c r="BB17" s="309">
        <v>6004.2</v>
      </c>
      <c r="BC17" s="309">
        <v>4156.8</v>
      </c>
      <c r="BD17" s="309">
        <v>7463.3</v>
      </c>
      <c r="BE17" s="309">
        <v>5263.7</v>
      </c>
      <c r="BF17" s="309">
        <v>3716.5</v>
      </c>
      <c r="BG17" s="309">
        <v>2798.1</v>
      </c>
      <c r="BH17" s="309">
        <v>3214.9</v>
      </c>
      <c r="BI17" s="309">
        <v>3947</v>
      </c>
      <c r="BJ17" s="309">
        <v>4660.8999999999996</v>
      </c>
      <c r="BK17" s="309">
        <v>4533.2</v>
      </c>
      <c r="BL17" s="309">
        <v>10865.5</v>
      </c>
      <c r="BM17" s="309">
        <v>1015</v>
      </c>
      <c r="BN17" s="309">
        <v>3963.3</v>
      </c>
      <c r="BO17" s="309">
        <v>5707.9</v>
      </c>
      <c r="BP17" s="309">
        <v>6636.9</v>
      </c>
      <c r="BQ17" s="309">
        <v>11307.7</v>
      </c>
      <c r="BR17" s="309">
        <v>5469.3</v>
      </c>
      <c r="BS17" s="309">
        <v>14662.6</v>
      </c>
      <c r="BT17" s="309">
        <v>6701.4</v>
      </c>
      <c r="BU17" s="309">
        <v>7935.8</v>
      </c>
      <c r="BV17" s="309">
        <v>7100.5</v>
      </c>
      <c r="BW17" s="309">
        <v>10697.3</v>
      </c>
      <c r="BX17" s="309">
        <v>8721.2999999999993</v>
      </c>
      <c r="BY17" s="309">
        <v>11275.3</v>
      </c>
      <c r="BZ17" s="420">
        <v>12314</v>
      </c>
      <c r="CA17" s="420">
        <v>12337.4</v>
      </c>
      <c r="CB17" s="420">
        <v>13389.4</v>
      </c>
      <c r="CC17" s="309">
        <v>11118.6</v>
      </c>
      <c r="CD17" s="309">
        <v>17409.400000000001</v>
      </c>
      <c r="CE17" s="309">
        <v>9201.2999999999993</v>
      </c>
      <c r="CF17" s="309">
        <v>10557.4</v>
      </c>
      <c r="CG17" s="309">
        <v>15441.4</v>
      </c>
      <c r="CH17" s="309">
        <v>15051.3</v>
      </c>
      <c r="CI17" s="309">
        <v>12970</v>
      </c>
      <c r="CJ17" s="309">
        <v>10394.5</v>
      </c>
      <c r="CK17" s="253">
        <f>+CJ17/$CJ$14</f>
        <v>0.90998625543873157</v>
      </c>
    </row>
    <row r="18" spans="1:89" x14ac:dyDescent="0.3">
      <c r="A18" s="173"/>
      <c r="B18" s="105" t="s">
        <v>351</v>
      </c>
      <c r="C18" s="309">
        <v>479.4</v>
      </c>
      <c r="D18" s="309">
        <v>12.2</v>
      </c>
      <c r="E18" s="309">
        <v>898.1</v>
      </c>
      <c r="F18" s="309">
        <v>726.5</v>
      </c>
      <c r="G18" s="309">
        <v>536.9</v>
      </c>
      <c r="H18" s="309">
        <v>959.8</v>
      </c>
      <c r="I18" s="309">
        <v>466.8</v>
      </c>
      <c r="J18" s="309">
        <v>153.30000000000001</v>
      </c>
      <c r="K18" s="309">
        <v>815.3</v>
      </c>
      <c r="L18" s="309">
        <v>576.1</v>
      </c>
      <c r="M18" s="309">
        <v>430.9</v>
      </c>
      <c r="N18" s="309">
        <v>1099</v>
      </c>
      <c r="O18" s="309">
        <v>501.6</v>
      </c>
      <c r="P18" s="309">
        <v>240.3</v>
      </c>
      <c r="Q18" s="309">
        <v>425.6</v>
      </c>
      <c r="R18" s="309">
        <v>541.70000000000005</v>
      </c>
      <c r="S18" s="309">
        <v>430</v>
      </c>
      <c r="T18" s="309">
        <v>560.29999999999995</v>
      </c>
      <c r="U18" s="309">
        <v>153.1</v>
      </c>
      <c r="V18" s="309">
        <v>299.2</v>
      </c>
      <c r="W18" s="309">
        <v>339.3</v>
      </c>
      <c r="X18" s="309">
        <v>374</v>
      </c>
      <c r="Y18" s="309">
        <v>473.8</v>
      </c>
      <c r="Z18" s="309">
        <v>39</v>
      </c>
      <c r="AA18" s="309">
        <v>376.4</v>
      </c>
      <c r="AB18" s="309">
        <v>116.7</v>
      </c>
      <c r="AC18" s="309">
        <v>299.2</v>
      </c>
      <c r="AD18" s="309">
        <v>386.3</v>
      </c>
      <c r="AE18" s="309">
        <v>582.4</v>
      </c>
      <c r="AF18" s="309">
        <v>420.5</v>
      </c>
      <c r="AG18" s="309">
        <v>261.5</v>
      </c>
      <c r="AH18" s="309">
        <v>198.4</v>
      </c>
      <c r="AI18" s="309">
        <v>286.5</v>
      </c>
      <c r="AJ18" s="309">
        <v>459.9</v>
      </c>
      <c r="AK18" s="309">
        <v>514.5</v>
      </c>
      <c r="AL18" s="309">
        <v>2.2000000000000002</v>
      </c>
      <c r="AM18" s="309">
        <v>374.7</v>
      </c>
      <c r="AN18" s="309">
        <v>135.4</v>
      </c>
      <c r="AO18" s="309">
        <v>188.1</v>
      </c>
      <c r="AP18" s="309">
        <v>269.7</v>
      </c>
      <c r="AQ18" s="309">
        <v>567.1</v>
      </c>
      <c r="AR18" s="309">
        <v>260.39999999999998</v>
      </c>
      <c r="AS18" s="309">
        <v>116.8</v>
      </c>
      <c r="AT18" s="309">
        <v>177.8</v>
      </c>
      <c r="AU18" s="309">
        <v>239.9</v>
      </c>
      <c r="AV18" s="309">
        <v>152.4</v>
      </c>
      <c r="AW18" s="309">
        <v>897.4</v>
      </c>
      <c r="AX18" s="309">
        <v>123.4</v>
      </c>
      <c r="AY18" s="309">
        <v>326.5</v>
      </c>
      <c r="AZ18" s="309">
        <v>196.6</v>
      </c>
      <c r="BA18" s="309">
        <v>209.1</v>
      </c>
      <c r="BB18" s="309">
        <v>119.9</v>
      </c>
      <c r="BC18" s="309">
        <v>685.5</v>
      </c>
      <c r="BD18" s="309">
        <v>383.8</v>
      </c>
      <c r="BE18" s="309">
        <v>75.599999999999994</v>
      </c>
      <c r="BF18" s="309">
        <v>215.9</v>
      </c>
      <c r="BG18" s="309">
        <v>180.4</v>
      </c>
      <c r="BH18" s="309">
        <v>419.3</v>
      </c>
      <c r="BI18" s="309">
        <v>571</v>
      </c>
      <c r="BJ18" s="309">
        <v>194.6</v>
      </c>
      <c r="BK18" s="309">
        <v>143.9</v>
      </c>
      <c r="BL18" s="309">
        <v>242.8</v>
      </c>
      <c r="BM18" s="309">
        <v>104</v>
      </c>
      <c r="BN18" s="309">
        <v>111.5</v>
      </c>
      <c r="BO18" s="309">
        <v>349.4</v>
      </c>
      <c r="BP18" s="309">
        <v>61.5</v>
      </c>
      <c r="BQ18" s="309">
        <v>228.7</v>
      </c>
      <c r="BR18" s="309">
        <v>192.6</v>
      </c>
      <c r="BS18" s="309">
        <v>27.2</v>
      </c>
      <c r="BT18" s="309">
        <v>87</v>
      </c>
      <c r="BU18" s="309">
        <v>206.39999999999998</v>
      </c>
      <c r="BV18" s="309">
        <v>35.700000000000003</v>
      </c>
      <c r="BW18" s="309">
        <v>236.7</v>
      </c>
      <c r="BX18" s="309">
        <v>105.1</v>
      </c>
      <c r="BY18" s="309">
        <v>28</v>
      </c>
      <c r="BZ18" s="420">
        <v>39.9</v>
      </c>
      <c r="CA18" s="420">
        <v>154.4</v>
      </c>
      <c r="CB18" s="420">
        <v>240.3</v>
      </c>
      <c r="CC18" s="309">
        <v>1.9</v>
      </c>
      <c r="CD18" s="309">
        <v>7</v>
      </c>
      <c r="CE18" s="309">
        <v>24.8</v>
      </c>
      <c r="CF18" s="309">
        <v>7.1</v>
      </c>
      <c r="CG18" s="309">
        <v>74.5</v>
      </c>
      <c r="CH18" s="309">
        <v>182</v>
      </c>
      <c r="CI18" s="309">
        <v>212.6</v>
      </c>
      <c r="CJ18" s="309">
        <v>4.0999999999999996</v>
      </c>
      <c r="CK18" s="253">
        <f>+CJ18/$CJ$14</f>
        <v>3.5893440254930963E-4</v>
      </c>
    </row>
    <row r="19" spans="1:89" ht="9" customHeight="1" x14ac:dyDescent="0.3">
      <c r="A19" s="173"/>
      <c r="B19" s="108"/>
      <c r="C19" s="309"/>
      <c r="D19" s="309"/>
      <c r="E19" s="309"/>
      <c r="F19" s="309"/>
      <c r="G19" s="309"/>
      <c r="H19" s="309"/>
      <c r="I19" s="309"/>
      <c r="J19" s="309"/>
      <c r="K19" s="309"/>
      <c r="L19" s="309"/>
      <c r="M19" s="309"/>
      <c r="N19" s="309"/>
      <c r="O19" s="309"/>
      <c r="P19" s="309"/>
      <c r="Q19" s="309"/>
      <c r="R19" s="309"/>
      <c r="S19" s="309"/>
      <c r="T19" s="309"/>
      <c r="U19" s="309"/>
      <c r="V19" s="309"/>
      <c r="W19" s="309"/>
      <c r="X19" s="309"/>
      <c r="Y19" s="309"/>
      <c r="Z19" s="309"/>
      <c r="AA19" s="309"/>
      <c r="AB19" s="309"/>
      <c r="AC19" s="309"/>
      <c r="AD19" s="309"/>
      <c r="AE19" s="309"/>
      <c r="AF19" s="309"/>
      <c r="AG19" s="309"/>
      <c r="AH19" s="309"/>
      <c r="AI19" s="309"/>
      <c r="AJ19" s="309"/>
      <c r="AK19" s="309"/>
      <c r="AL19" s="309"/>
      <c r="AM19" s="309"/>
      <c r="AN19" s="309"/>
      <c r="AO19" s="309"/>
      <c r="AP19" s="309"/>
      <c r="AQ19" s="309"/>
      <c r="AR19" s="309"/>
      <c r="AS19" s="309"/>
      <c r="AT19" s="309"/>
      <c r="AU19" s="309"/>
      <c r="AV19" s="309"/>
      <c r="AW19" s="309"/>
      <c r="AX19" s="309"/>
      <c r="AY19" s="309"/>
      <c r="AZ19" s="309"/>
      <c r="BA19" s="309"/>
      <c r="BB19" s="309"/>
      <c r="BC19" s="309"/>
      <c r="BD19" s="309"/>
      <c r="BE19" s="309"/>
      <c r="BF19" s="309"/>
      <c r="BG19" s="309"/>
      <c r="BH19" s="309"/>
      <c r="BI19" s="309"/>
      <c r="BJ19" s="309"/>
      <c r="BK19" s="309"/>
      <c r="BL19" s="309"/>
      <c r="BM19" s="309"/>
      <c r="BN19" s="309"/>
      <c r="BO19" s="309"/>
      <c r="BP19" s="309"/>
      <c r="BQ19" s="309"/>
      <c r="BR19" s="309"/>
      <c r="BS19" s="309"/>
      <c r="BT19" s="309"/>
      <c r="BU19" s="309"/>
      <c r="BV19" s="309"/>
      <c r="BW19" s="309"/>
      <c r="BX19" s="309"/>
      <c r="BY19" s="309"/>
      <c r="BZ19" s="420"/>
      <c r="CA19" s="420"/>
      <c r="CB19" s="420"/>
      <c r="CC19" s="309"/>
      <c r="CD19" s="309"/>
      <c r="CE19" s="309"/>
      <c r="CF19" s="309"/>
      <c r="CG19" s="309"/>
      <c r="CH19" s="309"/>
      <c r="CI19" s="309"/>
      <c r="CJ19" s="309"/>
      <c r="CK19" s="253"/>
    </row>
    <row r="20" spans="1:89" x14ac:dyDescent="0.3">
      <c r="A20" s="173"/>
      <c r="B20" s="36" t="s">
        <v>352</v>
      </c>
      <c r="C20" s="375">
        <f>+C21+C22</f>
        <v>4144.2999999999993</v>
      </c>
      <c r="D20" s="375">
        <f t="shared" ref="D20:BA20" si="14">+D21+D22</f>
        <v>3363.7000000000003</v>
      </c>
      <c r="E20" s="375">
        <f t="shared" si="14"/>
        <v>4777.5</v>
      </c>
      <c r="F20" s="375">
        <f t="shared" si="14"/>
        <v>6796.5</v>
      </c>
      <c r="G20" s="375">
        <f t="shared" si="14"/>
        <v>8118.3</v>
      </c>
      <c r="H20" s="375">
        <f t="shared" si="14"/>
        <v>3291.4</v>
      </c>
      <c r="I20" s="375">
        <f t="shared" si="14"/>
        <v>4707.5</v>
      </c>
      <c r="J20" s="375">
        <f t="shared" si="14"/>
        <v>5439.6</v>
      </c>
      <c r="K20" s="375">
        <f t="shared" si="14"/>
        <v>1637.9</v>
      </c>
      <c r="L20" s="375">
        <f t="shared" si="14"/>
        <v>2179</v>
      </c>
      <c r="M20" s="375">
        <f t="shared" si="14"/>
        <v>2132.3000000000002</v>
      </c>
      <c r="N20" s="375">
        <f t="shared" si="14"/>
        <v>2134.6000000000004</v>
      </c>
      <c r="O20" s="375">
        <f t="shared" si="14"/>
        <v>1572.9</v>
      </c>
      <c r="P20" s="375">
        <f t="shared" si="14"/>
        <v>659.5</v>
      </c>
      <c r="Q20" s="375">
        <f t="shared" si="14"/>
        <v>883.7</v>
      </c>
      <c r="R20" s="375">
        <f t="shared" si="14"/>
        <v>293.2</v>
      </c>
      <c r="S20" s="375">
        <f t="shared" si="14"/>
        <v>529</v>
      </c>
      <c r="T20" s="375">
        <f t="shared" si="14"/>
        <v>281.8</v>
      </c>
      <c r="U20" s="375">
        <f t="shared" si="14"/>
        <v>363.8</v>
      </c>
      <c r="V20" s="375">
        <f t="shared" si="14"/>
        <v>507.4</v>
      </c>
      <c r="W20" s="375">
        <f t="shared" si="14"/>
        <v>333.5</v>
      </c>
      <c r="X20" s="375">
        <f t="shared" si="14"/>
        <v>210</v>
      </c>
      <c r="Y20" s="375">
        <f t="shared" si="14"/>
        <v>542.6</v>
      </c>
      <c r="Z20" s="375">
        <f t="shared" si="14"/>
        <v>234.5</v>
      </c>
      <c r="AA20" s="375">
        <f t="shared" si="14"/>
        <v>411.8</v>
      </c>
      <c r="AB20" s="375">
        <f t="shared" si="14"/>
        <v>489.8</v>
      </c>
      <c r="AC20" s="375">
        <f t="shared" si="14"/>
        <v>360.5</v>
      </c>
      <c r="AD20" s="375">
        <f t="shared" si="14"/>
        <v>228.1</v>
      </c>
      <c r="AE20" s="375">
        <f t="shared" si="14"/>
        <v>542.5</v>
      </c>
      <c r="AF20" s="375">
        <f t="shared" si="14"/>
        <v>217.60000000000002</v>
      </c>
      <c r="AG20" s="375">
        <f t="shared" si="14"/>
        <v>720.59999999999991</v>
      </c>
      <c r="AH20" s="375">
        <f t="shared" si="14"/>
        <v>576.70000000000005</v>
      </c>
      <c r="AI20" s="375">
        <f t="shared" si="14"/>
        <v>2244.6</v>
      </c>
      <c r="AJ20" s="375">
        <f t="shared" si="14"/>
        <v>202.60000000000002</v>
      </c>
      <c r="AK20" s="375">
        <f t="shared" si="14"/>
        <v>632</v>
      </c>
      <c r="AL20" s="375">
        <f t="shared" si="14"/>
        <v>2051.5</v>
      </c>
      <c r="AM20" s="375">
        <f t="shared" si="14"/>
        <v>1795</v>
      </c>
      <c r="AN20" s="375">
        <f t="shared" si="14"/>
        <v>731.9</v>
      </c>
      <c r="AO20" s="375">
        <f t="shared" si="14"/>
        <v>3109.2000000000003</v>
      </c>
      <c r="AP20" s="375">
        <f t="shared" si="14"/>
        <v>892.90000000000009</v>
      </c>
      <c r="AQ20" s="375">
        <f t="shared" si="14"/>
        <v>599.6</v>
      </c>
      <c r="AR20" s="375">
        <f t="shared" si="14"/>
        <v>2905.7999999999997</v>
      </c>
      <c r="AS20" s="375">
        <f t="shared" si="14"/>
        <v>2943.8</v>
      </c>
      <c r="AT20" s="375">
        <f t="shared" si="14"/>
        <v>711.09999999999991</v>
      </c>
      <c r="AU20" s="375">
        <f t="shared" si="14"/>
        <v>2969.6</v>
      </c>
      <c r="AV20" s="375">
        <f t="shared" si="14"/>
        <v>2798.2000000000003</v>
      </c>
      <c r="AW20" s="375">
        <f t="shared" si="14"/>
        <v>818.90000000000009</v>
      </c>
      <c r="AX20" s="375">
        <f t="shared" si="14"/>
        <v>3110.8</v>
      </c>
      <c r="AY20" s="375">
        <f t="shared" si="14"/>
        <v>4522.8</v>
      </c>
      <c r="AZ20" s="375">
        <f t="shared" si="14"/>
        <v>1106.5</v>
      </c>
      <c r="BA20" s="375">
        <f t="shared" si="14"/>
        <v>3398.3</v>
      </c>
      <c r="BB20" s="375">
        <f t="shared" ref="BB20:BH20" si="15">+BB21+BB22</f>
        <v>3053.7999999999997</v>
      </c>
      <c r="BC20" s="375">
        <f t="shared" si="15"/>
        <v>1102.8</v>
      </c>
      <c r="BD20" s="375">
        <f t="shared" si="15"/>
        <v>2974.0000000000005</v>
      </c>
      <c r="BE20" s="375">
        <f t="shared" si="15"/>
        <v>4257.3999999999996</v>
      </c>
      <c r="BF20" s="375">
        <f t="shared" si="15"/>
        <v>2687.8</v>
      </c>
      <c r="BG20" s="375">
        <f t="shared" si="15"/>
        <v>561.29999999999995</v>
      </c>
      <c r="BH20" s="375">
        <f t="shared" si="15"/>
        <v>623.90000000000009</v>
      </c>
      <c r="BI20" s="375">
        <f t="shared" ref="BI20" si="16">+BI21+BI22</f>
        <v>3786.0999999999995</v>
      </c>
      <c r="BJ20" s="375">
        <f t="shared" ref="BJ20:BP20" si="17">+BJ21+BJ22</f>
        <v>1238.4000000000001</v>
      </c>
      <c r="BK20" s="375">
        <f t="shared" si="17"/>
        <v>3985.7999999999997</v>
      </c>
      <c r="BL20" s="375">
        <f t="shared" si="17"/>
        <v>1997.2</v>
      </c>
      <c r="BM20" s="375">
        <f t="shared" si="17"/>
        <v>847.89999999999986</v>
      </c>
      <c r="BN20" s="375">
        <f t="shared" si="17"/>
        <v>2261.1999999999998</v>
      </c>
      <c r="BO20" s="375">
        <f t="shared" si="17"/>
        <v>1234.5</v>
      </c>
      <c r="BP20" s="375">
        <f t="shared" si="17"/>
        <v>354.3</v>
      </c>
      <c r="BQ20" s="375">
        <f t="shared" ref="BQ20:CA20" si="18">+BQ21+BQ22</f>
        <v>3759.4</v>
      </c>
      <c r="BR20" s="375">
        <f t="shared" si="18"/>
        <v>1042.2</v>
      </c>
      <c r="BS20" s="375">
        <f t="shared" si="18"/>
        <v>858.8</v>
      </c>
      <c r="BT20" s="375">
        <f t="shared" si="18"/>
        <v>1414.2</v>
      </c>
      <c r="BU20" s="375">
        <f t="shared" si="18"/>
        <v>1165</v>
      </c>
      <c r="BV20" s="375">
        <f t="shared" si="18"/>
        <v>368.1</v>
      </c>
      <c r="BW20" s="375">
        <f t="shared" si="18"/>
        <v>3800.8</v>
      </c>
      <c r="BX20" s="375">
        <f t="shared" si="18"/>
        <v>876.59999999999991</v>
      </c>
      <c r="BY20" s="375">
        <f t="shared" si="18"/>
        <v>803</v>
      </c>
      <c r="BZ20" s="419">
        <f t="shared" si="18"/>
        <v>346.5</v>
      </c>
      <c r="CA20" s="419">
        <f t="shared" si="18"/>
        <v>13073.7</v>
      </c>
      <c r="CB20" s="419">
        <v>294.39999999999998</v>
      </c>
      <c r="CC20" s="375">
        <f t="shared" ref="CC20:CJ20" si="19">+CC21+CC22</f>
        <v>4687.3999999999996</v>
      </c>
      <c r="CD20" s="375">
        <f t="shared" si="19"/>
        <v>3027.3</v>
      </c>
      <c r="CE20" s="375">
        <f t="shared" si="19"/>
        <v>931.5</v>
      </c>
      <c r="CF20" s="375">
        <f t="shared" si="19"/>
        <v>394.3</v>
      </c>
      <c r="CG20" s="375">
        <f t="shared" si="19"/>
        <v>1237.8</v>
      </c>
      <c r="CH20" s="375">
        <f t="shared" si="19"/>
        <v>321.8</v>
      </c>
      <c r="CI20" s="375">
        <f t="shared" ref="CI20" si="20">+CI21+CI22</f>
        <v>4850.1000000000004</v>
      </c>
      <c r="CJ20" s="375">
        <f t="shared" si="19"/>
        <v>1024.0999999999999</v>
      </c>
      <c r="CK20" s="376">
        <f>+CJ20/$CJ$14</f>
        <v>8.9654810158719025E-2</v>
      </c>
    </row>
    <row r="21" spans="1:89" x14ac:dyDescent="0.3">
      <c r="A21" s="173"/>
      <c r="B21" s="105" t="s">
        <v>350</v>
      </c>
      <c r="C21" s="118">
        <v>2275.1999999999998</v>
      </c>
      <c r="D21" s="118">
        <v>3059.8</v>
      </c>
      <c r="E21" s="118">
        <v>4207.3</v>
      </c>
      <c r="F21" s="118">
        <v>5190.2</v>
      </c>
      <c r="G21" s="118">
        <v>6526.8</v>
      </c>
      <c r="H21" s="118">
        <v>2495</v>
      </c>
      <c r="I21" s="118">
        <v>3026.7</v>
      </c>
      <c r="J21" s="118">
        <v>4101.6000000000004</v>
      </c>
      <c r="K21" s="118">
        <v>1253.5</v>
      </c>
      <c r="L21" s="118">
        <v>1302.3</v>
      </c>
      <c r="M21" s="118">
        <v>1207.9000000000001</v>
      </c>
      <c r="N21" s="118">
        <v>841.2</v>
      </c>
      <c r="O21" s="118">
        <v>273.5</v>
      </c>
      <c r="P21" s="118">
        <v>215.4</v>
      </c>
      <c r="Q21" s="118">
        <v>539.5</v>
      </c>
      <c r="R21" s="118">
        <v>218.9</v>
      </c>
      <c r="S21" s="118">
        <v>145.69999999999999</v>
      </c>
      <c r="T21" s="118">
        <v>185.9</v>
      </c>
      <c r="U21" s="118">
        <v>280.8</v>
      </c>
      <c r="V21" s="118">
        <v>163</v>
      </c>
      <c r="W21" s="118">
        <v>229.6</v>
      </c>
      <c r="X21" s="118">
        <v>168.6</v>
      </c>
      <c r="Y21" s="118">
        <v>173.4</v>
      </c>
      <c r="Z21" s="118">
        <v>171.8</v>
      </c>
      <c r="AA21" s="118">
        <v>353.2</v>
      </c>
      <c r="AB21" s="118">
        <v>148.5</v>
      </c>
      <c r="AC21" s="118">
        <v>264.7</v>
      </c>
      <c r="AD21" s="118">
        <v>198.5</v>
      </c>
      <c r="AE21" s="118">
        <v>183.1</v>
      </c>
      <c r="AF21" s="118">
        <v>157.80000000000001</v>
      </c>
      <c r="AG21" s="118">
        <v>525.29999999999995</v>
      </c>
      <c r="AH21" s="118">
        <v>188.5</v>
      </c>
      <c r="AI21" s="118">
        <v>2148.1</v>
      </c>
      <c r="AJ21" s="118">
        <v>168.4</v>
      </c>
      <c r="AK21" s="118">
        <v>186.1</v>
      </c>
      <c r="AL21" s="118">
        <v>1996</v>
      </c>
      <c r="AM21" s="118">
        <v>1046.0999999999999</v>
      </c>
      <c r="AN21" s="118">
        <v>334.2</v>
      </c>
      <c r="AO21" s="118">
        <v>3021.9</v>
      </c>
      <c r="AP21" s="118">
        <v>851.2</v>
      </c>
      <c r="AQ21" s="118">
        <v>175.3</v>
      </c>
      <c r="AR21" s="118">
        <v>2848.1</v>
      </c>
      <c r="AS21" s="118">
        <v>2217</v>
      </c>
      <c r="AT21" s="118">
        <v>208.2</v>
      </c>
      <c r="AU21" s="118">
        <v>2843.2</v>
      </c>
      <c r="AV21" s="118">
        <v>2717.8</v>
      </c>
      <c r="AW21" s="118">
        <v>176.7</v>
      </c>
      <c r="AX21" s="118">
        <v>2988.3</v>
      </c>
      <c r="AY21" s="118">
        <v>3398.6</v>
      </c>
      <c r="AZ21" s="118">
        <v>343.4</v>
      </c>
      <c r="BA21" s="118">
        <v>3137</v>
      </c>
      <c r="BB21" s="118">
        <v>2908.2</v>
      </c>
      <c r="BC21" s="118">
        <v>179.8</v>
      </c>
      <c r="BD21" s="118">
        <v>2822.4000000000005</v>
      </c>
      <c r="BE21" s="118">
        <v>3094.6</v>
      </c>
      <c r="BF21" s="118">
        <v>1820.3000000000002</v>
      </c>
      <c r="BG21" s="118">
        <v>258.5</v>
      </c>
      <c r="BH21" s="118">
        <v>404.90000000000009</v>
      </c>
      <c r="BI21" s="118">
        <v>2776.8999999999996</v>
      </c>
      <c r="BJ21" s="118">
        <v>1059.8000000000002</v>
      </c>
      <c r="BK21" s="118">
        <v>2290.1999999999998</v>
      </c>
      <c r="BL21" s="118">
        <v>1111.2</v>
      </c>
      <c r="BM21" s="118">
        <v>452.09999999999991</v>
      </c>
      <c r="BN21" s="118">
        <v>2065.5</v>
      </c>
      <c r="BO21" s="118">
        <v>222.6</v>
      </c>
      <c r="BP21" s="118">
        <v>144.30000000000001</v>
      </c>
      <c r="BQ21" s="118">
        <v>2145.3000000000002</v>
      </c>
      <c r="BR21" s="118">
        <v>154.5</v>
      </c>
      <c r="BS21" s="118">
        <v>476.2</v>
      </c>
      <c r="BT21" s="118">
        <v>148.5</v>
      </c>
      <c r="BU21" s="118">
        <v>217.6</v>
      </c>
      <c r="BV21" s="118">
        <v>170.7</v>
      </c>
      <c r="BW21" s="118">
        <v>3123.3</v>
      </c>
      <c r="BX21" s="118">
        <v>170.2</v>
      </c>
      <c r="BY21" s="118">
        <v>482.4</v>
      </c>
      <c r="BZ21" s="421">
        <v>146.19999999999999</v>
      </c>
      <c r="CA21" s="421">
        <v>12221.1</v>
      </c>
      <c r="CB21" s="421">
        <v>122</v>
      </c>
      <c r="CC21" s="118">
        <v>3019.5</v>
      </c>
      <c r="CD21" s="118">
        <v>2161</v>
      </c>
      <c r="CE21" s="118">
        <v>608.70000000000005</v>
      </c>
      <c r="CF21" s="118">
        <v>158</v>
      </c>
      <c r="CG21" s="118">
        <v>222.7</v>
      </c>
      <c r="CH21" s="118">
        <v>147.30000000000001</v>
      </c>
      <c r="CI21" s="118">
        <v>2989.1</v>
      </c>
      <c r="CJ21" s="118">
        <v>140.5</v>
      </c>
      <c r="CK21" s="253">
        <f>+CJ21/$CJ$14</f>
        <v>1.2300069160531222E-2</v>
      </c>
    </row>
    <row r="22" spans="1:89" x14ac:dyDescent="0.3">
      <c r="A22" s="173"/>
      <c r="B22" s="105" t="s">
        <v>351</v>
      </c>
      <c r="C22" s="118">
        <v>1869.1</v>
      </c>
      <c r="D22" s="118">
        <v>303.89999999999998</v>
      </c>
      <c r="E22" s="118">
        <v>570.20000000000005</v>
      </c>
      <c r="F22" s="118">
        <v>1606.3</v>
      </c>
      <c r="G22" s="118">
        <v>1591.5</v>
      </c>
      <c r="H22" s="118">
        <v>796.4</v>
      </c>
      <c r="I22" s="118">
        <v>1680.8</v>
      </c>
      <c r="J22" s="118">
        <v>1338</v>
      </c>
      <c r="K22" s="118">
        <v>384.4</v>
      </c>
      <c r="L22" s="118">
        <v>876.7</v>
      </c>
      <c r="M22" s="118">
        <v>924.4</v>
      </c>
      <c r="N22" s="118">
        <v>1293.4000000000001</v>
      </c>
      <c r="O22" s="118">
        <v>1299.4000000000001</v>
      </c>
      <c r="P22" s="118">
        <v>444.1</v>
      </c>
      <c r="Q22" s="118">
        <v>344.2</v>
      </c>
      <c r="R22" s="118">
        <v>74.3</v>
      </c>
      <c r="S22" s="118">
        <v>383.3</v>
      </c>
      <c r="T22" s="118">
        <v>95.9</v>
      </c>
      <c r="U22" s="118">
        <v>83</v>
      </c>
      <c r="V22" s="118">
        <v>344.4</v>
      </c>
      <c r="W22" s="118">
        <v>103.9</v>
      </c>
      <c r="X22" s="118">
        <v>41.4</v>
      </c>
      <c r="Y22" s="118">
        <v>369.2</v>
      </c>
      <c r="Z22" s="118">
        <v>62.7</v>
      </c>
      <c r="AA22" s="118">
        <v>58.6</v>
      </c>
      <c r="AB22" s="118">
        <v>341.3</v>
      </c>
      <c r="AC22" s="118">
        <v>95.8</v>
      </c>
      <c r="AD22" s="118">
        <v>29.6</v>
      </c>
      <c r="AE22" s="118">
        <v>359.4</v>
      </c>
      <c r="AF22" s="118">
        <v>59.8</v>
      </c>
      <c r="AG22" s="118">
        <v>195.3</v>
      </c>
      <c r="AH22" s="118">
        <v>388.2</v>
      </c>
      <c r="AI22" s="118">
        <v>96.5</v>
      </c>
      <c r="AJ22" s="118">
        <v>34.200000000000003</v>
      </c>
      <c r="AK22" s="118">
        <v>445.9</v>
      </c>
      <c r="AL22" s="118">
        <v>55.5</v>
      </c>
      <c r="AM22" s="118">
        <v>748.9</v>
      </c>
      <c r="AN22" s="118">
        <v>397.7</v>
      </c>
      <c r="AO22" s="118">
        <v>87.3</v>
      </c>
      <c r="AP22" s="118">
        <v>41.7</v>
      </c>
      <c r="AQ22" s="118">
        <v>424.3</v>
      </c>
      <c r="AR22" s="118">
        <v>57.7</v>
      </c>
      <c r="AS22" s="118">
        <v>726.8</v>
      </c>
      <c r="AT22" s="118">
        <v>502.9</v>
      </c>
      <c r="AU22" s="118">
        <v>126.4</v>
      </c>
      <c r="AV22" s="118">
        <v>80.400000000000006</v>
      </c>
      <c r="AW22" s="118">
        <v>642.20000000000005</v>
      </c>
      <c r="AX22" s="118">
        <v>122.5</v>
      </c>
      <c r="AY22" s="118">
        <v>1124.2</v>
      </c>
      <c r="AZ22" s="118">
        <v>763.1</v>
      </c>
      <c r="BA22" s="118">
        <v>261.3</v>
      </c>
      <c r="BB22" s="118">
        <v>145.6</v>
      </c>
      <c r="BC22" s="118">
        <v>923</v>
      </c>
      <c r="BD22" s="118">
        <v>151.59999999999997</v>
      </c>
      <c r="BE22" s="118">
        <v>1162.8000000000002</v>
      </c>
      <c r="BF22" s="118">
        <v>867.5</v>
      </c>
      <c r="BG22" s="118">
        <v>302.79999999999995</v>
      </c>
      <c r="BH22" s="118">
        <v>219</v>
      </c>
      <c r="BI22" s="118">
        <v>1009.2</v>
      </c>
      <c r="BJ22" s="118">
        <v>178.6</v>
      </c>
      <c r="BK22" s="118">
        <v>1695.6</v>
      </c>
      <c r="BL22" s="118">
        <v>886</v>
      </c>
      <c r="BM22" s="118">
        <v>395.8</v>
      </c>
      <c r="BN22" s="118">
        <v>195.7</v>
      </c>
      <c r="BO22" s="118">
        <v>1011.9</v>
      </c>
      <c r="BP22" s="118">
        <v>210</v>
      </c>
      <c r="BQ22" s="118">
        <v>1614.1</v>
      </c>
      <c r="BR22" s="118">
        <v>887.7</v>
      </c>
      <c r="BS22" s="118">
        <v>382.6</v>
      </c>
      <c r="BT22" s="118">
        <v>1265.7</v>
      </c>
      <c r="BU22" s="118">
        <v>947.4</v>
      </c>
      <c r="BV22" s="118">
        <v>197.4</v>
      </c>
      <c r="BW22" s="118">
        <v>677.5</v>
      </c>
      <c r="BX22" s="118">
        <v>706.4</v>
      </c>
      <c r="BY22" s="118">
        <v>320.60000000000002</v>
      </c>
      <c r="BZ22" s="421">
        <v>200.3</v>
      </c>
      <c r="CA22" s="421">
        <v>852.6</v>
      </c>
      <c r="CB22" s="421">
        <v>172.4</v>
      </c>
      <c r="CC22" s="118">
        <v>1667.9</v>
      </c>
      <c r="CD22" s="118">
        <v>866.3</v>
      </c>
      <c r="CE22" s="118">
        <v>322.8</v>
      </c>
      <c r="CF22" s="118">
        <v>236.3</v>
      </c>
      <c r="CG22" s="118">
        <v>1015.1</v>
      </c>
      <c r="CH22" s="118">
        <v>174.5</v>
      </c>
      <c r="CI22" s="118">
        <v>1861</v>
      </c>
      <c r="CJ22" s="118">
        <v>883.6</v>
      </c>
      <c r="CK22" s="253">
        <f>+CJ22/$CJ$14</f>
        <v>7.7354740998187815E-2</v>
      </c>
    </row>
    <row r="23" spans="1:89" s="225" customFormat="1" thickBot="1" x14ac:dyDescent="0.35">
      <c r="A23" s="173"/>
      <c r="B23" s="98"/>
      <c r="C23" s="98"/>
      <c r="D23" s="98"/>
      <c r="E23" s="98"/>
      <c r="F23" s="281"/>
      <c r="G23" s="281"/>
      <c r="H23" s="281"/>
      <c r="I23" s="281"/>
      <c r="J23" s="281"/>
      <c r="K23" s="281"/>
      <c r="L23" s="281"/>
      <c r="M23" s="281"/>
      <c r="N23" s="281"/>
      <c r="O23" s="281"/>
      <c r="P23" s="281"/>
      <c r="Q23" s="281"/>
      <c r="R23" s="281"/>
      <c r="S23" s="281"/>
      <c r="T23" s="281"/>
      <c r="U23" s="281"/>
      <c r="V23" s="281"/>
      <c r="W23" s="281"/>
      <c r="X23" s="281"/>
      <c r="Y23" s="281"/>
      <c r="Z23" s="281"/>
      <c r="AA23" s="281"/>
      <c r="AB23" s="281"/>
      <c r="AC23" s="281"/>
      <c r="AD23" s="281"/>
      <c r="AE23" s="281"/>
      <c r="AF23" s="281"/>
      <c r="AG23" s="281"/>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1"/>
      <c r="BP23" s="281"/>
      <c r="BQ23" s="281"/>
      <c r="BR23" s="281"/>
      <c r="BS23" s="281"/>
      <c r="BT23" s="281"/>
      <c r="BU23" s="281"/>
      <c r="BV23" s="281"/>
      <c r="BW23" s="281"/>
      <c r="BX23" s="281"/>
      <c r="BY23" s="281"/>
      <c r="BZ23" s="281"/>
      <c r="CA23" s="281"/>
      <c r="CB23" s="281"/>
      <c r="CC23" s="281"/>
      <c r="CD23" s="281"/>
      <c r="CE23" s="281"/>
      <c r="CF23" s="281"/>
      <c r="CG23" s="281"/>
      <c r="CH23" s="281"/>
      <c r="CI23" s="281"/>
      <c r="CJ23" s="281"/>
      <c r="CK23" s="100"/>
    </row>
    <row r="24" spans="1:89" s="225" customFormat="1" thickTop="1" x14ac:dyDescent="0.3">
      <c r="A24" s="173"/>
      <c r="B24" s="93"/>
      <c r="C24" s="377"/>
      <c r="D24" s="377"/>
      <c r="E24" s="377"/>
      <c r="F24" s="377"/>
      <c r="G24" s="377"/>
      <c r="H24" s="377"/>
      <c r="I24" s="377"/>
      <c r="J24" s="377"/>
      <c r="K24" s="377"/>
      <c r="L24" s="377"/>
      <c r="M24" s="377"/>
      <c r="N24" s="377"/>
      <c r="O24" s="377"/>
      <c r="P24" s="377"/>
      <c r="Q24" s="377"/>
      <c r="R24" s="377"/>
      <c r="S24" s="377"/>
      <c r="T24" s="377"/>
      <c r="U24" s="377"/>
      <c r="V24" s="377"/>
      <c r="W24" s="377"/>
      <c r="X24" s="377"/>
      <c r="Y24" s="377"/>
      <c r="Z24" s="377"/>
      <c r="AA24" s="377"/>
      <c r="AB24" s="377"/>
      <c r="AC24" s="377"/>
      <c r="AD24" s="377"/>
      <c r="AE24" s="377"/>
      <c r="AF24" s="377"/>
      <c r="AG24" s="377"/>
      <c r="AH24" s="377"/>
      <c r="AI24" s="377"/>
      <c r="AJ24" s="377"/>
      <c r="AK24" s="377"/>
      <c r="AL24" s="377"/>
      <c r="AM24" s="377"/>
      <c r="AN24" s="377"/>
      <c r="AO24" s="377"/>
      <c r="AP24" s="377"/>
      <c r="AQ24" s="377"/>
      <c r="AR24" s="377"/>
      <c r="AS24" s="377"/>
      <c r="AT24" s="377"/>
      <c r="AU24" s="377"/>
      <c r="AV24" s="377"/>
      <c r="AW24" s="377"/>
      <c r="AX24" s="377"/>
      <c r="AY24" s="377"/>
      <c r="AZ24" s="377"/>
      <c r="BA24" s="377"/>
      <c r="BB24" s="377"/>
      <c r="BC24" s="377"/>
      <c r="BD24" s="377"/>
      <c r="BE24" s="377"/>
      <c r="BF24" s="377"/>
      <c r="BG24" s="377"/>
      <c r="BH24" s="377"/>
      <c r="BI24" s="377"/>
      <c r="BJ24" s="377"/>
      <c r="BK24" s="377"/>
      <c r="BL24" s="377"/>
      <c r="BM24" s="400"/>
      <c r="BN24" s="400"/>
      <c r="BO24" s="400"/>
      <c r="BP24" s="400"/>
      <c r="BQ24" s="400"/>
      <c r="BR24" s="400"/>
      <c r="BS24" s="400"/>
      <c r="BT24" s="400"/>
      <c r="BU24" s="400"/>
      <c r="BV24" s="400"/>
      <c r="BW24" s="400"/>
      <c r="BX24" s="400"/>
      <c r="BY24" s="400"/>
      <c r="BZ24" s="400"/>
      <c r="CA24" s="400"/>
      <c r="CB24" s="400"/>
      <c r="CC24" s="400"/>
      <c r="CD24" s="400"/>
      <c r="CE24" s="400"/>
      <c r="CF24" s="400"/>
      <c r="CG24" s="400"/>
      <c r="CH24" s="400"/>
      <c r="CI24" s="400"/>
      <c r="CJ24" s="400"/>
      <c r="CK24" s="101"/>
    </row>
    <row r="25" spans="1:89" s="225" customFormat="1" ht="32.4" x14ac:dyDescent="0.3">
      <c r="A25" s="173"/>
      <c r="B25" s="233" t="s">
        <v>353</v>
      </c>
      <c r="C25" s="246">
        <f>+C30+C33+C36+C39</f>
        <v>7749.7999999999984</v>
      </c>
      <c r="D25" s="246">
        <f t="shared" ref="D25:BA25" si="21">+D30+D33+D36+D39</f>
        <v>9350.5999999999985</v>
      </c>
      <c r="E25" s="246">
        <f t="shared" si="21"/>
        <v>10472.700000000001</v>
      </c>
      <c r="F25" s="246">
        <f t="shared" si="21"/>
        <v>12399.600000000002</v>
      </c>
      <c r="G25" s="246">
        <f t="shared" si="21"/>
        <v>13012.5</v>
      </c>
      <c r="H25" s="246">
        <f t="shared" si="21"/>
        <v>8970.9</v>
      </c>
      <c r="I25" s="246">
        <f t="shared" si="21"/>
        <v>9102.1999999999989</v>
      </c>
      <c r="J25" s="246">
        <f t="shared" si="21"/>
        <v>6297.0999999999995</v>
      </c>
      <c r="K25" s="246">
        <f t="shared" si="21"/>
        <v>3554.7999999999997</v>
      </c>
      <c r="L25" s="246">
        <f t="shared" si="21"/>
        <v>3863.4</v>
      </c>
      <c r="M25" s="246">
        <f t="shared" si="21"/>
        <v>6094.6</v>
      </c>
      <c r="N25" s="246">
        <f t="shared" si="21"/>
        <v>6441.5000000000009</v>
      </c>
      <c r="O25" s="246">
        <f t="shared" si="21"/>
        <v>3206.7999999999997</v>
      </c>
      <c r="P25" s="246">
        <f t="shared" si="21"/>
        <v>2488.6999999999998</v>
      </c>
      <c r="Q25" s="246">
        <f t="shared" si="21"/>
        <v>5556.4000000000005</v>
      </c>
      <c r="R25" s="246">
        <f t="shared" si="21"/>
        <v>3653.2000000000003</v>
      </c>
      <c r="S25" s="246">
        <f t="shared" si="21"/>
        <v>2691.8</v>
      </c>
      <c r="T25" s="246">
        <f t="shared" si="21"/>
        <v>4933.3</v>
      </c>
      <c r="U25" s="246">
        <f t="shared" si="21"/>
        <v>3500.6</v>
      </c>
      <c r="V25" s="246">
        <f t="shared" si="21"/>
        <v>3290.0000000000005</v>
      </c>
      <c r="W25" s="246">
        <f t="shared" si="21"/>
        <v>3541.3</v>
      </c>
      <c r="X25" s="246">
        <f t="shared" si="21"/>
        <v>4494.7</v>
      </c>
      <c r="Y25" s="246">
        <f t="shared" si="21"/>
        <v>6631.7</v>
      </c>
      <c r="Z25" s="246">
        <f t="shared" si="21"/>
        <v>4620.7000000000007</v>
      </c>
      <c r="AA25" s="246">
        <f t="shared" si="21"/>
        <v>3114.9999999999995</v>
      </c>
      <c r="AB25" s="246">
        <f t="shared" si="21"/>
        <v>3963.2999999999997</v>
      </c>
      <c r="AC25" s="246">
        <f t="shared" si="21"/>
        <v>4557.8999999999996</v>
      </c>
      <c r="AD25" s="246">
        <f t="shared" si="21"/>
        <v>3296.5</v>
      </c>
      <c r="AE25" s="246">
        <f t="shared" si="21"/>
        <v>4217.3999999999996</v>
      </c>
      <c r="AF25" s="246">
        <f t="shared" si="21"/>
        <v>5727.7999999999993</v>
      </c>
      <c r="AG25" s="246">
        <f t="shared" si="21"/>
        <v>5291.7000000000007</v>
      </c>
      <c r="AH25" s="246">
        <f t="shared" si="21"/>
        <v>4795.5</v>
      </c>
      <c r="AI25" s="246">
        <f t="shared" si="21"/>
        <v>10923.2</v>
      </c>
      <c r="AJ25" s="246">
        <f t="shared" si="21"/>
        <v>4889.8</v>
      </c>
      <c r="AK25" s="246">
        <f t="shared" si="21"/>
        <v>3512.8</v>
      </c>
      <c r="AL25" s="246">
        <f t="shared" si="21"/>
        <v>2371.8000000000002</v>
      </c>
      <c r="AM25" s="246">
        <f t="shared" si="21"/>
        <v>7743.3000000000011</v>
      </c>
      <c r="AN25" s="246">
        <f t="shared" si="21"/>
        <v>1346.6999999999998</v>
      </c>
      <c r="AO25" s="246">
        <f t="shared" si="21"/>
        <v>13905.400000000001</v>
      </c>
      <c r="AP25" s="246">
        <f t="shared" si="21"/>
        <v>8295.2000000000007</v>
      </c>
      <c r="AQ25" s="246">
        <f t="shared" si="21"/>
        <v>11237.7</v>
      </c>
      <c r="AR25" s="246">
        <f t="shared" si="21"/>
        <v>4944</v>
      </c>
      <c r="AS25" s="246">
        <f t="shared" si="21"/>
        <v>5786.4</v>
      </c>
      <c r="AT25" s="246">
        <f t="shared" si="21"/>
        <v>2692</v>
      </c>
      <c r="AU25" s="246">
        <f t="shared" si="21"/>
        <v>5327.3</v>
      </c>
      <c r="AV25" s="246">
        <f t="shared" si="21"/>
        <v>6438.1</v>
      </c>
      <c r="AW25" s="246">
        <f t="shared" si="21"/>
        <v>4435.8999999999996</v>
      </c>
      <c r="AX25" s="246">
        <f t="shared" si="21"/>
        <v>10160.099999999999</v>
      </c>
      <c r="AY25" s="246">
        <f t="shared" si="21"/>
        <v>7310.1</v>
      </c>
      <c r="AZ25" s="246">
        <f t="shared" si="21"/>
        <v>4533.7</v>
      </c>
      <c r="BA25" s="246">
        <f t="shared" si="21"/>
        <v>8789.9000000000015</v>
      </c>
      <c r="BB25" s="246">
        <f t="shared" ref="BB25:BH25" si="22">+BB30+BB33+BB36+BB39</f>
        <v>9177.9</v>
      </c>
      <c r="BC25" s="246">
        <f t="shared" si="22"/>
        <v>5945</v>
      </c>
      <c r="BD25" s="246">
        <f t="shared" si="22"/>
        <v>10821.099999999999</v>
      </c>
      <c r="BE25" s="246">
        <f t="shared" si="22"/>
        <v>9596.7999999999993</v>
      </c>
      <c r="BF25" s="246">
        <f t="shared" si="22"/>
        <v>6620.2</v>
      </c>
      <c r="BG25" s="246">
        <f t="shared" si="22"/>
        <v>3539.7999999999997</v>
      </c>
      <c r="BH25" s="246">
        <f t="shared" si="22"/>
        <v>4258</v>
      </c>
      <c r="BI25" s="246">
        <f t="shared" ref="BI25" si="23">+BI30+BI33+BI36+BI39</f>
        <v>8304</v>
      </c>
      <c r="BJ25" s="246">
        <f t="shared" ref="BJ25:BP25" si="24">+BJ30+BJ33+BJ36+BJ39</f>
        <v>6093.8</v>
      </c>
      <c r="BK25" s="246">
        <f t="shared" si="24"/>
        <v>8662.7000000000007</v>
      </c>
      <c r="BL25" s="246">
        <f t="shared" si="24"/>
        <v>13105.5</v>
      </c>
      <c r="BM25" s="246">
        <f t="shared" si="24"/>
        <v>1966.9</v>
      </c>
      <c r="BN25" s="246">
        <f t="shared" si="24"/>
        <v>6336.1</v>
      </c>
      <c r="BO25" s="246">
        <f t="shared" si="24"/>
        <v>7291.9</v>
      </c>
      <c r="BP25" s="246">
        <f t="shared" si="24"/>
        <v>7052.6</v>
      </c>
      <c r="BQ25" s="246">
        <f t="shared" ref="BQ25:CA25" si="25">+BQ30+BQ33+BQ36+BQ39</f>
        <v>15295.800000000001</v>
      </c>
      <c r="BR25" s="246">
        <f t="shared" si="25"/>
        <v>6704.1</v>
      </c>
      <c r="BS25" s="246">
        <f t="shared" si="25"/>
        <v>15548.8</v>
      </c>
      <c r="BT25" s="246">
        <f t="shared" si="25"/>
        <v>8202.5</v>
      </c>
      <c r="BU25" s="246">
        <f t="shared" si="25"/>
        <v>9307.4</v>
      </c>
      <c r="BV25" s="246">
        <f t="shared" si="25"/>
        <v>7504.4000000000005</v>
      </c>
      <c r="BW25" s="246">
        <f t="shared" si="25"/>
        <v>14734.699999999999</v>
      </c>
      <c r="BX25" s="246">
        <f t="shared" si="25"/>
        <v>9703.1</v>
      </c>
      <c r="BY25" s="246">
        <f t="shared" si="25"/>
        <v>12106.299999999997</v>
      </c>
      <c r="BZ25" s="246">
        <f t="shared" si="25"/>
        <v>12700.4</v>
      </c>
      <c r="CA25" s="246">
        <f t="shared" si="25"/>
        <v>25565.5</v>
      </c>
      <c r="CB25" s="246">
        <v>13924.099999999999</v>
      </c>
      <c r="CC25" s="246">
        <f t="shared" ref="CC25:CJ25" si="26">+CC30+CC33+CC36+CC39</f>
        <v>15807.9</v>
      </c>
      <c r="CD25" s="246">
        <f t="shared" si="26"/>
        <v>20443.700000000004</v>
      </c>
      <c r="CE25" s="246">
        <f t="shared" si="26"/>
        <v>10157.700000000001</v>
      </c>
      <c r="CF25" s="246">
        <f t="shared" si="26"/>
        <v>10958.900000000001</v>
      </c>
      <c r="CG25" s="246">
        <f t="shared" si="26"/>
        <v>16753.8</v>
      </c>
      <c r="CH25" s="246">
        <f t="shared" si="26"/>
        <v>15555.300000000001</v>
      </c>
      <c r="CI25" s="246">
        <f t="shared" ref="CI25" si="27">+CI30+CI33+CI36+CI39</f>
        <v>18032.599999999999</v>
      </c>
      <c r="CJ25" s="246">
        <f t="shared" si="26"/>
        <v>11422.5</v>
      </c>
      <c r="CK25" s="374">
        <f>+CJ25/$CJ$14</f>
        <v>0.99998249100475367</v>
      </c>
    </row>
    <row r="26" spans="1:89" s="225" customFormat="1" ht="9" customHeight="1" x14ac:dyDescent="0.35">
      <c r="A26" s="173"/>
      <c r="B26" s="103"/>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c r="CI26" s="104"/>
      <c r="CJ26" s="104"/>
      <c r="CK26" s="97"/>
    </row>
    <row r="27" spans="1:89" s="225" customFormat="1" x14ac:dyDescent="0.3">
      <c r="A27" s="173"/>
      <c r="B27" s="378" t="s">
        <v>350</v>
      </c>
      <c r="C27" s="379">
        <f>+C31+C34+C37+C40</f>
        <v>5401.3</v>
      </c>
      <c r="D27" s="379">
        <f t="shared" ref="D27:BA28" si="28">+D31+D34+D37+D40</f>
        <v>9034.4</v>
      </c>
      <c r="E27" s="379">
        <f t="shared" si="28"/>
        <v>9004.4000000000015</v>
      </c>
      <c r="F27" s="379">
        <f t="shared" si="28"/>
        <v>10066.700000000001</v>
      </c>
      <c r="G27" s="379">
        <f t="shared" si="28"/>
        <v>10884.2</v>
      </c>
      <c r="H27" s="379">
        <f t="shared" si="28"/>
        <v>7214.8</v>
      </c>
      <c r="I27" s="379">
        <f t="shared" si="28"/>
        <v>6954.5</v>
      </c>
      <c r="J27" s="379">
        <f t="shared" si="28"/>
        <v>4805.7999999999993</v>
      </c>
      <c r="K27" s="379">
        <f t="shared" si="28"/>
        <v>2355</v>
      </c>
      <c r="L27" s="379">
        <f t="shared" si="28"/>
        <v>2410.5</v>
      </c>
      <c r="M27" s="379">
        <f t="shared" si="28"/>
        <v>4739.3999999999996</v>
      </c>
      <c r="N27" s="379">
        <f t="shared" si="28"/>
        <v>4049.2</v>
      </c>
      <c r="O27" s="379">
        <f t="shared" si="28"/>
        <v>1405.7</v>
      </c>
      <c r="P27" s="379">
        <f t="shared" si="28"/>
        <v>1804.3000000000002</v>
      </c>
      <c r="Q27" s="379">
        <f t="shared" si="28"/>
        <v>4786.7000000000007</v>
      </c>
      <c r="R27" s="379">
        <f t="shared" si="28"/>
        <v>3037.3</v>
      </c>
      <c r="S27" s="379">
        <f t="shared" si="28"/>
        <v>1878.5</v>
      </c>
      <c r="T27" s="379">
        <f t="shared" si="28"/>
        <v>4277.1000000000004</v>
      </c>
      <c r="U27" s="379">
        <f t="shared" si="28"/>
        <v>3264.6</v>
      </c>
      <c r="V27" s="379">
        <f t="shared" si="28"/>
        <v>2646.4</v>
      </c>
      <c r="W27" s="379">
        <f t="shared" si="28"/>
        <v>3098.2</v>
      </c>
      <c r="X27" s="379">
        <f t="shared" si="28"/>
        <v>4079.3000000000006</v>
      </c>
      <c r="Y27" s="379">
        <f t="shared" si="28"/>
        <v>5788.7</v>
      </c>
      <c r="Z27" s="379">
        <f t="shared" si="28"/>
        <v>4519</v>
      </c>
      <c r="AA27" s="379">
        <f t="shared" si="28"/>
        <v>2679.9999999999995</v>
      </c>
      <c r="AB27" s="379">
        <f t="shared" si="28"/>
        <v>3505.4</v>
      </c>
      <c r="AC27" s="379">
        <f t="shared" si="28"/>
        <v>4162.8</v>
      </c>
      <c r="AD27" s="379">
        <f t="shared" si="28"/>
        <v>2880.7000000000003</v>
      </c>
      <c r="AE27" s="379">
        <f t="shared" si="28"/>
        <v>3275.4999999999995</v>
      </c>
      <c r="AF27" s="379">
        <f t="shared" si="28"/>
        <v>5247.5</v>
      </c>
      <c r="AG27" s="379">
        <f t="shared" si="28"/>
        <v>4834.8999999999996</v>
      </c>
      <c r="AH27" s="379">
        <f t="shared" si="28"/>
        <v>4208.8999999999996</v>
      </c>
      <c r="AI27" s="379">
        <f t="shared" si="28"/>
        <v>10540.2</v>
      </c>
      <c r="AJ27" s="379">
        <f t="shared" si="28"/>
        <v>4395.7</v>
      </c>
      <c r="AK27" s="379">
        <f t="shared" si="28"/>
        <v>2552.3999999999996</v>
      </c>
      <c r="AL27" s="379">
        <f t="shared" si="28"/>
        <v>2314.1</v>
      </c>
      <c r="AM27" s="379">
        <f t="shared" si="28"/>
        <v>6619.7000000000007</v>
      </c>
      <c r="AN27" s="379">
        <f t="shared" si="28"/>
        <v>813.59999999999991</v>
      </c>
      <c r="AO27" s="379">
        <f t="shared" si="28"/>
        <v>13630</v>
      </c>
      <c r="AP27" s="379">
        <f t="shared" si="28"/>
        <v>7983.6</v>
      </c>
      <c r="AQ27" s="379">
        <f t="shared" si="28"/>
        <v>10246.299999999999</v>
      </c>
      <c r="AR27" s="379">
        <f t="shared" si="28"/>
        <v>4626</v>
      </c>
      <c r="AS27" s="379">
        <f t="shared" si="28"/>
        <v>4942.8</v>
      </c>
      <c r="AT27" s="379">
        <f t="shared" si="28"/>
        <v>2011.4</v>
      </c>
      <c r="AU27" s="379">
        <f t="shared" si="28"/>
        <v>4961</v>
      </c>
      <c r="AV27" s="379">
        <f t="shared" si="28"/>
        <v>6205.3</v>
      </c>
      <c r="AW27" s="379">
        <f t="shared" si="28"/>
        <v>2896.2</v>
      </c>
      <c r="AX27" s="379">
        <f t="shared" si="28"/>
        <v>9914.1999999999989</v>
      </c>
      <c r="AY27" s="379">
        <f t="shared" si="28"/>
        <v>5859.4</v>
      </c>
      <c r="AZ27" s="379">
        <f t="shared" si="28"/>
        <v>3574</v>
      </c>
      <c r="BA27" s="379">
        <f t="shared" si="28"/>
        <v>8319.4000000000015</v>
      </c>
      <c r="BB27" s="379">
        <f t="shared" ref="BB27:BH27" si="29">+BB31+BB34+BB37+BB40</f>
        <v>8912.2999999999993</v>
      </c>
      <c r="BC27" s="379">
        <f t="shared" si="29"/>
        <v>4336.5</v>
      </c>
      <c r="BD27" s="379">
        <f t="shared" si="29"/>
        <v>10285.699999999999</v>
      </c>
      <c r="BE27" s="379">
        <f t="shared" si="29"/>
        <v>8358.4</v>
      </c>
      <c r="BF27" s="379">
        <f t="shared" si="29"/>
        <v>5536.8</v>
      </c>
      <c r="BG27" s="379">
        <f t="shared" si="29"/>
        <v>3056.6000000000004</v>
      </c>
      <c r="BH27" s="379">
        <f t="shared" si="29"/>
        <v>3619.7999999999997</v>
      </c>
      <c r="BI27" s="379">
        <f t="shared" ref="BI27" si="30">+BI31+BI34+BI37+BI40</f>
        <v>6723.9</v>
      </c>
      <c r="BJ27" s="379">
        <f t="shared" ref="BJ27:BO27" si="31">+BJ31+BJ34+BJ37+BJ40</f>
        <v>5720.6</v>
      </c>
      <c r="BK27" s="379">
        <f t="shared" si="31"/>
        <v>6823.3</v>
      </c>
      <c r="BL27" s="379">
        <f t="shared" si="31"/>
        <v>11976.7</v>
      </c>
      <c r="BM27" s="379">
        <f t="shared" si="31"/>
        <v>1467.1</v>
      </c>
      <c r="BN27" s="379">
        <f t="shared" si="31"/>
        <v>6028.7999999999993</v>
      </c>
      <c r="BO27" s="379">
        <f t="shared" si="31"/>
        <v>5930.5</v>
      </c>
      <c r="BP27" s="379">
        <f t="shared" ref="BP27" si="32">+BP31+BP34+BP37+BP40</f>
        <v>6781.1000000000013</v>
      </c>
      <c r="BQ27" s="379">
        <f t="shared" ref="BQ27:CA27" si="33">+BQ31+BQ34+BQ37+BQ40</f>
        <v>13453.1</v>
      </c>
      <c r="BR27" s="379">
        <f t="shared" si="33"/>
        <v>5623.8</v>
      </c>
      <c r="BS27" s="379">
        <f t="shared" si="33"/>
        <v>15138.8</v>
      </c>
      <c r="BT27" s="379">
        <f t="shared" si="33"/>
        <v>6849.9</v>
      </c>
      <c r="BU27" s="379">
        <f t="shared" si="33"/>
        <v>8153.2999999999993</v>
      </c>
      <c r="BV27" s="379">
        <f t="shared" si="33"/>
        <v>7271.2</v>
      </c>
      <c r="BW27" s="379">
        <f t="shared" si="33"/>
        <v>13820.599999999999</v>
      </c>
      <c r="BX27" s="379">
        <f t="shared" si="33"/>
        <v>8891.5</v>
      </c>
      <c r="BY27" s="379">
        <f t="shared" si="33"/>
        <v>11757.499999999998</v>
      </c>
      <c r="BZ27" s="379">
        <f t="shared" si="33"/>
        <v>12460.1</v>
      </c>
      <c r="CA27" s="379">
        <f t="shared" si="33"/>
        <v>24558.499999999996</v>
      </c>
      <c r="CB27" s="379">
        <v>13511.4</v>
      </c>
      <c r="CC27" s="379">
        <f t="shared" ref="CC27" si="34">+CC31+CC34+CC37+CC40</f>
        <v>14138.199999999999</v>
      </c>
      <c r="CD27" s="379">
        <f t="shared" ref="CD27:CE28" si="35">+CD31+CD34+CD37+CD40</f>
        <v>19570.400000000001</v>
      </c>
      <c r="CE27" s="379">
        <f t="shared" si="35"/>
        <v>9810</v>
      </c>
      <c r="CF27" s="379">
        <f t="shared" ref="CF27:CJ28" si="36">+CF31+CF34+CF37+CF40</f>
        <v>10715.400000000001</v>
      </c>
      <c r="CG27" s="379">
        <f t="shared" si="36"/>
        <v>15664.1</v>
      </c>
      <c r="CH27" s="379">
        <f t="shared" si="36"/>
        <v>15198.7</v>
      </c>
      <c r="CI27" s="379">
        <f t="shared" ref="CI27" si="37">+CI31+CI34+CI37+CI40</f>
        <v>15958.999999999998</v>
      </c>
      <c r="CJ27" s="379">
        <f t="shared" si="36"/>
        <v>10534.9</v>
      </c>
      <c r="CK27" s="376">
        <f>+CJ27/$CJ$14</f>
        <v>0.92227757010163958</v>
      </c>
    </row>
    <row r="28" spans="1:89" s="225" customFormat="1" x14ac:dyDescent="0.3">
      <c r="A28" s="173"/>
      <c r="B28" s="378" t="s">
        <v>351</v>
      </c>
      <c r="C28" s="379">
        <f>+C32+C35+C38+C41</f>
        <v>2348.4999999999995</v>
      </c>
      <c r="D28" s="379">
        <f t="shared" si="28"/>
        <v>316.2</v>
      </c>
      <c r="E28" s="379">
        <f t="shared" si="28"/>
        <v>1468.2999999999997</v>
      </c>
      <c r="F28" s="379">
        <f t="shared" si="28"/>
        <v>2332.9</v>
      </c>
      <c r="G28" s="379">
        <f t="shared" si="28"/>
        <v>2128.3000000000002</v>
      </c>
      <c r="H28" s="379">
        <f t="shared" si="28"/>
        <v>1756.1000000000001</v>
      </c>
      <c r="I28" s="379">
        <f t="shared" si="28"/>
        <v>2147.7000000000003</v>
      </c>
      <c r="J28" s="379">
        <f t="shared" si="28"/>
        <v>1491.2999999999997</v>
      </c>
      <c r="K28" s="379">
        <f t="shared" si="28"/>
        <v>1199.8</v>
      </c>
      <c r="L28" s="379">
        <f t="shared" si="28"/>
        <v>1452.8999999999999</v>
      </c>
      <c r="M28" s="379">
        <f t="shared" si="28"/>
        <v>1355.2</v>
      </c>
      <c r="N28" s="379">
        <f t="shared" si="28"/>
        <v>2392.3000000000002</v>
      </c>
      <c r="O28" s="379">
        <f t="shared" si="28"/>
        <v>1801.1</v>
      </c>
      <c r="P28" s="379">
        <f t="shared" si="28"/>
        <v>684.4</v>
      </c>
      <c r="Q28" s="379">
        <f t="shared" si="28"/>
        <v>769.7</v>
      </c>
      <c r="R28" s="379">
        <f t="shared" si="28"/>
        <v>615.9</v>
      </c>
      <c r="S28" s="379">
        <f t="shared" si="28"/>
        <v>813.3</v>
      </c>
      <c r="T28" s="379">
        <f t="shared" si="28"/>
        <v>656.19999999999993</v>
      </c>
      <c r="U28" s="379">
        <f t="shared" si="28"/>
        <v>236</v>
      </c>
      <c r="V28" s="379">
        <f t="shared" si="28"/>
        <v>643.6</v>
      </c>
      <c r="W28" s="379">
        <f t="shared" si="28"/>
        <v>443.1</v>
      </c>
      <c r="X28" s="379">
        <f t="shared" si="28"/>
        <v>415.4</v>
      </c>
      <c r="Y28" s="379">
        <f t="shared" si="28"/>
        <v>843</v>
      </c>
      <c r="Z28" s="379">
        <f t="shared" si="28"/>
        <v>101.7</v>
      </c>
      <c r="AA28" s="379">
        <f t="shared" si="28"/>
        <v>435</v>
      </c>
      <c r="AB28" s="379">
        <f t="shared" si="28"/>
        <v>457.90000000000003</v>
      </c>
      <c r="AC28" s="379">
        <f t="shared" si="28"/>
        <v>395.1</v>
      </c>
      <c r="AD28" s="379">
        <f t="shared" si="28"/>
        <v>415.79999999999995</v>
      </c>
      <c r="AE28" s="379">
        <f t="shared" si="28"/>
        <v>941.90000000000009</v>
      </c>
      <c r="AF28" s="379">
        <f t="shared" si="28"/>
        <v>480.3</v>
      </c>
      <c r="AG28" s="379">
        <f t="shared" si="28"/>
        <v>456.79999999999995</v>
      </c>
      <c r="AH28" s="379">
        <f t="shared" si="28"/>
        <v>586.6</v>
      </c>
      <c r="AI28" s="379">
        <f t="shared" si="28"/>
        <v>383</v>
      </c>
      <c r="AJ28" s="379">
        <f t="shared" si="28"/>
        <v>494.1</v>
      </c>
      <c r="AK28" s="379">
        <f t="shared" si="28"/>
        <v>960.4</v>
      </c>
      <c r="AL28" s="379">
        <f t="shared" si="28"/>
        <v>57.7</v>
      </c>
      <c r="AM28" s="379">
        <f t="shared" si="28"/>
        <v>1123.5999999999999</v>
      </c>
      <c r="AN28" s="379">
        <f t="shared" si="28"/>
        <v>533.1</v>
      </c>
      <c r="AO28" s="379">
        <f t="shared" si="28"/>
        <v>275.39999999999998</v>
      </c>
      <c r="AP28" s="379">
        <f t="shared" si="28"/>
        <v>311.60000000000002</v>
      </c>
      <c r="AQ28" s="379">
        <f t="shared" si="28"/>
        <v>991.40000000000009</v>
      </c>
      <c r="AR28" s="379">
        <f t="shared" si="28"/>
        <v>318</v>
      </c>
      <c r="AS28" s="379">
        <f t="shared" si="28"/>
        <v>843.6</v>
      </c>
      <c r="AT28" s="379">
        <f t="shared" si="28"/>
        <v>680.6</v>
      </c>
      <c r="AU28" s="379">
        <f t="shared" si="28"/>
        <v>366.3</v>
      </c>
      <c r="AV28" s="379">
        <f t="shared" si="28"/>
        <v>232.79999999999998</v>
      </c>
      <c r="AW28" s="379">
        <f t="shared" si="28"/>
        <v>1539.7</v>
      </c>
      <c r="AX28" s="379">
        <f t="shared" si="28"/>
        <v>245.89999999999998</v>
      </c>
      <c r="AY28" s="379">
        <f t="shared" si="28"/>
        <v>1450.7</v>
      </c>
      <c r="AZ28" s="379">
        <f t="shared" si="28"/>
        <v>959.7</v>
      </c>
      <c r="BA28" s="379">
        <f t="shared" si="28"/>
        <v>470.5</v>
      </c>
      <c r="BB28" s="379">
        <f t="shared" ref="BB28:BH28" si="38">+BB32+BB35+BB38+BB41</f>
        <v>265.60000000000002</v>
      </c>
      <c r="BC28" s="379">
        <f t="shared" si="38"/>
        <v>1608.5</v>
      </c>
      <c r="BD28" s="379">
        <f t="shared" si="38"/>
        <v>535.4</v>
      </c>
      <c r="BE28" s="379">
        <f t="shared" si="38"/>
        <v>1238.3999999999999</v>
      </c>
      <c r="BF28" s="379">
        <f t="shared" si="38"/>
        <v>1083.4000000000001</v>
      </c>
      <c r="BG28" s="379">
        <f t="shared" si="38"/>
        <v>483.20000000000005</v>
      </c>
      <c r="BH28" s="379">
        <f t="shared" si="38"/>
        <v>638.19999999999993</v>
      </c>
      <c r="BI28" s="379">
        <f t="shared" ref="BI28:BO28" si="39">+BI32+BI35+BI38+BI41</f>
        <v>1580.1000000000001</v>
      </c>
      <c r="BJ28" s="379">
        <f t="shared" si="39"/>
        <v>373.19999999999993</v>
      </c>
      <c r="BK28" s="379">
        <f t="shared" si="39"/>
        <v>1839.3999999999999</v>
      </c>
      <c r="BL28" s="379">
        <f t="shared" si="39"/>
        <v>1128.8</v>
      </c>
      <c r="BM28" s="379">
        <f t="shared" si="39"/>
        <v>499.79999999999995</v>
      </c>
      <c r="BN28" s="379">
        <f t="shared" si="39"/>
        <v>307.3</v>
      </c>
      <c r="BO28" s="379">
        <f t="shared" si="39"/>
        <v>1361.4</v>
      </c>
      <c r="BP28" s="379">
        <f t="shared" ref="BP28" si="40">+BP32+BP35+BP38+BP41</f>
        <v>271.5</v>
      </c>
      <c r="BQ28" s="379">
        <f t="shared" ref="BQ28:CA28" si="41">+BQ32+BQ35+BQ38+BQ41</f>
        <v>1842.6999999999998</v>
      </c>
      <c r="BR28" s="379">
        <f t="shared" si="41"/>
        <v>1080.3000000000002</v>
      </c>
      <c r="BS28" s="379">
        <f t="shared" si="41"/>
        <v>410</v>
      </c>
      <c r="BT28" s="379">
        <f t="shared" si="41"/>
        <v>1352.6</v>
      </c>
      <c r="BU28" s="379">
        <f t="shared" si="41"/>
        <v>1154.0999999999999</v>
      </c>
      <c r="BV28" s="379">
        <f t="shared" si="41"/>
        <v>233.2</v>
      </c>
      <c r="BW28" s="379">
        <f t="shared" si="41"/>
        <v>914.09999999999991</v>
      </c>
      <c r="BX28" s="379">
        <f t="shared" si="41"/>
        <v>811.6</v>
      </c>
      <c r="BY28" s="379">
        <f t="shared" si="41"/>
        <v>348.8</v>
      </c>
      <c r="BZ28" s="379">
        <f t="shared" si="41"/>
        <v>240.3</v>
      </c>
      <c r="CA28" s="379">
        <f t="shared" si="41"/>
        <v>1007</v>
      </c>
      <c r="CB28" s="379">
        <v>412.70000000000005</v>
      </c>
      <c r="CC28" s="379">
        <f t="shared" ref="CC28" si="42">+CC32+CC35+CC38+CC41</f>
        <v>1669.7</v>
      </c>
      <c r="CD28" s="379">
        <f t="shared" si="35"/>
        <v>873.3</v>
      </c>
      <c r="CE28" s="379">
        <f t="shared" si="35"/>
        <v>347.70000000000005</v>
      </c>
      <c r="CF28" s="379">
        <f t="shared" ref="CF28:CI28" si="43">+CF32+CF35+CF38+CF41</f>
        <v>243.5</v>
      </c>
      <c r="CG28" s="379">
        <f t="shared" si="43"/>
        <v>1089.7</v>
      </c>
      <c r="CH28" s="379">
        <f t="shared" si="43"/>
        <v>356.6</v>
      </c>
      <c r="CI28" s="379">
        <f t="shared" si="43"/>
        <v>2073.6</v>
      </c>
      <c r="CJ28" s="379">
        <f t="shared" si="36"/>
        <v>887.6</v>
      </c>
      <c r="CK28" s="376">
        <f>+CJ28/$CJ$14</f>
        <v>7.7704920903113969E-2</v>
      </c>
    </row>
    <row r="29" spans="1:89" s="225" customFormat="1" ht="11.4" customHeight="1" x14ac:dyDescent="0.35">
      <c r="A29" s="173"/>
      <c r="B29" s="103"/>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c r="BU29" s="104"/>
      <c r="BV29" s="104"/>
      <c r="BW29" s="104"/>
      <c r="BX29" s="104"/>
      <c r="BY29" s="104"/>
      <c r="BZ29" s="104"/>
      <c r="CA29" s="104"/>
      <c r="CB29" s="104"/>
      <c r="CC29" s="104"/>
      <c r="CD29" s="104"/>
      <c r="CE29" s="104"/>
      <c r="CF29" s="104"/>
      <c r="CG29" s="104"/>
      <c r="CH29" s="104"/>
      <c r="CI29" s="104"/>
      <c r="CJ29" s="104"/>
      <c r="CK29" s="97"/>
    </row>
    <row r="30" spans="1:89" s="225" customFormat="1" x14ac:dyDescent="0.3">
      <c r="A30" s="173"/>
      <c r="B30" s="380" t="s">
        <v>2</v>
      </c>
      <c r="C30" s="379">
        <f>+C31+C32</f>
        <v>3185.3999999999996</v>
      </c>
      <c r="D30" s="379">
        <f t="shared" ref="D30:BA30" si="44">+D31+D32</f>
        <v>3695</v>
      </c>
      <c r="E30" s="379">
        <f t="shared" si="44"/>
        <v>4344.6000000000004</v>
      </c>
      <c r="F30" s="379">
        <f t="shared" si="44"/>
        <v>6506.1</v>
      </c>
      <c r="G30" s="379">
        <f t="shared" si="44"/>
        <v>4138.5</v>
      </c>
      <c r="H30" s="379">
        <f t="shared" si="44"/>
        <v>2793</v>
      </c>
      <c r="I30" s="379">
        <f t="shared" si="44"/>
        <v>2297.4</v>
      </c>
      <c r="J30" s="379">
        <f t="shared" si="44"/>
        <v>3739.2</v>
      </c>
      <c r="K30" s="379">
        <f t="shared" si="44"/>
        <v>930.69999999999993</v>
      </c>
      <c r="L30" s="379">
        <f t="shared" si="44"/>
        <v>1435.3</v>
      </c>
      <c r="M30" s="379">
        <f t="shared" si="44"/>
        <v>896.1</v>
      </c>
      <c r="N30" s="379">
        <f t="shared" si="44"/>
        <v>1809.3000000000002</v>
      </c>
      <c r="O30" s="379">
        <f t="shared" si="44"/>
        <v>1663.3</v>
      </c>
      <c r="P30" s="379">
        <f t="shared" si="44"/>
        <v>269.89999999999998</v>
      </c>
      <c r="Q30" s="379">
        <f t="shared" si="44"/>
        <v>1383.3000000000002</v>
      </c>
      <c r="R30" s="379">
        <f t="shared" si="44"/>
        <v>1079.3</v>
      </c>
      <c r="S30" s="379">
        <f t="shared" si="44"/>
        <v>441.7</v>
      </c>
      <c r="T30" s="379">
        <f t="shared" si="44"/>
        <v>2155.7000000000003</v>
      </c>
      <c r="U30" s="379">
        <f t="shared" si="44"/>
        <v>167.7</v>
      </c>
      <c r="V30" s="379">
        <f t="shared" si="44"/>
        <v>134.80000000000001</v>
      </c>
      <c r="W30" s="379">
        <f t="shared" si="44"/>
        <v>220</v>
      </c>
      <c r="X30" s="379">
        <f t="shared" si="44"/>
        <v>406.90000000000003</v>
      </c>
      <c r="Y30" s="379">
        <f t="shared" si="44"/>
        <v>2360.9</v>
      </c>
      <c r="Z30" s="379">
        <f t="shared" si="44"/>
        <v>66.900000000000006</v>
      </c>
      <c r="AA30" s="379">
        <f t="shared" si="44"/>
        <v>371.2</v>
      </c>
      <c r="AB30" s="379">
        <f t="shared" si="44"/>
        <v>577.9</v>
      </c>
      <c r="AC30" s="379">
        <f t="shared" si="44"/>
        <v>259.7</v>
      </c>
      <c r="AD30" s="379">
        <f t="shared" si="44"/>
        <v>1012.4</v>
      </c>
      <c r="AE30" s="379">
        <f t="shared" si="44"/>
        <v>527.6</v>
      </c>
      <c r="AF30" s="379">
        <f t="shared" si="44"/>
        <v>277.2</v>
      </c>
      <c r="AG30" s="379">
        <f t="shared" si="44"/>
        <v>1391.6</v>
      </c>
      <c r="AH30" s="379">
        <f t="shared" si="44"/>
        <v>2376.3999999999996</v>
      </c>
      <c r="AI30" s="379">
        <f t="shared" si="44"/>
        <v>241.9</v>
      </c>
      <c r="AJ30" s="379">
        <f t="shared" si="44"/>
        <v>950.8</v>
      </c>
      <c r="AK30" s="379">
        <f t="shared" si="44"/>
        <v>970.09999999999991</v>
      </c>
      <c r="AL30" s="379">
        <f t="shared" si="44"/>
        <v>12.299999999999999</v>
      </c>
      <c r="AM30" s="379">
        <f t="shared" si="44"/>
        <v>1055.8</v>
      </c>
      <c r="AN30" s="379">
        <f t="shared" si="44"/>
        <v>143.20000000000002</v>
      </c>
      <c r="AO30" s="379">
        <f t="shared" si="44"/>
        <v>2496.1</v>
      </c>
      <c r="AP30" s="379">
        <f t="shared" si="44"/>
        <v>2068</v>
      </c>
      <c r="AQ30" s="379">
        <f t="shared" si="44"/>
        <v>3981.3999999999996</v>
      </c>
      <c r="AR30" s="379">
        <f t="shared" si="44"/>
        <v>269.89999999999998</v>
      </c>
      <c r="AS30" s="379">
        <f t="shared" si="44"/>
        <v>785.5</v>
      </c>
      <c r="AT30" s="379">
        <f t="shared" si="44"/>
        <v>176</v>
      </c>
      <c r="AU30" s="379">
        <f t="shared" si="44"/>
        <v>987.2</v>
      </c>
      <c r="AV30" s="379">
        <f t="shared" si="44"/>
        <v>199</v>
      </c>
      <c r="AW30" s="379">
        <f t="shared" si="44"/>
        <v>1708.5</v>
      </c>
      <c r="AX30" s="379">
        <f t="shared" si="44"/>
        <v>14.3</v>
      </c>
      <c r="AY30" s="379">
        <f t="shared" si="44"/>
        <v>1719</v>
      </c>
      <c r="AZ30" s="379">
        <f t="shared" si="44"/>
        <v>489.9</v>
      </c>
      <c r="BA30" s="379">
        <f t="shared" si="44"/>
        <v>1568.8000000000002</v>
      </c>
      <c r="BB30" s="379">
        <f t="shared" ref="BB30:BH30" si="45">+BB31+BB32</f>
        <v>1857.5</v>
      </c>
      <c r="BC30" s="379">
        <f t="shared" si="45"/>
        <v>694.5</v>
      </c>
      <c r="BD30" s="379">
        <f t="shared" si="45"/>
        <v>1418.8000000000002</v>
      </c>
      <c r="BE30" s="379">
        <f t="shared" si="45"/>
        <v>2921</v>
      </c>
      <c r="BF30" s="379">
        <f t="shared" si="45"/>
        <v>2149.1999999999998</v>
      </c>
      <c r="BG30" s="379">
        <f t="shared" si="45"/>
        <v>638.09999999999991</v>
      </c>
      <c r="BH30" s="379">
        <f t="shared" si="45"/>
        <v>608.4</v>
      </c>
      <c r="BI30" s="379">
        <f t="shared" ref="BI30" si="46">+BI31+BI32</f>
        <v>580.6</v>
      </c>
      <c r="BJ30" s="379">
        <f t="shared" ref="BJ30:BP30" si="47">+BJ31+BJ32</f>
        <v>3769.3</v>
      </c>
      <c r="BK30" s="379">
        <f t="shared" si="47"/>
        <v>2756</v>
      </c>
      <c r="BL30" s="379">
        <f t="shared" si="47"/>
        <v>9032.1</v>
      </c>
      <c r="BM30" s="379">
        <f t="shared" si="47"/>
        <v>645.20000000000005</v>
      </c>
      <c r="BN30" s="379">
        <f t="shared" si="47"/>
        <v>3774.4</v>
      </c>
      <c r="BO30" s="379">
        <f t="shared" si="47"/>
        <v>3523.2</v>
      </c>
      <c r="BP30" s="379">
        <f t="shared" si="47"/>
        <v>69.699999999999989</v>
      </c>
      <c r="BQ30" s="379">
        <f t="shared" ref="BQ30:CA30" si="48">+BQ31+BQ32</f>
        <v>7683.7000000000007</v>
      </c>
      <c r="BR30" s="379">
        <f t="shared" si="48"/>
        <v>2041.1000000000001</v>
      </c>
      <c r="BS30" s="379">
        <f t="shared" si="48"/>
        <v>366.40000000000003</v>
      </c>
      <c r="BT30" s="379">
        <f t="shared" si="48"/>
        <v>3419.5</v>
      </c>
      <c r="BU30" s="379">
        <f t="shared" si="48"/>
        <v>2377.1</v>
      </c>
      <c r="BV30" s="379">
        <f t="shared" si="48"/>
        <v>976.6</v>
      </c>
      <c r="BW30" s="379">
        <f t="shared" si="48"/>
        <v>9300.1999999999989</v>
      </c>
      <c r="BX30" s="379">
        <f t="shared" si="48"/>
        <v>5483.3</v>
      </c>
      <c r="BY30" s="379">
        <f t="shared" si="48"/>
        <v>1074.4000000000001</v>
      </c>
      <c r="BZ30" s="379">
        <f t="shared" si="48"/>
        <v>1608</v>
      </c>
      <c r="CA30" s="379">
        <f t="shared" si="48"/>
        <v>16205.4</v>
      </c>
      <c r="CB30" s="379">
        <v>5125.7999999999993</v>
      </c>
      <c r="CC30" s="379">
        <f t="shared" ref="CC30:CJ30" si="49">+CC31+CC32</f>
        <v>4231.3999999999996</v>
      </c>
      <c r="CD30" s="379">
        <f t="shared" si="49"/>
        <v>2772.4</v>
      </c>
      <c r="CE30" s="379">
        <f t="shared" si="49"/>
        <v>38.9</v>
      </c>
      <c r="CF30" s="379">
        <f t="shared" si="49"/>
        <v>3301.9</v>
      </c>
      <c r="CG30" s="379">
        <f t="shared" si="49"/>
        <v>1248.3</v>
      </c>
      <c r="CH30" s="379">
        <f t="shared" si="49"/>
        <v>14093.400000000001</v>
      </c>
      <c r="CI30" s="379">
        <f t="shared" ref="CI30" si="50">+CI31+CI32</f>
        <v>8787.5</v>
      </c>
      <c r="CJ30" s="379">
        <f t="shared" si="49"/>
        <v>5245.6</v>
      </c>
      <c r="CK30" s="253">
        <f>+CJ30/$CJ$14</f>
        <v>0.45922592732016071</v>
      </c>
    </row>
    <row r="31" spans="1:89" s="225" customFormat="1" ht="18" x14ac:dyDescent="0.35">
      <c r="A31" s="173"/>
      <c r="B31" s="105" t="s">
        <v>350</v>
      </c>
      <c r="C31" s="106">
        <v>950.2</v>
      </c>
      <c r="D31" s="106">
        <v>3633</v>
      </c>
      <c r="E31" s="106">
        <v>3228.8</v>
      </c>
      <c r="F31" s="106">
        <v>4242.5</v>
      </c>
      <c r="G31" s="106">
        <v>2624.5</v>
      </c>
      <c r="H31" s="106">
        <v>1448.2</v>
      </c>
      <c r="I31" s="106">
        <v>247.1</v>
      </c>
      <c r="J31" s="106">
        <v>2695.9</v>
      </c>
      <c r="K31" s="106">
        <v>76.8</v>
      </c>
      <c r="L31" s="106">
        <v>73</v>
      </c>
      <c r="M31" s="106">
        <v>60.9</v>
      </c>
      <c r="N31" s="106">
        <v>71.900000000000006</v>
      </c>
      <c r="O31" s="106">
        <v>77</v>
      </c>
      <c r="P31" s="106">
        <v>64.7</v>
      </c>
      <c r="Q31" s="106">
        <v>807.1</v>
      </c>
      <c r="R31" s="106">
        <v>647</v>
      </c>
      <c r="S31" s="106">
        <v>56.3</v>
      </c>
      <c r="T31" s="106">
        <v>1759.4</v>
      </c>
      <c r="U31" s="106">
        <v>70.599999999999994</v>
      </c>
      <c r="V31" s="106">
        <v>60.9</v>
      </c>
      <c r="W31" s="106">
        <v>60.6</v>
      </c>
      <c r="X31" s="106">
        <v>70.8</v>
      </c>
      <c r="Y31" s="106">
        <v>1897.2</v>
      </c>
      <c r="Z31" s="106">
        <v>61.9</v>
      </c>
      <c r="AA31" s="106">
        <v>71.2</v>
      </c>
      <c r="AB31" s="106">
        <v>461.2</v>
      </c>
      <c r="AC31" s="106">
        <v>115.7</v>
      </c>
      <c r="AD31" s="106">
        <v>721.4</v>
      </c>
      <c r="AE31" s="106">
        <v>60.5</v>
      </c>
      <c r="AF31" s="106">
        <v>61.2</v>
      </c>
      <c r="AG31" s="106">
        <v>1152.5</v>
      </c>
      <c r="AH31" s="106">
        <v>2244.6999999999998</v>
      </c>
      <c r="AI31" s="106">
        <v>57.6</v>
      </c>
      <c r="AJ31" s="106">
        <v>660.1</v>
      </c>
      <c r="AK31" s="106">
        <v>484.9</v>
      </c>
      <c r="AL31" s="106">
        <v>8.1999999999999993</v>
      </c>
      <c r="AM31" s="106">
        <v>33.200000000000003</v>
      </c>
      <c r="AN31" s="106">
        <v>7.8</v>
      </c>
      <c r="AO31" s="106">
        <v>2299.5</v>
      </c>
      <c r="AP31" s="106">
        <v>1845.3</v>
      </c>
      <c r="AQ31" s="106">
        <v>3414.2</v>
      </c>
      <c r="AR31" s="106">
        <v>8</v>
      </c>
      <c r="AS31" s="106">
        <v>30</v>
      </c>
      <c r="AT31" s="106">
        <v>13.7</v>
      </c>
      <c r="AU31" s="106">
        <v>837.4</v>
      </c>
      <c r="AV31" s="106">
        <v>46.3</v>
      </c>
      <c r="AW31" s="106">
        <v>811</v>
      </c>
      <c r="AX31" s="106">
        <v>7</v>
      </c>
      <c r="AY31" s="106">
        <v>370.6</v>
      </c>
      <c r="AZ31" s="106">
        <v>293.3</v>
      </c>
      <c r="BA31" s="106">
        <v>1482.4</v>
      </c>
      <c r="BB31" s="106">
        <v>1737.8</v>
      </c>
      <c r="BC31" s="106">
        <v>9</v>
      </c>
      <c r="BD31" s="106">
        <v>1146.9000000000001</v>
      </c>
      <c r="BE31" s="106">
        <v>1822.2</v>
      </c>
      <c r="BF31" s="106">
        <v>1933.2</v>
      </c>
      <c r="BG31" s="106">
        <v>577.29999999999995</v>
      </c>
      <c r="BH31" s="106">
        <v>190</v>
      </c>
      <c r="BI31" s="106">
        <v>8.9</v>
      </c>
      <c r="BJ31" s="106">
        <v>3645.4</v>
      </c>
      <c r="BK31" s="106">
        <v>1071.4000000000001</v>
      </c>
      <c r="BL31" s="106">
        <v>8789.3000000000011</v>
      </c>
      <c r="BM31" s="106">
        <v>627.70000000000005</v>
      </c>
      <c r="BN31" s="106">
        <v>3637.1</v>
      </c>
      <c r="BO31" s="106">
        <v>3172.5</v>
      </c>
      <c r="BP31" s="106">
        <v>3.6</v>
      </c>
      <c r="BQ31" s="106">
        <v>5994.6</v>
      </c>
      <c r="BR31" s="106">
        <v>1842.2</v>
      </c>
      <c r="BS31" s="106">
        <v>314.8</v>
      </c>
      <c r="BT31" s="106">
        <v>2261.4</v>
      </c>
      <c r="BU31" s="106">
        <v>2170.4</v>
      </c>
      <c r="BV31" s="106">
        <v>918.1</v>
      </c>
      <c r="BW31" s="106">
        <v>8551.9</v>
      </c>
      <c r="BX31" s="106">
        <v>5378.2</v>
      </c>
      <c r="BY31" s="106">
        <v>1023.6</v>
      </c>
      <c r="BZ31" s="106">
        <v>1541.6</v>
      </c>
      <c r="CA31" s="106">
        <v>16027.5</v>
      </c>
      <c r="CB31" s="106">
        <v>4883.8999999999996</v>
      </c>
      <c r="CC31" s="106">
        <v>2712.4</v>
      </c>
      <c r="CD31" s="106">
        <v>2764.8</v>
      </c>
      <c r="CE31" s="106">
        <v>0.8</v>
      </c>
      <c r="CF31" s="106">
        <v>3290.4</v>
      </c>
      <c r="CG31" s="106">
        <v>1173.8</v>
      </c>
      <c r="CH31" s="106">
        <v>13910.2</v>
      </c>
      <c r="CI31" s="106">
        <v>6881.8</v>
      </c>
      <c r="CJ31" s="106">
        <v>5241.5</v>
      </c>
      <c r="CK31" s="97"/>
    </row>
    <row r="32" spans="1:89" s="225" customFormat="1" ht="18" x14ac:dyDescent="0.35">
      <c r="A32" s="173"/>
      <c r="B32" s="105" t="s">
        <v>351</v>
      </c>
      <c r="C32" s="106">
        <v>2235.1999999999998</v>
      </c>
      <c r="D32" s="106">
        <v>62</v>
      </c>
      <c r="E32" s="106">
        <v>1115.8</v>
      </c>
      <c r="F32" s="106">
        <v>2263.6</v>
      </c>
      <c r="G32" s="106">
        <v>1514</v>
      </c>
      <c r="H32" s="106">
        <v>1344.8</v>
      </c>
      <c r="I32" s="106">
        <v>2050.3000000000002</v>
      </c>
      <c r="J32" s="106">
        <v>1043.3</v>
      </c>
      <c r="K32" s="106">
        <v>853.9</v>
      </c>
      <c r="L32" s="106">
        <v>1362.3</v>
      </c>
      <c r="M32" s="106">
        <v>835.2</v>
      </c>
      <c r="N32" s="106">
        <v>1737.4</v>
      </c>
      <c r="O32" s="106">
        <v>1586.3</v>
      </c>
      <c r="P32" s="106">
        <v>205.2</v>
      </c>
      <c r="Q32" s="106">
        <v>576.20000000000005</v>
      </c>
      <c r="R32" s="106">
        <v>432.3</v>
      </c>
      <c r="S32" s="106">
        <v>385.4</v>
      </c>
      <c r="T32" s="106">
        <v>396.3</v>
      </c>
      <c r="U32" s="106">
        <v>97.1</v>
      </c>
      <c r="V32" s="106">
        <v>73.900000000000006</v>
      </c>
      <c r="W32" s="106">
        <v>159.4</v>
      </c>
      <c r="X32" s="106">
        <v>336.1</v>
      </c>
      <c r="Y32" s="106">
        <v>463.7</v>
      </c>
      <c r="Z32" s="106">
        <v>5</v>
      </c>
      <c r="AA32" s="106">
        <v>300</v>
      </c>
      <c r="AB32" s="106">
        <v>116.7</v>
      </c>
      <c r="AC32" s="106">
        <v>144</v>
      </c>
      <c r="AD32" s="106">
        <v>291</v>
      </c>
      <c r="AE32" s="106">
        <v>467.1</v>
      </c>
      <c r="AF32" s="106">
        <v>216</v>
      </c>
      <c r="AG32" s="106">
        <v>239.1</v>
      </c>
      <c r="AH32" s="106">
        <v>131.69999999999999</v>
      </c>
      <c r="AI32" s="106">
        <v>184.3</v>
      </c>
      <c r="AJ32" s="106">
        <v>290.7</v>
      </c>
      <c r="AK32" s="106">
        <v>485.2</v>
      </c>
      <c r="AL32" s="106">
        <v>4.0999999999999996</v>
      </c>
      <c r="AM32" s="106">
        <v>1022.6</v>
      </c>
      <c r="AN32" s="106">
        <v>135.4</v>
      </c>
      <c r="AO32" s="106">
        <v>196.6</v>
      </c>
      <c r="AP32" s="106">
        <v>222.7</v>
      </c>
      <c r="AQ32" s="106">
        <v>567.20000000000005</v>
      </c>
      <c r="AR32" s="106">
        <v>261.89999999999998</v>
      </c>
      <c r="AS32" s="106">
        <v>755.5</v>
      </c>
      <c r="AT32" s="106">
        <v>162.30000000000001</v>
      </c>
      <c r="AU32" s="106">
        <v>149.80000000000001</v>
      </c>
      <c r="AV32" s="106">
        <v>152.69999999999999</v>
      </c>
      <c r="AW32" s="106">
        <v>897.5</v>
      </c>
      <c r="AX32" s="106">
        <v>7.3</v>
      </c>
      <c r="AY32" s="106">
        <v>1348.4</v>
      </c>
      <c r="AZ32" s="106">
        <v>196.6</v>
      </c>
      <c r="BA32" s="106">
        <v>86.4</v>
      </c>
      <c r="BB32" s="106">
        <v>119.7</v>
      </c>
      <c r="BC32" s="106">
        <v>685.5</v>
      </c>
      <c r="BD32" s="106">
        <v>271.89999999999998</v>
      </c>
      <c r="BE32" s="106">
        <v>1098.8</v>
      </c>
      <c r="BF32" s="106">
        <v>216</v>
      </c>
      <c r="BG32" s="106">
        <v>60.8</v>
      </c>
      <c r="BH32" s="106">
        <v>418.4</v>
      </c>
      <c r="BI32" s="106">
        <v>571.70000000000005</v>
      </c>
      <c r="BJ32" s="106">
        <v>123.9</v>
      </c>
      <c r="BK32" s="106">
        <v>1684.6</v>
      </c>
      <c r="BL32" s="106">
        <v>242.8</v>
      </c>
      <c r="BM32" s="106">
        <v>17.5</v>
      </c>
      <c r="BN32" s="106">
        <v>137.30000000000001</v>
      </c>
      <c r="BO32" s="106">
        <v>350.7</v>
      </c>
      <c r="BP32" s="106">
        <v>66.099999999999994</v>
      </c>
      <c r="BQ32" s="106">
        <v>1689.1</v>
      </c>
      <c r="BR32" s="106">
        <v>198.9</v>
      </c>
      <c r="BS32" s="106">
        <v>51.6</v>
      </c>
      <c r="BT32" s="106">
        <v>1158.0999999999999</v>
      </c>
      <c r="BU32" s="106">
        <v>206.7</v>
      </c>
      <c r="BV32" s="106">
        <v>58.5</v>
      </c>
      <c r="BW32" s="106">
        <v>748.3</v>
      </c>
      <c r="BX32" s="106">
        <v>105.1</v>
      </c>
      <c r="BY32" s="106">
        <v>50.8</v>
      </c>
      <c r="BZ32" s="106">
        <v>66.400000000000006</v>
      </c>
      <c r="CA32" s="106">
        <v>177.9</v>
      </c>
      <c r="CB32" s="106">
        <v>241.9</v>
      </c>
      <c r="CC32" s="106">
        <v>1519</v>
      </c>
      <c r="CD32" s="106">
        <v>7.6</v>
      </c>
      <c r="CE32" s="106">
        <v>38.1</v>
      </c>
      <c r="CF32" s="106">
        <v>11.5</v>
      </c>
      <c r="CG32" s="106">
        <v>74.5</v>
      </c>
      <c r="CH32" s="106">
        <v>183.2</v>
      </c>
      <c r="CI32" s="106">
        <v>1905.7</v>
      </c>
      <c r="CJ32" s="106">
        <v>4.0999999999999996</v>
      </c>
      <c r="CK32" s="97"/>
    </row>
    <row r="33" spans="1:89" s="225" customFormat="1" x14ac:dyDescent="0.3">
      <c r="A33" s="173"/>
      <c r="B33" s="380" t="s">
        <v>31</v>
      </c>
      <c r="C33" s="379">
        <f>+C34+C35</f>
        <v>3593.2999999999997</v>
      </c>
      <c r="D33" s="379">
        <f t="shared" ref="D33:BA33" si="51">+D34+D35</f>
        <v>4784.8</v>
      </c>
      <c r="E33" s="379">
        <f t="shared" si="51"/>
        <v>3179</v>
      </c>
      <c r="F33" s="379">
        <f t="shared" si="51"/>
        <v>4979.6000000000004</v>
      </c>
      <c r="G33" s="379">
        <f t="shared" si="51"/>
        <v>5308.1</v>
      </c>
      <c r="H33" s="379">
        <f t="shared" si="51"/>
        <v>4955.1000000000004</v>
      </c>
      <c r="I33" s="379">
        <f t="shared" si="51"/>
        <v>6164.6</v>
      </c>
      <c r="J33" s="379">
        <f t="shared" si="51"/>
        <v>2031.1</v>
      </c>
      <c r="K33" s="379">
        <f t="shared" si="51"/>
        <v>2055</v>
      </c>
      <c r="L33" s="379">
        <f t="shared" si="51"/>
        <v>1811.3</v>
      </c>
      <c r="M33" s="379">
        <f t="shared" si="51"/>
        <v>1695.3</v>
      </c>
      <c r="N33" s="379">
        <f t="shared" si="51"/>
        <v>3490.4</v>
      </c>
      <c r="O33" s="379">
        <f t="shared" si="51"/>
        <v>745.80000000000007</v>
      </c>
      <c r="P33" s="379">
        <f t="shared" si="51"/>
        <v>1072.8</v>
      </c>
      <c r="Q33" s="379">
        <f t="shared" si="51"/>
        <v>1750.1000000000001</v>
      </c>
      <c r="R33" s="379">
        <f t="shared" si="51"/>
        <v>1329</v>
      </c>
      <c r="S33" s="379">
        <f t="shared" si="51"/>
        <v>1023.5</v>
      </c>
      <c r="T33" s="379">
        <f t="shared" si="51"/>
        <v>1914.9</v>
      </c>
      <c r="U33" s="379">
        <f t="shared" si="51"/>
        <v>2795.1</v>
      </c>
      <c r="V33" s="379">
        <f t="shared" si="51"/>
        <v>2648.4</v>
      </c>
      <c r="W33" s="379">
        <f t="shared" si="51"/>
        <v>2847.3</v>
      </c>
      <c r="X33" s="379">
        <f t="shared" si="51"/>
        <v>2307.1</v>
      </c>
      <c r="Y33" s="379">
        <f t="shared" si="51"/>
        <v>2126.2999999999997</v>
      </c>
      <c r="Z33" s="379">
        <f t="shared" si="51"/>
        <v>2810.2999999999997</v>
      </c>
      <c r="AA33" s="379">
        <f t="shared" si="51"/>
        <v>2397.6999999999998</v>
      </c>
      <c r="AB33" s="379">
        <f t="shared" si="51"/>
        <v>2342.5</v>
      </c>
      <c r="AC33" s="379">
        <f t="shared" si="51"/>
        <v>1793.1</v>
      </c>
      <c r="AD33" s="379">
        <f t="shared" si="51"/>
        <v>1585.9</v>
      </c>
      <c r="AE33" s="379">
        <f t="shared" si="51"/>
        <v>2907.1</v>
      </c>
      <c r="AF33" s="379">
        <f t="shared" si="51"/>
        <v>2286.6000000000004</v>
      </c>
      <c r="AG33" s="379">
        <f t="shared" si="51"/>
        <v>1971.3999999999999</v>
      </c>
      <c r="AH33" s="379">
        <f t="shared" si="51"/>
        <v>948.19999999999993</v>
      </c>
      <c r="AI33" s="379">
        <f t="shared" si="51"/>
        <v>2764.7</v>
      </c>
      <c r="AJ33" s="379">
        <f t="shared" si="51"/>
        <v>3035.9</v>
      </c>
      <c r="AK33" s="379">
        <f t="shared" si="51"/>
        <v>1910.5</v>
      </c>
      <c r="AL33" s="379">
        <f t="shared" si="51"/>
        <v>310.10000000000002</v>
      </c>
      <c r="AM33" s="379">
        <f t="shared" si="51"/>
        <v>5637.6</v>
      </c>
      <c r="AN33" s="379">
        <f t="shared" si="51"/>
        <v>93.3</v>
      </c>
      <c r="AO33" s="379">
        <f t="shared" si="51"/>
        <v>6207.5</v>
      </c>
      <c r="AP33" s="379">
        <f t="shared" si="51"/>
        <v>4463.2</v>
      </c>
      <c r="AQ33" s="379">
        <f t="shared" si="51"/>
        <v>3781.1</v>
      </c>
      <c r="AR33" s="379">
        <f t="shared" si="51"/>
        <v>1769.9</v>
      </c>
      <c r="AS33" s="379">
        <f t="shared" si="51"/>
        <v>2797.5</v>
      </c>
      <c r="AT33" s="379">
        <f t="shared" si="51"/>
        <v>1731.3</v>
      </c>
      <c r="AU33" s="379">
        <f t="shared" si="51"/>
        <v>1240.6000000000001</v>
      </c>
      <c r="AV33" s="379">
        <f t="shared" si="51"/>
        <v>1811.3</v>
      </c>
      <c r="AW33" s="379">
        <f t="shared" si="51"/>
        <v>1108.5</v>
      </c>
      <c r="AX33" s="379">
        <f t="shared" si="51"/>
        <v>3367.2</v>
      </c>
      <c r="AY33" s="379">
        <f t="shared" si="51"/>
        <v>2321.8000000000002</v>
      </c>
      <c r="AZ33" s="379">
        <f t="shared" si="51"/>
        <v>2698.2</v>
      </c>
      <c r="BA33" s="379">
        <f t="shared" si="51"/>
        <v>1928.7</v>
      </c>
      <c r="BB33" s="379">
        <f t="shared" ref="BB33:BH33" si="52">+BB34+BB35</f>
        <v>3534.8999999999996</v>
      </c>
      <c r="BC33" s="379">
        <f t="shared" si="52"/>
        <v>3835.2</v>
      </c>
      <c r="BD33" s="379">
        <f t="shared" si="52"/>
        <v>3764.1</v>
      </c>
      <c r="BE33" s="379">
        <f t="shared" si="52"/>
        <v>2944</v>
      </c>
      <c r="BF33" s="379">
        <f t="shared" si="52"/>
        <v>214.1</v>
      </c>
      <c r="BG33" s="379">
        <f t="shared" si="52"/>
        <v>2348.6999999999998</v>
      </c>
      <c r="BH33" s="379">
        <f t="shared" si="52"/>
        <v>3137.6</v>
      </c>
      <c r="BI33" s="379">
        <f t="shared" ref="BI33" si="53">+BI34+BI35</f>
        <v>3701.2</v>
      </c>
      <c r="BJ33" s="379">
        <f t="shared" ref="BJ33:BQ33" si="54">+BJ34+BJ35</f>
        <v>221.3</v>
      </c>
      <c r="BK33" s="379">
        <f t="shared" si="54"/>
        <v>3308.9</v>
      </c>
      <c r="BL33" s="379">
        <f t="shared" si="54"/>
        <v>2076.1999999999998</v>
      </c>
      <c r="BM33" s="379">
        <f t="shared" si="54"/>
        <v>212.3</v>
      </c>
      <c r="BN33" s="379">
        <f t="shared" si="54"/>
        <v>7</v>
      </c>
      <c r="BO33" s="379">
        <f t="shared" si="54"/>
        <v>1674.5</v>
      </c>
      <c r="BP33" s="379">
        <f t="shared" si="54"/>
        <v>5942.3</v>
      </c>
      <c r="BQ33" s="379">
        <f t="shared" si="54"/>
        <v>6374.9</v>
      </c>
      <c r="BR33" s="379">
        <f t="shared" ref="BR33:CA33" si="55">+BR34+BR35</f>
        <v>3535.3</v>
      </c>
      <c r="BS33" s="379">
        <f t="shared" si="55"/>
        <v>14238.9</v>
      </c>
      <c r="BT33" s="379">
        <f t="shared" si="55"/>
        <v>4440.3999999999996</v>
      </c>
      <c r="BU33" s="379">
        <f t="shared" si="55"/>
        <v>5685.9</v>
      </c>
      <c r="BV33" s="379">
        <f t="shared" si="55"/>
        <v>5131</v>
      </c>
      <c r="BW33" s="379">
        <f t="shared" si="55"/>
        <v>4335.7</v>
      </c>
      <c r="BX33" s="379">
        <f t="shared" si="55"/>
        <v>3305.3</v>
      </c>
      <c r="BY33" s="379">
        <f t="shared" si="55"/>
        <v>9101.2999999999993</v>
      </c>
      <c r="BZ33" s="379">
        <f t="shared" si="55"/>
        <v>10370.799999999999</v>
      </c>
      <c r="CA33" s="379">
        <f t="shared" si="55"/>
        <v>7777.3</v>
      </c>
      <c r="CB33" s="379">
        <v>7958</v>
      </c>
      <c r="CC33" s="379">
        <f t="shared" ref="CC33:CJ33" si="56">+CC34+CC35</f>
        <v>11026.1</v>
      </c>
      <c r="CD33" s="379">
        <f t="shared" si="56"/>
        <v>16582.400000000001</v>
      </c>
      <c r="CE33" s="379">
        <f t="shared" si="56"/>
        <v>9124.7000000000007</v>
      </c>
      <c r="CF33" s="379">
        <f t="shared" si="56"/>
        <v>7267.8</v>
      </c>
      <c r="CG33" s="379">
        <f t="shared" si="56"/>
        <v>14212.1</v>
      </c>
      <c r="CH33" s="379">
        <f t="shared" si="56"/>
        <v>391.5</v>
      </c>
      <c r="CI33" s="379">
        <f t="shared" ref="CI33" si="57">+CI34+CI35</f>
        <v>8356</v>
      </c>
      <c r="CJ33" s="379">
        <f t="shared" si="56"/>
        <v>5125</v>
      </c>
      <c r="CK33" s="253">
        <f>+CJ33/$CJ$14</f>
        <v>0.44866800318663713</v>
      </c>
    </row>
    <row r="34" spans="1:89" s="225" customFormat="1" x14ac:dyDescent="0.3">
      <c r="A34" s="173"/>
      <c r="B34" s="105" t="s">
        <v>350</v>
      </c>
      <c r="C34" s="106">
        <v>3569.1</v>
      </c>
      <c r="D34" s="106">
        <v>4780.7</v>
      </c>
      <c r="E34" s="106">
        <v>2963.9</v>
      </c>
      <c r="F34" s="106">
        <v>4964.8</v>
      </c>
      <c r="G34" s="106">
        <v>5299.3</v>
      </c>
      <c r="H34" s="106">
        <v>4658.5</v>
      </c>
      <c r="I34" s="106">
        <v>6161.6</v>
      </c>
      <c r="J34" s="106">
        <v>1995.5</v>
      </c>
      <c r="K34" s="106">
        <v>1834.9</v>
      </c>
      <c r="L34" s="106">
        <v>1774.3</v>
      </c>
      <c r="M34" s="106">
        <v>1673.1</v>
      </c>
      <c r="N34" s="106">
        <v>2939.3</v>
      </c>
      <c r="O34" s="106">
        <v>689.2</v>
      </c>
      <c r="P34" s="106">
        <v>1012.5</v>
      </c>
      <c r="Q34" s="106">
        <v>1670.2</v>
      </c>
      <c r="R34" s="106">
        <v>1241.9000000000001</v>
      </c>
      <c r="S34" s="106">
        <v>978.9</v>
      </c>
      <c r="T34" s="106">
        <v>1748.4</v>
      </c>
      <c r="U34" s="106">
        <v>2739.1</v>
      </c>
      <c r="V34" s="106">
        <v>2422.8000000000002</v>
      </c>
      <c r="W34" s="106">
        <v>2657.5</v>
      </c>
      <c r="X34" s="106">
        <v>2266.9</v>
      </c>
      <c r="Y34" s="106">
        <v>2116.1</v>
      </c>
      <c r="Z34" s="106">
        <v>2774.2</v>
      </c>
      <c r="AA34" s="106">
        <v>2321.1999999999998</v>
      </c>
      <c r="AB34" s="106">
        <v>2342.5</v>
      </c>
      <c r="AC34" s="106">
        <v>1628</v>
      </c>
      <c r="AD34" s="106">
        <v>1490.5</v>
      </c>
      <c r="AE34" s="106">
        <v>2791.6</v>
      </c>
      <c r="AF34" s="106">
        <v>2079.8000000000002</v>
      </c>
      <c r="AG34" s="106">
        <v>1794.6</v>
      </c>
      <c r="AH34" s="106">
        <v>881.4</v>
      </c>
      <c r="AI34" s="106">
        <v>2652.5</v>
      </c>
      <c r="AJ34" s="106">
        <v>2866.6</v>
      </c>
      <c r="AK34" s="106">
        <v>1881.3</v>
      </c>
      <c r="AL34" s="106">
        <v>310.10000000000002</v>
      </c>
      <c r="AM34" s="106">
        <v>5593.1</v>
      </c>
      <c r="AN34" s="106">
        <v>93.3</v>
      </c>
      <c r="AO34" s="106">
        <v>6207.5</v>
      </c>
      <c r="AP34" s="106">
        <v>4415.8999999999996</v>
      </c>
      <c r="AQ34" s="106">
        <v>3781.1</v>
      </c>
      <c r="AR34" s="106">
        <v>1769.9</v>
      </c>
      <c r="AS34" s="106">
        <v>2746.1</v>
      </c>
      <c r="AT34" s="106">
        <v>1715.8</v>
      </c>
      <c r="AU34" s="106">
        <v>1143.7</v>
      </c>
      <c r="AV34" s="106">
        <v>1811.3</v>
      </c>
      <c r="AW34" s="106">
        <v>1108.5</v>
      </c>
      <c r="AX34" s="106">
        <v>3249.5</v>
      </c>
      <c r="AY34" s="106">
        <v>2321.8000000000002</v>
      </c>
      <c r="AZ34" s="106">
        <v>2698.2</v>
      </c>
      <c r="BA34" s="106">
        <v>1797.9</v>
      </c>
      <c r="BB34" s="106">
        <v>3534.7</v>
      </c>
      <c r="BC34" s="106">
        <v>3835.2</v>
      </c>
      <c r="BD34" s="106">
        <v>3650.5</v>
      </c>
      <c r="BE34" s="106">
        <v>2944</v>
      </c>
      <c r="BF34" s="106">
        <v>214.1</v>
      </c>
      <c r="BG34" s="106">
        <v>2221</v>
      </c>
      <c r="BH34" s="106">
        <v>3136.7</v>
      </c>
      <c r="BI34" s="106">
        <v>3701.2</v>
      </c>
      <c r="BJ34" s="106">
        <v>148.80000000000001</v>
      </c>
      <c r="BK34" s="106">
        <v>3308.9</v>
      </c>
      <c r="BL34" s="106">
        <v>2076.1999999999998</v>
      </c>
      <c r="BM34" s="106">
        <v>117.4</v>
      </c>
      <c r="BN34" s="106">
        <v>7</v>
      </c>
      <c r="BO34" s="106">
        <v>1674.5</v>
      </c>
      <c r="BP34" s="106">
        <v>5917.1</v>
      </c>
      <c r="BQ34" s="106">
        <v>6374.9</v>
      </c>
      <c r="BR34" s="106">
        <v>3535.3</v>
      </c>
      <c r="BS34" s="106">
        <v>14238.9</v>
      </c>
      <c r="BT34" s="106">
        <v>4440.3999999999996</v>
      </c>
      <c r="BU34" s="106">
        <v>5685.9</v>
      </c>
      <c r="BV34" s="106">
        <v>5131</v>
      </c>
      <c r="BW34" s="106">
        <v>4335.7</v>
      </c>
      <c r="BX34" s="106">
        <v>3305.3</v>
      </c>
      <c r="BY34" s="106">
        <v>9101.2999999999993</v>
      </c>
      <c r="BZ34" s="106">
        <v>10370.799999999999</v>
      </c>
      <c r="CA34" s="106">
        <v>7777.3</v>
      </c>
      <c r="CB34" s="106">
        <v>7958</v>
      </c>
      <c r="CC34" s="106">
        <v>11026.1</v>
      </c>
      <c r="CD34" s="106">
        <v>16582.400000000001</v>
      </c>
      <c r="CE34" s="106">
        <v>9124.7000000000007</v>
      </c>
      <c r="CF34" s="106">
        <v>7267.8</v>
      </c>
      <c r="CG34" s="106">
        <v>14212.1</v>
      </c>
      <c r="CH34" s="106">
        <v>391.5</v>
      </c>
      <c r="CI34" s="106">
        <v>8356</v>
      </c>
      <c r="CJ34" s="106">
        <v>5125</v>
      </c>
      <c r="CK34" s="373"/>
    </row>
    <row r="35" spans="1:89" s="225" customFormat="1" x14ac:dyDescent="0.3">
      <c r="A35" s="173"/>
      <c r="B35" s="105" t="s">
        <v>351</v>
      </c>
      <c r="C35" s="106">
        <v>24.2</v>
      </c>
      <c r="D35" s="106">
        <v>4.0999999999999996</v>
      </c>
      <c r="E35" s="106">
        <v>215.1</v>
      </c>
      <c r="F35" s="106">
        <v>14.8</v>
      </c>
      <c r="G35" s="106">
        <v>8.8000000000000007</v>
      </c>
      <c r="H35" s="106">
        <v>296.60000000000002</v>
      </c>
      <c r="I35" s="106">
        <v>3</v>
      </c>
      <c r="J35" s="106">
        <v>35.6</v>
      </c>
      <c r="K35" s="106">
        <v>220.1</v>
      </c>
      <c r="L35" s="106">
        <v>37</v>
      </c>
      <c r="M35" s="106">
        <v>22.2</v>
      </c>
      <c r="N35" s="106">
        <v>551.1</v>
      </c>
      <c r="O35" s="106">
        <v>56.6</v>
      </c>
      <c r="P35" s="106">
        <v>60.3</v>
      </c>
      <c r="Q35" s="106">
        <v>79.900000000000006</v>
      </c>
      <c r="R35" s="106">
        <v>87.1</v>
      </c>
      <c r="S35" s="106">
        <v>44.6</v>
      </c>
      <c r="T35" s="106">
        <v>166.5</v>
      </c>
      <c r="U35" s="106">
        <v>56</v>
      </c>
      <c r="V35" s="106">
        <v>225.6</v>
      </c>
      <c r="W35" s="106">
        <v>189.8</v>
      </c>
      <c r="X35" s="106">
        <v>40.200000000000003</v>
      </c>
      <c r="Y35" s="106">
        <v>10.199999999999999</v>
      </c>
      <c r="Z35" s="106">
        <v>36.1</v>
      </c>
      <c r="AA35" s="106">
        <v>76.5</v>
      </c>
      <c r="AB35" s="106">
        <v>0</v>
      </c>
      <c r="AC35" s="106">
        <v>165.1</v>
      </c>
      <c r="AD35" s="106">
        <v>95.4</v>
      </c>
      <c r="AE35" s="106">
        <v>115.5</v>
      </c>
      <c r="AF35" s="106">
        <v>206.8</v>
      </c>
      <c r="AG35" s="106">
        <v>176.8</v>
      </c>
      <c r="AH35" s="106">
        <v>66.8</v>
      </c>
      <c r="AI35" s="106">
        <v>112.2</v>
      </c>
      <c r="AJ35" s="106">
        <v>169.3</v>
      </c>
      <c r="AK35" s="106">
        <v>29.2</v>
      </c>
      <c r="AL35" s="106">
        <v>0</v>
      </c>
      <c r="AM35" s="106">
        <v>44.5</v>
      </c>
      <c r="AN35" s="106">
        <v>0</v>
      </c>
      <c r="AO35" s="106">
        <v>0</v>
      </c>
      <c r="AP35" s="106">
        <v>47.3</v>
      </c>
      <c r="AQ35" s="106">
        <v>0</v>
      </c>
      <c r="AR35" s="106">
        <v>0</v>
      </c>
      <c r="AS35" s="106">
        <v>51.4</v>
      </c>
      <c r="AT35" s="106">
        <v>15.5</v>
      </c>
      <c r="AU35" s="106">
        <v>96.9</v>
      </c>
      <c r="AV35" s="106">
        <v>0</v>
      </c>
      <c r="AW35" s="106">
        <v>0</v>
      </c>
      <c r="AX35" s="106">
        <v>117.7</v>
      </c>
      <c r="AY35" s="106">
        <v>0</v>
      </c>
      <c r="AZ35" s="106">
        <v>0</v>
      </c>
      <c r="BA35" s="106">
        <v>130.80000000000001</v>
      </c>
      <c r="BB35" s="106">
        <v>0.2</v>
      </c>
      <c r="BC35" s="106">
        <v>0</v>
      </c>
      <c r="BD35" s="106">
        <v>113.6</v>
      </c>
      <c r="BE35" s="106">
        <v>0</v>
      </c>
      <c r="BF35" s="106">
        <v>0</v>
      </c>
      <c r="BG35" s="106">
        <v>127.7</v>
      </c>
      <c r="BH35" s="106">
        <v>0.9</v>
      </c>
      <c r="BI35" s="106">
        <v>0</v>
      </c>
      <c r="BJ35" s="106">
        <v>72.5</v>
      </c>
      <c r="BK35" s="106">
        <v>0</v>
      </c>
      <c r="BL35" s="106">
        <v>0</v>
      </c>
      <c r="BM35" s="106">
        <v>94.9</v>
      </c>
      <c r="BN35" s="106">
        <v>0</v>
      </c>
      <c r="BO35" s="106">
        <v>0</v>
      </c>
      <c r="BP35" s="106">
        <v>25.2</v>
      </c>
      <c r="BQ35" s="106">
        <v>0</v>
      </c>
      <c r="BR35" s="106">
        <v>0</v>
      </c>
      <c r="BS35" s="106">
        <v>0</v>
      </c>
      <c r="BT35" s="106">
        <v>0</v>
      </c>
      <c r="BU35" s="106">
        <v>0</v>
      </c>
      <c r="BV35" s="106">
        <v>0</v>
      </c>
      <c r="BW35" s="106">
        <v>0</v>
      </c>
      <c r="BX35" s="106">
        <v>0</v>
      </c>
      <c r="BY35" s="106">
        <v>0</v>
      </c>
      <c r="BZ35" s="106">
        <v>0</v>
      </c>
      <c r="CA35" s="106">
        <v>0</v>
      </c>
      <c r="CB35" s="106">
        <v>0</v>
      </c>
      <c r="CC35" s="106">
        <v>0</v>
      </c>
      <c r="CD35" s="106">
        <v>0</v>
      </c>
      <c r="CE35" s="106">
        <v>0</v>
      </c>
      <c r="CF35" s="106">
        <v>0</v>
      </c>
      <c r="CG35" s="106">
        <v>0</v>
      </c>
      <c r="CH35" s="106">
        <v>0</v>
      </c>
      <c r="CI35" s="106">
        <v>0</v>
      </c>
      <c r="CJ35" s="106">
        <v>0</v>
      </c>
      <c r="CK35" s="373"/>
    </row>
    <row r="36" spans="1:89" s="225" customFormat="1" x14ac:dyDescent="0.3">
      <c r="A36" s="173"/>
      <c r="B36" s="380" t="s">
        <v>354</v>
      </c>
      <c r="C36" s="379">
        <f>+C37+C38</f>
        <v>668.2</v>
      </c>
      <c r="D36" s="379">
        <f t="shared" ref="D36:BA36" si="58">+D37+D38</f>
        <v>508.8</v>
      </c>
      <c r="E36" s="379">
        <f t="shared" si="58"/>
        <v>1498.3</v>
      </c>
      <c r="F36" s="379">
        <f t="shared" si="58"/>
        <v>712.2</v>
      </c>
      <c r="G36" s="379">
        <f t="shared" si="58"/>
        <v>1182.5999999999999</v>
      </c>
      <c r="H36" s="379">
        <f t="shared" si="58"/>
        <v>939.8</v>
      </c>
      <c r="I36" s="379">
        <f t="shared" si="58"/>
        <v>331.9</v>
      </c>
      <c r="J36" s="379">
        <f t="shared" si="58"/>
        <v>0</v>
      </c>
      <c r="K36" s="379">
        <f t="shared" si="58"/>
        <v>200</v>
      </c>
      <c r="L36" s="379">
        <f t="shared" si="58"/>
        <v>417</v>
      </c>
      <c r="M36" s="379">
        <f t="shared" si="58"/>
        <v>2856.2</v>
      </c>
      <c r="N36" s="379">
        <f t="shared" si="58"/>
        <v>867.3</v>
      </c>
      <c r="O36" s="379">
        <f t="shared" si="58"/>
        <v>422.5</v>
      </c>
      <c r="P36" s="379">
        <f t="shared" si="58"/>
        <v>470</v>
      </c>
      <c r="Q36" s="379">
        <f t="shared" si="58"/>
        <v>810.4</v>
      </c>
      <c r="R36" s="379">
        <f t="shared" si="58"/>
        <v>554.5</v>
      </c>
      <c r="S36" s="379">
        <f t="shared" si="58"/>
        <v>697.3</v>
      </c>
      <c r="T36" s="379">
        <f t="shared" si="58"/>
        <v>584.20000000000005</v>
      </c>
      <c r="U36" s="379">
        <f t="shared" si="58"/>
        <v>195.9</v>
      </c>
      <c r="V36" s="379">
        <f t="shared" si="58"/>
        <v>0</v>
      </c>
      <c r="W36" s="379">
        <f t="shared" si="58"/>
        <v>150.9</v>
      </c>
      <c r="X36" s="379">
        <f t="shared" si="58"/>
        <v>1607.7</v>
      </c>
      <c r="Y36" s="379">
        <f t="shared" si="58"/>
        <v>1602.2</v>
      </c>
      <c r="Z36" s="379">
        <f t="shared" si="58"/>
        <v>1513.4</v>
      </c>
      <c r="AA36" s="379">
        <f t="shared" si="58"/>
        <v>0</v>
      </c>
      <c r="AB36" s="379">
        <f t="shared" si="58"/>
        <v>553.29999999999995</v>
      </c>
      <c r="AC36" s="379">
        <f t="shared" si="58"/>
        <v>1373</v>
      </c>
      <c r="AD36" s="379">
        <f t="shared" si="58"/>
        <v>534.70000000000005</v>
      </c>
      <c r="AE36" s="379">
        <f t="shared" si="58"/>
        <v>240.7</v>
      </c>
      <c r="AF36" s="379">
        <f t="shared" si="58"/>
        <v>2949.6</v>
      </c>
      <c r="AG36" s="379">
        <f t="shared" si="58"/>
        <v>1408.8</v>
      </c>
      <c r="AH36" s="379">
        <f t="shared" si="58"/>
        <v>894.6</v>
      </c>
      <c r="AI36" s="379">
        <f t="shared" si="58"/>
        <v>5683.6</v>
      </c>
      <c r="AJ36" s="379">
        <f t="shared" si="58"/>
        <v>758</v>
      </c>
      <c r="AK36" s="379">
        <f t="shared" si="58"/>
        <v>0</v>
      </c>
      <c r="AL36" s="379">
        <f t="shared" si="58"/>
        <v>0</v>
      </c>
      <c r="AM36" s="379">
        <f t="shared" si="58"/>
        <v>0</v>
      </c>
      <c r="AN36" s="379">
        <f t="shared" si="58"/>
        <v>378.4</v>
      </c>
      <c r="AO36" s="379">
        <f t="shared" si="58"/>
        <v>1318.1</v>
      </c>
      <c r="AP36" s="379">
        <f t="shared" si="58"/>
        <v>922.1</v>
      </c>
      <c r="AQ36" s="379">
        <f t="shared" si="58"/>
        <v>2876</v>
      </c>
      <c r="AR36" s="379">
        <f t="shared" si="58"/>
        <v>0</v>
      </c>
      <c r="AS36" s="379">
        <f t="shared" si="58"/>
        <v>0</v>
      </c>
      <c r="AT36" s="379">
        <f t="shared" si="58"/>
        <v>74.900000000000006</v>
      </c>
      <c r="AU36" s="379">
        <f t="shared" si="58"/>
        <v>136.69999999999999</v>
      </c>
      <c r="AV36" s="379">
        <f t="shared" si="58"/>
        <v>1688.2</v>
      </c>
      <c r="AW36" s="379">
        <f t="shared" si="58"/>
        <v>800.1</v>
      </c>
      <c r="AX36" s="379">
        <f t="shared" si="58"/>
        <v>3669.5</v>
      </c>
      <c r="AY36" s="379">
        <f t="shared" si="58"/>
        <v>226.3</v>
      </c>
      <c r="AZ36" s="379">
        <f t="shared" si="58"/>
        <v>451.5</v>
      </c>
      <c r="BA36" s="379">
        <f t="shared" si="58"/>
        <v>1002.1</v>
      </c>
      <c r="BB36" s="379">
        <f t="shared" ref="BB36:BH36" si="59">+BB37+BB38</f>
        <v>844.7</v>
      </c>
      <c r="BC36" s="379">
        <f t="shared" si="59"/>
        <v>312.60000000000002</v>
      </c>
      <c r="BD36" s="379">
        <f t="shared" si="59"/>
        <v>2667.4</v>
      </c>
      <c r="BE36" s="379">
        <f t="shared" si="59"/>
        <v>626.9</v>
      </c>
      <c r="BF36" s="379">
        <f t="shared" si="59"/>
        <v>1569.9</v>
      </c>
      <c r="BG36" s="379">
        <f t="shared" si="59"/>
        <v>0</v>
      </c>
      <c r="BH36" s="379">
        <f t="shared" si="59"/>
        <v>0</v>
      </c>
      <c r="BI36" s="379">
        <f t="shared" ref="BI36" si="60">+BI37+BI38</f>
        <v>238.4</v>
      </c>
      <c r="BJ36" s="379">
        <f t="shared" ref="BJ36:BP36" si="61">+BJ37+BJ38</f>
        <v>867.8</v>
      </c>
      <c r="BK36" s="379">
        <f t="shared" si="61"/>
        <v>183.7</v>
      </c>
      <c r="BL36" s="379">
        <f t="shared" si="61"/>
        <v>0</v>
      </c>
      <c r="BM36" s="379">
        <f t="shared" si="61"/>
        <v>269.89999999999998</v>
      </c>
      <c r="BN36" s="379">
        <f t="shared" si="61"/>
        <v>326.7</v>
      </c>
      <c r="BO36" s="379">
        <f t="shared" si="61"/>
        <v>863.8</v>
      </c>
      <c r="BP36" s="379">
        <f t="shared" si="61"/>
        <v>719.6</v>
      </c>
      <c r="BQ36" s="379">
        <f t="shared" ref="BQ36" si="62">+BQ37+BQ38</f>
        <v>122.1</v>
      </c>
      <c r="BR36" s="379">
        <f t="shared" ref="BR36:CA36" si="63">+BR37+BR38</f>
        <v>92.3</v>
      </c>
      <c r="BS36" s="379">
        <f t="shared" si="63"/>
        <v>108.9</v>
      </c>
      <c r="BT36" s="379">
        <f t="shared" si="63"/>
        <v>0</v>
      </c>
      <c r="BU36" s="379">
        <f t="shared" si="63"/>
        <v>79.5</v>
      </c>
      <c r="BV36" s="379">
        <f t="shared" si="63"/>
        <v>1054.7</v>
      </c>
      <c r="BW36" s="379">
        <f t="shared" si="63"/>
        <v>622.6</v>
      </c>
      <c r="BX36" s="379">
        <f t="shared" si="63"/>
        <v>37.9</v>
      </c>
      <c r="BY36" s="379">
        <f t="shared" si="63"/>
        <v>215.3</v>
      </c>
      <c r="BZ36" s="379">
        <f t="shared" si="63"/>
        <v>401.6</v>
      </c>
      <c r="CA36" s="379">
        <f t="shared" si="63"/>
        <v>509.1</v>
      </c>
      <c r="CB36" s="379">
        <v>551.29999999999995</v>
      </c>
      <c r="CC36" s="379">
        <f t="shared" ref="CC36:CJ36" si="64">+CC37+CC38</f>
        <v>90.3</v>
      </c>
      <c r="CD36" s="379">
        <f t="shared" si="64"/>
        <v>63.9</v>
      </c>
      <c r="CE36" s="379">
        <f t="shared" si="64"/>
        <v>76</v>
      </c>
      <c r="CF36" s="379">
        <f t="shared" si="64"/>
        <v>0</v>
      </c>
      <c r="CG36" s="379">
        <f t="shared" si="64"/>
        <v>55.5</v>
      </c>
      <c r="CH36" s="379">
        <f t="shared" si="64"/>
        <v>752.8</v>
      </c>
      <c r="CI36" s="379">
        <f t="shared" ref="CI36" si="65">+CI37+CI38</f>
        <v>441.3</v>
      </c>
      <c r="CJ36" s="379">
        <f t="shared" si="64"/>
        <v>28</v>
      </c>
      <c r="CK36" s="253">
        <f>+CJ36/$CJ$14</f>
        <v>2.4512593344830904E-3</v>
      </c>
    </row>
    <row r="37" spans="1:89" s="225" customFormat="1" x14ac:dyDescent="0.3">
      <c r="A37" s="173"/>
      <c r="B37" s="105" t="s">
        <v>350</v>
      </c>
      <c r="C37" s="106">
        <v>668.2</v>
      </c>
      <c r="D37" s="106">
        <v>508.8</v>
      </c>
      <c r="E37" s="106">
        <v>1498.3</v>
      </c>
      <c r="F37" s="106">
        <v>712.2</v>
      </c>
      <c r="G37" s="106">
        <v>1182.5999999999999</v>
      </c>
      <c r="H37" s="106">
        <v>939.8</v>
      </c>
      <c r="I37" s="106">
        <v>331.9</v>
      </c>
      <c r="J37" s="106">
        <v>0</v>
      </c>
      <c r="K37" s="106">
        <v>200</v>
      </c>
      <c r="L37" s="106">
        <v>417</v>
      </c>
      <c r="M37" s="106">
        <v>2856.2</v>
      </c>
      <c r="N37" s="106">
        <v>867.3</v>
      </c>
      <c r="O37" s="106">
        <v>422.5</v>
      </c>
      <c r="P37" s="106">
        <v>470</v>
      </c>
      <c r="Q37" s="106">
        <v>810.4</v>
      </c>
      <c r="R37" s="106">
        <v>554.5</v>
      </c>
      <c r="S37" s="106">
        <v>697.3</v>
      </c>
      <c r="T37" s="106">
        <v>584.20000000000005</v>
      </c>
      <c r="U37" s="106">
        <v>195.9</v>
      </c>
      <c r="V37" s="106">
        <v>0</v>
      </c>
      <c r="W37" s="106">
        <v>150.9</v>
      </c>
      <c r="X37" s="106">
        <v>1607.7</v>
      </c>
      <c r="Y37" s="106">
        <v>1602.2</v>
      </c>
      <c r="Z37" s="106">
        <v>1513.4</v>
      </c>
      <c r="AA37" s="106">
        <v>0</v>
      </c>
      <c r="AB37" s="106">
        <v>553.29999999999995</v>
      </c>
      <c r="AC37" s="106">
        <v>1373</v>
      </c>
      <c r="AD37" s="106">
        <v>534.70000000000005</v>
      </c>
      <c r="AE37" s="106">
        <v>240.7</v>
      </c>
      <c r="AF37" s="106">
        <v>2949.6</v>
      </c>
      <c r="AG37" s="106">
        <v>1408.8</v>
      </c>
      <c r="AH37" s="106">
        <v>894.6</v>
      </c>
      <c r="AI37" s="106">
        <v>5683.6</v>
      </c>
      <c r="AJ37" s="106">
        <v>758</v>
      </c>
      <c r="AK37" s="106">
        <v>0</v>
      </c>
      <c r="AL37" s="106">
        <v>0</v>
      </c>
      <c r="AM37" s="106">
        <v>0</v>
      </c>
      <c r="AN37" s="106">
        <v>378.4</v>
      </c>
      <c r="AO37" s="106">
        <v>1318.1</v>
      </c>
      <c r="AP37" s="106">
        <v>922.1</v>
      </c>
      <c r="AQ37" s="106">
        <v>2876</v>
      </c>
      <c r="AR37" s="106">
        <v>0</v>
      </c>
      <c r="AS37" s="106">
        <v>0</v>
      </c>
      <c r="AT37" s="106">
        <v>74.900000000000006</v>
      </c>
      <c r="AU37" s="106">
        <v>136.69999999999999</v>
      </c>
      <c r="AV37" s="106">
        <v>1688.2</v>
      </c>
      <c r="AW37" s="106">
        <v>800.1</v>
      </c>
      <c r="AX37" s="106">
        <v>3669.5</v>
      </c>
      <c r="AY37" s="106">
        <v>226.3</v>
      </c>
      <c r="AZ37" s="106">
        <v>451.5</v>
      </c>
      <c r="BA37" s="106">
        <v>1002.1</v>
      </c>
      <c r="BB37" s="106">
        <v>844.7</v>
      </c>
      <c r="BC37" s="106">
        <v>312.60000000000002</v>
      </c>
      <c r="BD37" s="106">
        <v>2667.4</v>
      </c>
      <c r="BE37" s="106">
        <v>626.9</v>
      </c>
      <c r="BF37" s="106">
        <v>1569.9</v>
      </c>
      <c r="BG37" s="106">
        <v>0</v>
      </c>
      <c r="BH37" s="106">
        <v>0</v>
      </c>
      <c r="BI37" s="106">
        <v>238.4</v>
      </c>
      <c r="BJ37" s="106">
        <v>867.8</v>
      </c>
      <c r="BK37" s="106">
        <v>183.7</v>
      </c>
      <c r="BL37" s="106">
        <v>0</v>
      </c>
      <c r="BM37" s="106">
        <v>269.89999999999998</v>
      </c>
      <c r="BN37" s="106">
        <v>326.7</v>
      </c>
      <c r="BO37" s="106">
        <v>863.8</v>
      </c>
      <c r="BP37" s="106">
        <v>719.6</v>
      </c>
      <c r="BQ37" s="106">
        <v>122.1</v>
      </c>
      <c r="BR37" s="106">
        <v>92.3</v>
      </c>
      <c r="BS37" s="106">
        <v>108.9</v>
      </c>
      <c r="BT37" s="106">
        <v>0</v>
      </c>
      <c r="BU37" s="106">
        <v>79.5</v>
      </c>
      <c r="BV37" s="106">
        <v>1054.7</v>
      </c>
      <c r="BW37" s="106">
        <v>622.6</v>
      </c>
      <c r="BX37" s="106">
        <v>37.9</v>
      </c>
      <c r="BY37" s="106">
        <v>215.3</v>
      </c>
      <c r="BZ37" s="106">
        <v>401.6</v>
      </c>
      <c r="CA37" s="106">
        <v>509.1</v>
      </c>
      <c r="CB37" s="106">
        <v>551.29999999999995</v>
      </c>
      <c r="CC37" s="106">
        <v>90.3</v>
      </c>
      <c r="CD37" s="106">
        <v>63.9</v>
      </c>
      <c r="CE37" s="106">
        <v>76</v>
      </c>
      <c r="CF37" s="106">
        <v>0</v>
      </c>
      <c r="CG37" s="106">
        <v>55.5</v>
      </c>
      <c r="CH37" s="106">
        <v>752.8</v>
      </c>
      <c r="CI37" s="106">
        <v>441.3</v>
      </c>
      <c r="CJ37" s="106">
        <v>28</v>
      </c>
      <c r="CK37" s="373"/>
    </row>
    <row r="38" spans="1:89" s="225" customFormat="1" x14ac:dyDescent="0.3">
      <c r="A38" s="173"/>
      <c r="B38" s="105" t="s">
        <v>351</v>
      </c>
      <c r="C38" s="106">
        <v>0</v>
      </c>
      <c r="D38" s="106">
        <v>0</v>
      </c>
      <c r="E38" s="106">
        <v>0</v>
      </c>
      <c r="F38" s="106">
        <v>0</v>
      </c>
      <c r="G38" s="106">
        <v>0</v>
      </c>
      <c r="H38" s="106">
        <v>0</v>
      </c>
      <c r="I38" s="106">
        <v>0</v>
      </c>
      <c r="J38" s="106">
        <v>0</v>
      </c>
      <c r="K38" s="106">
        <v>0</v>
      </c>
      <c r="L38" s="106">
        <v>0</v>
      </c>
      <c r="M38" s="106">
        <v>0</v>
      </c>
      <c r="N38" s="106">
        <v>0</v>
      </c>
      <c r="O38" s="106">
        <v>0</v>
      </c>
      <c r="P38" s="106">
        <v>0</v>
      </c>
      <c r="Q38" s="106">
        <v>0</v>
      </c>
      <c r="R38" s="106">
        <v>0</v>
      </c>
      <c r="S38" s="106">
        <v>0</v>
      </c>
      <c r="T38" s="106">
        <v>0</v>
      </c>
      <c r="U38" s="106">
        <v>0</v>
      </c>
      <c r="V38" s="106">
        <v>0</v>
      </c>
      <c r="W38" s="106">
        <v>0</v>
      </c>
      <c r="X38" s="106">
        <v>0</v>
      </c>
      <c r="Y38" s="106">
        <v>0</v>
      </c>
      <c r="Z38" s="106">
        <v>0</v>
      </c>
      <c r="AA38" s="106">
        <v>0</v>
      </c>
      <c r="AB38" s="106">
        <v>0</v>
      </c>
      <c r="AC38" s="106">
        <v>0</v>
      </c>
      <c r="AD38" s="106">
        <v>0</v>
      </c>
      <c r="AE38" s="106">
        <v>0</v>
      </c>
      <c r="AF38" s="106">
        <v>0</v>
      </c>
      <c r="AG38" s="106">
        <v>0</v>
      </c>
      <c r="AH38" s="106">
        <v>0</v>
      </c>
      <c r="AI38" s="106">
        <v>0</v>
      </c>
      <c r="AJ38" s="106">
        <v>0</v>
      </c>
      <c r="AK38" s="106">
        <v>0</v>
      </c>
      <c r="AL38" s="106">
        <v>0</v>
      </c>
      <c r="AM38" s="106">
        <v>0</v>
      </c>
      <c r="AN38" s="106">
        <v>0</v>
      </c>
      <c r="AO38" s="106">
        <v>0</v>
      </c>
      <c r="AP38" s="106">
        <v>0</v>
      </c>
      <c r="AQ38" s="106">
        <v>0</v>
      </c>
      <c r="AR38" s="106">
        <v>0</v>
      </c>
      <c r="AS38" s="106">
        <v>0</v>
      </c>
      <c r="AT38" s="106">
        <v>0</v>
      </c>
      <c r="AU38" s="106">
        <v>0</v>
      </c>
      <c r="AV38" s="106">
        <v>0</v>
      </c>
      <c r="AW38" s="106">
        <v>0</v>
      </c>
      <c r="AX38" s="106">
        <v>0</v>
      </c>
      <c r="AY38" s="106">
        <v>0</v>
      </c>
      <c r="AZ38" s="106">
        <v>0</v>
      </c>
      <c r="BA38" s="106">
        <v>0</v>
      </c>
      <c r="BB38" s="106">
        <v>0</v>
      </c>
      <c r="BC38" s="106">
        <v>0</v>
      </c>
      <c r="BD38" s="106">
        <v>0</v>
      </c>
      <c r="BE38" s="106">
        <v>0</v>
      </c>
      <c r="BF38" s="106">
        <v>0</v>
      </c>
      <c r="BG38" s="106">
        <v>0</v>
      </c>
      <c r="BH38" s="106">
        <v>0</v>
      </c>
      <c r="BI38" s="106">
        <v>0</v>
      </c>
      <c r="BJ38" s="106">
        <v>0</v>
      </c>
      <c r="BK38" s="106">
        <v>0</v>
      </c>
      <c r="BL38" s="106">
        <v>0</v>
      </c>
      <c r="BM38" s="106">
        <v>0</v>
      </c>
      <c r="BN38" s="106">
        <v>0</v>
      </c>
      <c r="BO38" s="106">
        <v>0</v>
      </c>
      <c r="BP38" s="106">
        <v>0</v>
      </c>
      <c r="BQ38" s="106">
        <v>0</v>
      </c>
      <c r="BR38" s="106">
        <v>0</v>
      </c>
      <c r="BS38" s="106">
        <v>0</v>
      </c>
      <c r="BT38" s="106">
        <v>0</v>
      </c>
      <c r="BU38" s="106">
        <v>0</v>
      </c>
      <c r="BV38" s="106">
        <v>0</v>
      </c>
      <c r="BW38" s="106">
        <v>0</v>
      </c>
      <c r="BX38" s="106">
        <v>0</v>
      </c>
      <c r="BY38" s="106">
        <v>0</v>
      </c>
      <c r="BZ38" s="106">
        <v>0</v>
      </c>
      <c r="CA38" s="106">
        <v>0</v>
      </c>
      <c r="CB38" s="106">
        <v>0</v>
      </c>
      <c r="CC38" s="106">
        <v>0</v>
      </c>
      <c r="CD38" s="106">
        <v>0</v>
      </c>
      <c r="CE38" s="106">
        <v>0</v>
      </c>
      <c r="CF38" s="106">
        <v>0</v>
      </c>
      <c r="CG38" s="106">
        <v>0</v>
      </c>
      <c r="CH38" s="106">
        <v>0</v>
      </c>
      <c r="CI38" s="106">
        <v>0</v>
      </c>
      <c r="CJ38" s="106">
        <v>0</v>
      </c>
      <c r="CK38" s="373"/>
    </row>
    <row r="39" spans="1:89" s="225" customFormat="1" x14ac:dyDescent="0.3">
      <c r="A39" s="173"/>
      <c r="B39" s="380" t="s">
        <v>154</v>
      </c>
      <c r="C39" s="379">
        <f>+C40+C41</f>
        <v>302.89999999999998</v>
      </c>
      <c r="D39" s="379">
        <f t="shared" ref="D39:BA39" si="66">+D40+D41</f>
        <v>362</v>
      </c>
      <c r="E39" s="379">
        <f t="shared" si="66"/>
        <v>1450.8000000000002</v>
      </c>
      <c r="F39" s="379">
        <f t="shared" si="66"/>
        <v>201.7</v>
      </c>
      <c r="G39" s="379">
        <f t="shared" si="66"/>
        <v>2383.3000000000002</v>
      </c>
      <c r="H39" s="379">
        <f t="shared" si="66"/>
        <v>283</v>
      </c>
      <c r="I39" s="379">
        <f t="shared" si="66"/>
        <v>308.3</v>
      </c>
      <c r="J39" s="379">
        <f t="shared" si="66"/>
        <v>526.79999999999995</v>
      </c>
      <c r="K39" s="379">
        <f t="shared" si="66"/>
        <v>369.1</v>
      </c>
      <c r="L39" s="379">
        <f t="shared" si="66"/>
        <v>199.79999999999998</v>
      </c>
      <c r="M39" s="379">
        <f t="shared" si="66"/>
        <v>647</v>
      </c>
      <c r="N39" s="379">
        <f t="shared" si="66"/>
        <v>274.5</v>
      </c>
      <c r="O39" s="379">
        <f t="shared" si="66"/>
        <v>375.2</v>
      </c>
      <c r="P39" s="379">
        <f t="shared" si="66"/>
        <v>676</v>
      </c>
      <c r="Q39" s="379">
        <f t="shared" si="66"/>
        <v>1612.6000000000001</v>
      </c>
      <c r="R39" s="379">
        <f t="shared" si="66"/>
        <v>690.40000000000009</v>
      </c>
      <c r="S39" s="379">
        <f t="shared" si="66"/>
        <v>529.29999999999995</v>
      </c>
      <c r="T39" s="379">
        <f t="shared" si="66"/>
        <v>278.5</v>
      </c>
      <c r="U39" s="379">
        <f t="shared" si="66"/>
        <v>341.9</v>
      </c>
      <c r="V39" s="379">
        <f t="shared" si="66"/>
        <v>506.8</v>
      </c>
      <c r="W39" s="379">
        <f t="shared" si="66"/>
        <v>323.10000000000002</v>
      </c>
      <c r="X39" s="379">
        <f t="shared" si="66"/>
        <v>173</v>
      </c>
      <c r="Y39" s="379">
        <f t="shared" si="66"/>
        <v>542.29999999999995</v>
      </c>
      <c r="Z39" s="379">
        <f t="shared" si="66"/>
        <v>230.1</v>
      </c>
      <c r="AA39" s="379">
        <f t="shared" si="66"/>
        <v>346.1</v>
      </c>
      <c r="AB39" s="379">
        <f t="shared" si="66"/>
        <v>489.6</v>
      </c>
      <c r="AC39" s="379">
        <f t="shared" si="66"/>
        <v>1132.1000000000001</v>
      </c>
      <c r="AD39" s="379">
        <f t="shared" si="66"/>
        <v>163.5</v>
      </c>
      <c r="AE39" s="379">
        <f t="shared" si="66"/>
        <v>542.00000000000011</v>
      </c>
      <c r="AF39" s="379">
        <f t="shared" si="66"/>
        <v>214.4</v>
      </c>
      <c r="AG39" s="379">
        <f t="shared" si="66"/>
        <v>519.90000000000009</v>
      </c>
      <c r="AH39" s="379">
        <f t="shared" si="66"/>
        <v>576.29999999999995</v>
      </c>
      <c r="AI39" s="379">
        <f t="shared" si="66"/>
        <v>2233</v>
      </c>
      <c r="AJ39" s="379">
        <f t="shared" si="66"/>
        <v>145.1</v>
      </c>
      <c r="AK39" s="379">
        <f t="shared" si="66"/>
        <v>632.20000000000005</v>
      </c>
      <c r="AL39" s="379">
        <f t="shared" si="66"/>
        <v>2049.4</v>
      </c>
      <c r="AM39" s="379">
        <f t="shared" si="66"/>
        <v>1049.9000000000001</v>
      </c>
      <c r="AN39" s="379">
        <f t="shared" si="66"/>
        <v>731.8</v>
      </c>
      <c r="AO39" s="379">
        <f t="shared" si="66"/>
        <v>3883.7</v>
      </c>
      <c r="AP39" s="379">
        <f t="shared" si="66"/>
        <v>841.9</v>
      </c>
      <c r="AQ39" s="379">
        <f t="shared" si="66"/>
        <v>599.20000000000005</v>
      </c>
      <c r="AR39" s="379">
        <f t="shared" si="66"/>
        <v>2904.2</v>
      </c>
      <c r="AS39" s="379">
        <f t="shared" si="66"/>
        <v>2203.4</v>
      </c>
      <c r="AT39" s="379">
        <f t="shared" si="66"/>
        <v>709.8</v>
      </c>
      <c r="AU39" s="379">
        <f t="shared" si="66"/>
        <v>2962.8</v>
      </c>
      <c r="AV39" s="379">
        <f t="shared" si="66"/>
        <v>2739.6</v>
      </c>
      <c r="AW39" s="379">
        <f t="shared" si="66"/>
        <v>818.80000000000007</v>
      </c>
      <c r="AX39" s="379">
        <f t="shared" si="66"/>
        <v>3109.0999999999995</v>
      </c>
      <c r="AY39" s="379">
        <f t="shared" si="66"/>
        <v>3043</v>
      </c>
      <c r="AZ39" s="379">
        <f t="shared" si="66"/>
        <v>894.1</v>
      </c>
      <c r="BA39" s="379">
        <f t="shared" si="66"/>
        <v>4290.3</v>
      </c>
      <c r="BB39" s="379">
        <f t="shared" ref="BB39:BH39" si="67">+BB40+BB41</f>
        <v>2940.7999999999997</v>
      </c>
      <c r="BC39" s="379">
        <f t="shared" si="67"/>
        <v>1102.7</v>
      </c>
      <c r="BD39" s="379">
        <f t="shared" si="67"/>
        <v>2970.8</v>
      </c>
      <c r="BE39" s="379">
        <f t="shared" si="67"/>
        <v>3104.9</v>
      </c>
      <c r="BF39" s="379">
        <f t="shared" si="67"/>
        <v>2687</v>
      </c>
      <c r="BG39" s="379">
        <f t="shared" si="67"/>
        <v>553</v>
      </c>
      <c r="BH39" s="379">
        <f t="shared" si="67"/>
        <v>511.99999999999994</v>
      </c>
      <c r="BI39" s="379">
        <f t="shared" ref="BI39" si="68">+BI40+BI41</f>
        <v>3783.8</v>
      </c>
      <c r="BJ39" s="379">
        <f t="shared" ref="BJ39:BP39" si="69">+BJ40+BJ41</f>
        <v>1235.3999999999999</v>
      </c>
      <c r="BK39" s="379">
        <f t="shared" si="69"/>
        <v>2414.1000000000004</v>
      </c>
      <c r="BL39" s="379">
        <f t="shared" si="69"/>
        <v>1997.2</v>
      </c>
      <c r="BM39" s="379">
        <f t="shared" si="69"/>
        <v>839.5</v>
      </c>
      <c r="BN39" s="379">
        <f t="shared" si="69"/>
        <v>2228</v>
      </c>
      <c r="BO39" s="379">
        <f t="shared" si="69"/>
        <v>1230.4000000000001</v>
      </c>
      <c r="BP39" s="379">
        <f t="shared" si="69"/>
        <v>321</v>
      </c>
      <c r="BQ39" s="379">
        <f t="shared" ref="BQ39" si="70">+BQ40+BQ41</f>
        <v>1115.0999999999999</v>
      </c>
      <c r="BR39" s="379">
        <f t="shared" ref="BR39:CA39" si="71">+BR40+BR41</f>
        <v>1035.4000000000001</v>
      </c>
      <c r="BS39" s="379">
        <f t="shared" si="71"/>
        <v>834.59999999999991</v>
      </c>
      <c r="BT39" s="379">
        <f t="shared" si="71"/>
        <v>342.6</v>
      </c>
      <c r="BU39" s="379">
        <f t="shared" si="71"/>
        <v>1164.9000000000001</v>
      </c>
      <c r="BV39" s="379">
        <f t="shared" si="71"/>
        <v>342.09999999999997</v>
      </c>
      <c r="BW39" s="379">
        <f t="shared" si="71"/>
        <v>476.2</v>
      </c>
      <c r="BX39" s="379">
        <f t="shared" si="71"/>
        <v>876.6</v>
      </c>
      <c r="BY39" s="379">
        <f t="shared" si="71"/>
        <v>1715.3</v>
      </c>
      <c r="BZ39" s="379">
        <f t="shared" si="71"/>
        <v>320</v>
      </c>
      <c r="CA39" s="379">
        <f t="shared" si="71"/>
        <v>1073.7</v>
      </c>
      <c r="CB39" s="379">
        <v>289</v>
      </c>
      <c r="CC39" s="379">
        <f t="shared" ref="CC39:CJ39" si="72">+CC40+CC41</f>
        <v>460.09999999999997</v>
      </c>
      <c r="CD39" s="379">
        <f t="shared" si="72"/>
        <v>1025</v>
      </c>
      <c r="CE39" s="379">
        <f t="shared" si="72"/>
        <v>918.1</v>
      </c>
      <c r="CF39" s="379">
        <f t="shared" si="72"/>
        <v>389.2</v>
      </c>
      <c r="CG39" s="379">
        <f t="shared" si="72"/>
        <v>1237.9000000000001</v>
      </c>
      <c r="CH39" s="379">
        <f t="shared" si="72"/>
        <v>317.60000000000002</v>
      </c>
      <c r="CI39" s="379">
        <f t="shared" ref="CI39" si="73">+CI40+CI41</f>
        <v>447.79999999999995</v>
      </c>
      <c r="CJ39" s="379">
        <f t="shared" si="72"/>
        <v>1023.9</v>
      </c>
      <c r="CK39" s="253"/>
    </row>
    <row r="40" spans="1:89" s="225" customFormat="1" x14ac:dyDescent="0.3">
      <c r="A40" s="173"/>
      <c r="B40" s="105" t="s">
        <v>350</v>
      </c>
      <c r="C40" s="106">
        <f>+C46+C49+C52+C55+C58+C43</f>
        <v>213.8</v>
      </c>
      <c r="D40" s="106">
        <f t="shared" ref="D40:BA41" si="74">+D46+D49+D52+D55+D58+D43</f>
        <v>111.9</v>
      </c>
      <c r="E40" s="106">
        <f t="shared" si="74"/>
        <v>1313.4</v>
      </c>
      <c r="F40" s="106">
        <f t="shared" si="74"/>
        <v>147.19999999999999</v>
      </c>
      <c r="G40" s="106">
        <f t="shared" si="74"/>
        <v>1777.8000000000002</v>
      </c>
      <c r="H40" s="106">
        <f t="shared" si="74"/>
        <v>168.3</v>
      </c>
      <c r="I40" s="106">
        <f t="shared" si="74"/>
        <v>213.9</v>
      </c>
      <c r="J40" s="106">
        <f t="shared" si="74"/>
        <v>114.39999999999999</v>
      </c>
      <c r="K40" s="106">
        <f t="shared" si="74"/>
        <v>243.3</v>
      </c>
      <c r="L40" s="106">
        <f t="shared" si="74"/>
        <v>146.19999999999999</v>
      </c>
      <c r="M40" s="106">
        <f t="shared" si="74"/>
        <v>149.19999999999999</v>
      </c>
      <c r="N40" s="106">
        <f t="shared" si="74"/>
        <v>170.7</v>
      </c>
      <c r="O40" s="106">
        <f t="shared" si="74"/>
        <v>217</v>
      </c>
      <c r="P40" s="106">
        <f t="shared" si="74"/>
        <v>257.10000000000002</v>
      </c>
      <c r="Q40" s="106">
        <f t="shared" si="74"/>
        <v>1499.0000000000002</v>
      </c>
      <c r="R40" s="106">
        <f t="shared" si="74"/>
        <v>593.90000000000009</v>
      </c>
      <c r="S40" s="106">
        <f t="shared" si="74"/>
        <v>146</v>
      </c>
      <c r="T40" s="106">
        <f t="shared" si="74"/>
        <v>185.10000000000002</v>
      </c>
      <c r="U40" s="106">
        <f t="shared" si="74"/>
        <v>259</v>
      </c>
      <c r="V40" s="106">
        <f t="shared" si="74"/>
        <v>162.69999999999999</v>
      </c>
      <c r="W40" s="106">
        <f t="shared" si="74"/>
        <v>229.2</v>
      </c>
      <c r="X40" s="106">
        <f t="shared" si="74"/>
        <v>133.9</v>
      </c>
      <c r="Y40" s="106">
        <f t="shared" si="74"/>
        <v>173.2</v>
      </c>
      <c r="Z40" s="106">
        <f t="shared" si="74"/>
        <v>169.5</v>
      </c>
      <c r="AA40" s="106">
        <f t="shared" si="74"/>
        <v>287.60000000000002</v>
      </c>
      <c r="AB40" s="106">
        <f t="shared" si="74"/>
        <v>148.39999999999998</v>
      </c>
      <c r="AC40" s="106">
        <f t="shared" si="74"/>
        <v>1046.1000000000001</v>
      </c>
      <c r="AD40" s="106">
        <f t="shared" si="74"/>
        <v>134.1</v>
      </c>
      <c r="AE40" s="106">
        <f t="shared" si="74"/>
        <v>182.70000000000002</v>
      </c>
      <c r="AF40" s="106">
        <f t="shared" si="74"/>
        <v>156.9</v>
      </c>
      <c r="AG40" s="106">
        <f t="shared" si="74"/>
        <v>479.00000000000006</v>
      </c>
      <c r="AH40" s="106">
        <f t="shared" si="74"/>
        <v>188.2</v>
      </c>
      <c r="AI40" s="106">
        <f t="shared" si="74"/>
        <v>2146.5</v>
      </c>
      <c r="AJ40" s="106">
        <f t="shared" si="74"/>
        <v>111</v>
      </c>
      <c r="AK40" s="106">
        <f t="shared" si="74"/>
        <v>186.2</v>
      </c>
      <c r="AL40" s="106">
        <f t="shared" si="74"/>
        <v>1995.8</v>
      </c>
      <c r="AM40" s="106">
        <f t="shared" si="74"/>
        <v>993.40000000000009</v>
      </c>
      <c r="AN40" s="106">
        <f t="shared" si="74"/>
        <v>334.09999999999997</v>
      </c>
      <c r="AO40" s="106">
        <f t="shared" si="74"/>
        <v>3804.8999999999996</v>
      </c>
      <c r="AP40" s="106">
        <f t="shared" si="74"/>
        <v>800.3</v>
      </c>
      <c r="AQ40" s="106">
        <f t="shared" si="74"/>
        <v>175</v>
      </c>
      <c r="AR40" s="106">
        <f t="shared" si="74"/>
        <v>2848.1</v>
      </c>
      <c r="AS40" s="106">
        <f t="shared" si="74"/>
        <v>2166.7000000000003</v>
      </c>
      <c r="AT40" s="106">
        <f t="shared" si="74"/>
        <v>207</v>
      </c>
      <c r="AU40" s="106">
        <f t="shared" si="74"/>
        <v>2843.2000000000003</v>
      </c>
      <c r="AV40" s="106">
        <f t="shared" si="74"/>
        <v>2659.5</v>
      </c>
      <c r="AW40" s="106">
        <f t="shared" si="74"/>
        <v>176.60000000000002</v>
      </c>
      <c r="AX40" s="106">
        <f t="shared" si="74"/>
        <v>2988.1999999999994</v>
      </c>
      <c r="AY40" s="106">
        <f t="shared" si="74"/>
        <v>2940.7</v>
      </c>
      <c r="AZ40" s="106">
        <f t="shared" si="74"/>
        <v>131</v>
      </c>
      <c r="BA40" s="106">
        <f t="shared" si="74"/>
        <v>4037</v>
      </c>
      <c r="BB40" s="106">
        <f t="shared" ref="BB40:BH40" si="75">+BB46+BB49+BB52+BB55+BB58+BB43</f>
        <v>2795.1</v>
      </c>
      <c r="BC40" s="106">
        <f t="shared" si="75"/>
        <v>179.7</v>
      </c>
      <c r="BD40" s="106">
        <f t="shared" si="75"/>
        <v>2820.9</v>
      </c>
      <c r="BE40" s="106">
        <f t="shared" si="75"/>
        <v>2965.3</v>
      </c>
      <c r="BF40" s="106">
        <f t="shared" si="75"/>
        <v>1819.6</v>
      </c>
      <c r="BG40" s="106">
        <f t="shared" si="75"/>
        <v>258.3</v>
      </c>
      <c r="BH40" s="106">
        <f t="shared" si="75"/>
        <v>293.09999999999997</v>
      </c>
      <c r="BI40" s="106">
        <f t="shared" ref="BI40" si="76">+BI46+BI49+BI52+BI55+BI58+BI43</f>
        <v>2775.4</v>
      </c>
      <c r="BJ40" s="106">
        <f t="shared" ref="BJ40:BK40" si="77">+BJ46+BJ49+BJ52+BJ55+BJ58+BJ43</f>
        <v>1058.5999999999999</v>
      </c>
      <c r="BK40" s="106">
        <f t="shared" si="77"/>
        <v>2259.3000000000002</v>
      </c>
      <c r="BL40" s="106">
        <f t="shared" ref="BL40" si="78">+BL46+BL49+BL52+BL55+BL58+BL43</f>
        <v>1111.2</v>
      </c>
      <c r="BM40" s="106">
        <f t="shared" ref="BM40:BN40" si="79">+BM46+BM49+BM52+BM55+BM58+BM43</f>
        <v>452.1</v>
      </c>
      <c r="BN40" s="106">
        <f t="shared" si="79"/>
        <v>2058</v>
      </c>
      <c r="BO40" s="106">
        <f t="shared" ref="BO40" si="80">+BO46+BO49+BO52+BO55+BO58+BO43</f>
        <v>219.7</v>
      </c>
      <c r="BP40" s="106">
        <v>140.80000000000001</v>
      </c>
      <c r="BQ40" s="106">
        <v>961.5</v>
      </c>
      <c r="BR40" s="106">
        <v>154</v>
      </c>
      <c r="BS40" s="106">
        <f t="shared" ref="BS40" si="81">+BS46+BS49+BS52+BS55+BS58+BS43</f>
        <v>476.2</v>
      </c>
      <c r="BT40" s="106">
        <f t="shared" ref="BT40:CA40" si="82">+BT46+BT49+BT52+BT55+BT58+BT43</f>
        <v>148.1</v>
      </c>
      <c r="BU40" s="106">
        <f t="shared" si="82"/>
        <v>217.5</v>
      </c>
      <c r="BV40" s="106">
        <f t="shared" si="82"/>
        <v>167.39999999999998</v>
      </c>
      <c r="BW40" s="106">
        <f t="shared" si="82"/>
        <v>310.39999999999998</v>
      </c>
      <c r="BX40" s="106">
        <f t="shared" si="82"/>
        <v>170.10000000000002</v>
      </c>
      <c r="BY40" s="106">
        <f t="shared" si="82"/>
        <v>1417.3</v>
      </c>
      <c r="BZ40" s="106">
        <f t="shared" si="82"/>
        <v>146.1</v>
      </c>
      <c r="CA40" s="106">
        <f t="shared" si="82"/>
        <v>244.60000000000002</v>
      </c>
      <c r="CB40" s="106">
        <v>118.2</v>
      </c>
      <c r="CC40" s="106">
        <f t="shared" ref="CC40:CD40" si="83">+CC46+CC49+CC52+CC55+CC58+CC43</f>
        <v>309.39999999999998</v>
      </c>
      <c r="CD40" s="106">
        <f t="shared" si="83"/>
        <v>159.30000000000001</v>
      </c>
      <c r="CE40" s="106">
        <f t="shared" ref="CE40:CJ41" si="84">+CE46+CE49+CE52+CE55+CE58+CE43</f>
        <v>608.5</v>
      </c>
      <c r="CF40" s="106">
        <f t="shared" si="84"/>
        <v>157.19999999999999</v>
      </c>
      <c r="CG40" s="106">
        <f t="shared" si="84"/>
        <v>222.7</v>
      </c>
      <c r="CH40" s="106">
        <f t="shared" si="84"/>
        <v>144.20000000000002</v>
      </c>
      <c r="CI40" s="106">
        <f t="shared" ref="CI40" si="85">+CI46+CI49+CI52+CI55+CI58+CI43</f>
        <v>279.89999999999998</v>
      </c>
      <c r="CJ40" s="106">
        <f t="shared" si="84"/>
        <v>140.4</v>
      </c>
      <c r="CK40" s="373"/>
    </row>
    <row r="41" spans="1:89" s="225" customFormat="1" x14ac:dyDescent="0.3">
      <c r="A41" s="173"/>
      <c r="B41" s="105" t="s">
        <v>351</v>
      </c>
      <c r="C41" s="106">
        <f>+C47+C50+C53+C56+C59+C44</f>
        <v>89.1</v>
      </c>
      <c r="D41" s="106">
        <f t="shared" si="74"/>
        <v>250.1</v>
      </c>
      <c r="E41" s="106">
        <f t="shared" si="74"/>
        <v>137.39999999999998</v>
      </c>
      <c r="F41" s="106">
        <f t="shared" si="74"/>
        <v>54.5</v>
      </c>
      <c r="G41" s="106">
        <f t="shared" si="74"/>
        <v>605.5</v>
      </c>
      <c r="H41" s="106">
        <f t="shared" si="74"/>
        <v>114.69999999999999</v>
      </c>
      <c r="I41" s="106">
        <f t="shared" si="74"/>
        <v>94.4</v>
      </c>
      <c r="J41" s="106">
        <f t="shared" si="74"/>
        <v>412.4</v>
      </c>
      <c r="K41" s="106">
        <f t="shared" si="74"/>
        <v>125.8</v>
      </c>
      <c r="L41" s="106">
        <f t="shared" si="74"/>
        <v>53.6</v>
      </c>
      <c r="M41" s="106">
        <f t="shared" si="74"/>
        <v>497.79999999999995</v>
      </c>
      <c r="N41" s="106">
        <f t="shared" si="74"/>
        <v>103.8</v>
      </c>
      <c r="O41" s="106">
        <f t="shared" si="74"/>
        <v>158.19999999999999</v>
      </c>
      <c r="P41" s="106">
        <f t="shared" si="74"/>
        <v>418.9</v>
      </c>
      <c r="Q41" s="106">
        <f t="shared" si="74"/>
        <v>113.6</v>
      </c>
      <c r="R41" s="106">
        <f t="shared" si="74"/>
        <v>96.5</v>
      </c>
      <c r="S41" s="106">
        <f t="shared" si="74"/>
        <v>383.3</v>
      </c>
      <c r="T41" s="106">
        <f t="shared" si="74"/>
        <v>93.399999999999991</v>
      </c>
      <c r="U41" s="106">
        <f t="shared" si="74"/>
        <v>82.9</v>
      </c>
      <c r="V41" s="106">
        <f t="shared" si="74"/>
        <v>344.1</v>
      </c>
      <c r="W41" s="106">
        <f t="shared" si="74"/>
        <v>93.9</v>
      </c>
      <c r="X41" s="106">
        <f t="shared" si="74"/>
        <v>39.099999999999994</v>
      </c>
      <c r="Y41" s="106">
        <f t="shared" si="74"/>
        <v>369.09999999999997</v>
      </c>
      <c r="Z41" s="106">
        <f t="shared" si="74"/>
        <v>60.6</v>
      </c>
      <c r="AA41" s="106">
        <f t="shared" si="74"/>
        <v>58.5</v>
      </c>
      <c r="AB41" s="106">
        <f t="shared" si="74"/>
        <v>341.20000000000005</v>
      </c>
      <c r="AC41" s="106">
        <f t="shared" si="74"/>
        <v>86</v>
      </c>
      <c r="AD41" s="106">
        <f t="shared" si="74"/>
        <v>29.4</v>
      </c>
      <c r="AE41" s="106">
        <f t="shared" si="74"/>
        <v>359.30000000000007</v>
      </c>
      <c r="AF41" s="106">
        <f t="shared" si="74"/>
        <v>57.5</v>
      </c>
      <c r="AG41" s="106">
        <f t="shared" si="74"/>
        <v>40.9</v>
      </c>
      <c r="AH41" s="106">
        <f t="shared" si="74"/>
        <v>388.1</v>
      </c>
      <c r="AI41" s="106">
        <f t="shared" si="74"/>
        <v>86.5</v>
      </c>
      <c r="AJ41" s="106">
        <f t="shared" si="74"/>
        <v>34.1</v>
      </c>
      <c r="AK41" s="106">
        <f t="shared" si="74"/>
        <v>446</v>
      </c>
      <c r="AL41" s="106">
        <f t="shared" si="74"/>
        <v>53.6</v>
      </c>
      <c r="AM41" s="106">
        <f t="shared" si="74"/>
        <v>56.5</v>
      </c>
      <c r="AN41" s="106">
        <f t="shared" si="74"/>
        <v>397.7</v>
      </c>
      <c r="AO41" s="106">
        <f t="shared" si="74"/>
        <v>78.8</v>
      </c>
      <c r="AP41" s="106">
        <f t="shared" si="74"/>
        <v>41.6</v>
      </c>
      <c r="AQ41" s="106">
        <f t="shared" si="74"/>
        <v>424.2</v>
      </c>
      <c r="AR41" s="106">
        <f t="shared" si="74"/>
        <v>56.100000000000009</v>
      </c>
      <c r="AS41" s="106">
        <f t="shared" si="74"/>
        <v>36.700000000000003</v>
      </c>
      <c r="AT41" s="106">
        <f t="shared" si="74"/>
        <v>502.8</v>
      </c>
      <c r="AU41" s="106">
        <f t="shared" si="74"/>
        <v>119.6</v>
      </c>
      <c r="AV41" s="106">
        <f t="shared" si="74"/>
        <v>80.099999999999994</v>
      </c>
      <c r="AW41" s="106">
        <f t="shared" si="74"/>
        <v>642.20000000000005</v>
      </c>
      <c r="AX41" s="106">
        <f t="shared" si="74"/>
        <v>120.89999999999998</v>
      </c>
      <c r="AY41" s="106">
        <f t="shared" si="74"/>
        <v>102.3</v>
      </c>
      <c r="AZ41" s="106">
        <f t="shared" si="74"/>
        <v>763.1</v>
      </c>
      <c r="BA41" s="106">
        <f t="shared" si="74"/>
        <v>253.29999999999998</v>
      </c>
      <c r="BB41" s="106">
        <f t="shared" ref="BB41" si="86">+BB47+BB50+BB53+BB56+BB59+BB44</f>
        <v>145.69999999999999</v>
      </c>
      <c r="BC41" s="106">
        <f t="shared" ref="BC41:BH41" si="87">+BC47+BC50+BC53+BC56+BC59+BC44</f>
        <v>923</v>
      </c>
      <c r="BD41" s="106">
        <f t="shared" si="87"/>
        <v>149.9</v>
      </c>
      <c r="BE41" s="106">
        <f t="shared" si="87"/>
        <v>139.6</v>
      </c>
      <c r="BF41" s="106">
        <f t="shared" si="87"/>
        <v>867.40000000000009</v>
      </c>
      <c r="BG41" s="106">
        <f t="shared" si="87"/>
        <v>294.70000000000005</v>
      </c>
      <c r="BH41" s="106">
        <f t="shared" si="87"/>
        <v>218.89999999999998</v>
      </c>
      <c r="BI41" s="106">
        <f t="shared" ref="BI41:BK41" si="88">+BI47+BI50+BI53+BI56+BI59+BI44</f>
        <v>1008.4000000000001</v>
      </c>
      <c r="BJ41" s="106">
        <f t="shared" si="88"/>
        <v>176.79999999999995</v>
      </c>
      <c r="BK41" s="106">
        <f t="shared" si="88"/>
        <v>154.80000000000001</v>
      </c>
      <c r="BL41" s="106">
        <f t="shared" ref="BL41:BN41" si="89">+BL47+BL50+BL53+BL56+BL59+BL44</f>
        <v>886</v>
      </c>
      <c r="BM41" s="106">
        <f t="shared" si="89"/>
        <v>387.4</v>
      </c>
      <c r="BN41" s="106">
        <f t="shared" si="89"/>
        <v>170</v>
      </c>
      <c r="BO41" s="106">
        <f t="shared" ref="BO41:BR41" si="90">+BO47+BO50+BO53+BO56+BO59+BO44</f>
        <v>1010.7</v>
      </c>
      <c r="BP41" s="106">
        <f t="shared" si="90"/>
        <v>180.20000000000002</v>
      </c>
      <c r="BQ41" s="106">
        <f t="shared" si="90"/>
        <v>153.60000000000002</v>
      </c>
      <c r="BR41" s="106">
        <f t="shared" si="90"/>
        <v>881.40000000000009</v>
      </c>
      <c r="BS41" s="106">
        <f t="shared" ref="BS41:CA41" si="91">+BS47+BS50+BS53+BS56+BS59+BS44</f>
        <v>358.4</v>
      </c>
      <c r="BT41" s="106">
        <f t="shared" si="91"/>
        <v>194.5</v>
      </c>
      <c r="BU41" s="106">
        <f t="shared" si="91"/>
        <v>947.4</v>
      </c>
      <c r="BV41" s="106">
        <f t="shared" si="91"/>
        <v>174.7</v>
      </c>
      <c r="BW41" s="106">
        <f t="shared" si="91"/>
        <v>165.8</v>
      </c>
      <c r="BX41" s="106">
        <f t="shared" si="91"/>
        <v>706.5</v>
      </c>
      <c r="BY41" s="106">
        <f t="shared" si="91"/>
        <v>298</v>
      </c>
      <c r="BZ41" s="106">
        <f t="shared" si="91"/>
        <v>173.9</v>
      </c>
      <c r="CA41" s="106">
        <f t="shared" si="91"/>
        <v>829.1</v>
      </c>
      <c r="CB41" s="106">
        <v>170.8</v>
      </c>
      <c r="CC41" s="106">
        <f t="shared" ref="CC41:CI41" si="92">+CC47+CC50+CC53+CC56+CC59+CC44</f>
        <v>150.69999999999999</v>
      </c>
      <c r="CD41" s="106">
        <f t="shared" si="92"/>
        <v>865.69999999999993</v>
      </c>
      <c r="CE41" s="106">
        <f t="shared" si="92"/>
        <v>309.60000000000002</v>
      </c>
      <c r="CF41" s="106">
        <f t="shared" si="92"/>
        <v>232</v>
      </c>
      <c r="CG41" s="106">
        <f t="shared" si="92"/>
        <v>1015.2</v>
      </c>
      <c r="CH41" s="106">
        <f t="shared" si="92"/>
        <v>173.4</v>
      </c>
      <c r="CI41" s="106">
        <f t="shared" si="92"/>
        <v>167.9</v>
      </c>
      <c r="CJ41" s="106">
        <f t="shared" si="84"/>
        <v>883.5</v>
      </c>
      <c r="CK41" s="373"/>
    </row>
    <row r="42" spans="1:89" s="225" customFormat="1" x14ac:dyDescent="0.3">
      <c r="A42" s="173"/>
      <c r="B42" s="381" t="s">
        <v>355</v>
      </c>
      <c r="C42" s="382">
        <f>+C43+C44</f>
        <v>81.099999999999994</v>
      </c>
      <c r="D42" s="382">
        <f t="shared" ref="D42:BA42" si="93">+D43+D44</f>
        <v>80.800000000000011</v>
      </c>
      <c r="E42" s="382">
        <f t="shared" si="93"/>
        <v>176.9</v>
      </c>
      <c r="F42" s="382">
        <f t="shared" si="93"/>
        <v>83.8</v>
      </c>
      <c r="G42" s="382">
        <f t="shared" si="93"/>
        <v>156</v>
      </c>
      <c r="H42" s="382">
        <f t="shared" si="93"/>
        <v>62.9</v>
      </c>
      <c r="I42" s="382">
        <f t="shared" si="93"/>
        <v>80.8</v>
      </c>
      <c r="J42" s="382">
        <f t="shared" si="93"/>
        <v>91.3</v>
      </c>
      <c r="K42" s="382">
        <f t="shared" si="93"/>
        <v>185.1</v>
      </c>
      <c r="L42" s="382">
        <f t="shared" si="93"/>
        <v>82.300000000000011</v>
      </c>
      <c r="M42" s="382">
        <f t="shared" si="93"/>
        <v>168.10000000000002</v>
      </c>
      <c r="N42" s="382">
        <f t="shared" si="93"/>
        <v>61.5</v>
      </c>
      <c r="O42" s="382">
        <f t="shared" si="93"/>
        <v>79.599999999999994</v>
      </c>
      <c r="P42" s="382">
        <f t="shared" si="93"/>
        <v>88.3</v>
      </c>
      <c r="Q42" s="382">
        <f t="shared" si="93"/>
        <v>178.5</v>
      </c>
      <c r="R42" s="382">
        <f t="shared" si="93"/>
        <v>77.300000000000011</v>
      </c>
      <c r="S42" s="382">
        <f t="shared" si="93"/>
        <v>152.69999999999999</v>
      </c>
      <c r="T42" s="382">
        <f t="shared" si="93"/>
        <v>59.599999999999994</v>
      </c>
      <c r="U42" s="382">
        <f t="shared" si="93"/>
        <v>77.199999999999989</v>
      </c>
      <c r="V42" s="382">
        <f t="shared" si="93"/>
        <v>82.7</v>
      </c>
      <c r="W42" s="382">
        <f t="shared" si="93"/>
        <v>176.1</v>
      </c>
      <c r="X42" s="382">
        <f t="shared" si="93"/>
        <v>64.2</v>
      </c>
      <c r="Y42" s="382">
        <f t="shared" si="93"/>
        <v>142.1</v>
      </c>
      <c r="Z42" s="382">
        <f t="shared" si="93"/>
        <v>50</v>
      </c>
      <c r="AA42" s="382">
        <f t="shared" si="93"/>
        <v>74.599999999999994</v>
      </c>
      <c r="AB42" s="382">
        <f t="shared" si="93"/>
        <v>76.7</v>
      </c>
      <c r="AC42" s="382">
        <f t="shared" si="93"/>
        <v>179.10000000000002</v>
      </c>
      <c r="AD42" s="382">
        <f t="shared" si="93"/>
        <v>69.400000000000006</v>
      </c>
      <c r="AE42" s="382">
        <f t="shared" si="93"/>
        <v>144</v>
      </c>
      <c r="AF42" s="382">
        <f t="shared" si="93"/>
        <v>49.1</v>
      </c>
      <c r="AG42" s="382">
        <f t="shared" si="93"/>
        <v>3.8</v>
      </c>
      <c r="AH42" s="382">
        <f t="shared" si="93"/>
        <v>116.1</v>
      </c>
      <c r="AI42" s="382">
        <f t="shared" si="93"/>
        <v>201.79999999999998</v>
      </c>
      <c r="AJ42" s="382">
        <f t="shared" si="93"/>
        <v>71.599999999999994</v>
      </c>
      <c r="AK42" s="382">
        <f t="shared" si="93"/>
        <v>152.1</v>
      </c>
      <c r="AL42" s="382">
        <f t="shared" si="93"/>
        <v>31.6</v>
      </c>
      <c r="AM42" s="382">
        <f t="shared" si="93"/>
        <v>67.900000000000006</v>
      </c>
      <c r="AN42" s="382">
        <f t="shared" si="93"/>
        <v>70.599999999999994</v>
      </c>
      <c r="AO42" s="382">
        <f t="shared" si="93"/>
        <v>172.7</v>
      </c>
      <c r="AP42" s="382">
        <f t="shared" si="93"/>
        <v>74</v>
      </c>
      <c r="AQ42" s="382">
        <f t="shared" si="93"/>
        <v>154.19999999999999</v>
      </c>
      <c r="AR42" s="382">
        <f t="shared" si="93"/>
        <v>31.9</v>
      </c>
      <c r="AS42" s="382">
        <f t="shared" si="93"/>
        <v>4.5999999999999996</v>
      </c>
      <c r="AT42" s="382">
        <f t="shared" si="93"/>
        <v>117.7</v>
      </c>
      <c r="AU42" s="382">
        <f t="shared" si="93"/>
        <v>211.10000000000002</v>
      </c>
      <c r="AV42" s="382">
        <f t="shared" si="93"/>
        <v>88.1</v>
      </c>
      <c r="AW42" s="382">
        <f t="shared" si="93"/>
        <v>186</v>
      </c>
      <c r="AX42" s="382">
        <f t="shared" si="93"/>
        <v>34.799999999999997</v>
      </c>
      <c r="AY42" s="382">
        <f t="shared" si="93"/>
        <v>77.2</v>
      </c>
      <c r="AZ42" s="382">
        <f t="shared" si="93"/>
        <v>73.599999999999994</v>
      </c>
      <c r="BA42" s="382">
        <f t="shared" si="93"/>
        <v>280.89999999999998</v>
      </c>
      <c r="BB42" s="382">
        <f t="shared" ref="BB42:BH42" si="94">+BB43+BB44</f>
        <v>109</v>
      </c>
      <c r="BC42" s="382">
        <f t="shared" si="94"/>
        <v>231.39999999999998</v>
      </c>
      <c r="BD42" s="382">
        <f t="shared" si="94"/>
        <v>38.200000000000003</v>
      </c>
      <c r="BE42" s="382">
        <f t="shared" si="94"/>
        <v>83.699999999999989</v>
      </c>
      <c r="BF42" s="382">
        <f t="shared" si="94"/>
        <v>84.2</v>
      </c>
      <c r="BG42" s="382">
        <f t="shared" si="94"/>
        <v>312.20000000000005</v>
      </c>
      <c r="BH42" s="382">
        <f t="shared" si="94"/>
        <v>118.6</v>
      </c>
      <c r="BI42" s="382">
        <f t="shared" ref="BI42" si="95">+BI43+BI44</f>
        <v>252</v>
      </c>
      <c r="BJ42" s="382">
        <f t="shared" ref="BJ42:BQ42" si="96">+BJ43+BJ44</f>
        <v>55.2</v>
      </c>
      <c r="BK42" s="382">
        <f t="shared" si="96"/>
        <v>87.1</v>
      </c>
      <c r="BL42" s="382">
        <f t="shared" si="96"/>
        <v>106.4</v>
      </c>
      <c r="BM42" s="382">
        <f t="shared" si="96"/>
        <v>324.7</v>
      </c>
      <c r="BN42" s="382">
        <f t="shared" si="96"/>
        <v>120.6</v>
      </c>
      <c r="BO42" s="382">
        <f t="shared" si="96"/>
        <v>285.79999999999995</v>
      </c>
      <c r="BP42" s="382">
        <f t="shared" si="96"/>
        <v>59</v>
      </c>
      <c r="BQ42" s="382">
        <f t="shared" si="96"/>
        <v>91.2</v>
      </c>
      <c r="BR42" s="382">
        <f t="shared" ref="BR42:CA42" si="97">+BR43+BR44</f>
        <v>104</v>
      </c>
      <c r="BS42" s="382">
        <f t="shared" si="97"/>
        <v>323.7</v>
      </c>
      <c r="BT42" s="382">
        <f t="shared" si="97"/>
        <v>120.3</v>
      </c>
      <c r="BU42" s="382">
        <f t="shared" si="97"/>
        <v>300.89999999999998</v>
      </c>
      <c r="BV42" s="382">
        <f t="shared" si="97"/>
        <v>62.8</v>
      </c>
      <c r="BW42" s="382">
        <f t="shared" si="97"/>
        <v>110.8</v>
      </c>
      <c r="BX42" s="382">
        <f t="shared" si="97"/>
        <v>117.7</v>
      </c>
      <c r="BY42" s="382">
        <f t="shared" si="97"/>
        <v>285.5</v>
      </c>
      <c r="BZ42" s="382">
        <f t="shared" si="97"/>
        <v>108.9</v>
      </c>
      <c r="CA42" s="382">
        <f t="shared" si="97"/>
        <v>311.89999999999998</v>
      </c>
      <c r="CB42" s="382">
        <v>44.6</v>
      </c>
      <c r="CC42" s="382">
        <f t="shared" ref="CC42:CH42" si="98">+CC43+CC44</f>
        <v>108.30000000000001</v>
      </c>
      <c r="CD42" s="382">
        <f t="shared" si="98"/>
        <v>95.3</v>
      </c>
      <c r="CE42" s="382">
        <f t="shared" si="98"/>
        <v>397.1</v>
      </c>
      <c r="CF42" s="382">
        <f t="shared" si="98"/>
        <v>123.10000000000001</v>
      </c>
      <c r="CG42" s="382">
        <f t="shared" si="98"/>
        <v>319.79999999999995</v>
      </c>
      <c r="CH42" s="382">
        <f t="shared" si="98"/>
        <v>47.4</v>
      </c>
      <c r="CI42" s="382">
        <f t="shared" ref="CI42:CJ42" si="99">+CI43+CI44</f>
        <v>75.2</v>
      </c>
      <c r="CJ42" s="382">
        <f t="shared" si="99"/>
        <v>154.60000000000002</v>
      </c>
      <c r="CK42" s="253">
        <f>+CJ42/$CJ$14</f>
        <v>1.3534453325395924E-2</v>
      </c>
    </row>
    <row r="43" spans="1:89" s="225" customFormat="1" ht="16.2" x14ac:dyDescent="0.3">
      <c r="A43" s="173"/>
      <c r="B43" s="383" t="s">
        <v>356</v>
      </c>
      <c r="C43" s="384">
        <v>53.3</v>
      </c>
      <c r="D43" s="384">
        <v>56.7</v>
      </c>
      <c r="E43" s="384">
        <v>112.4</v>
      </c>
      <c r="F43" s="384">
        <v>57.1</v>
      </c>
      <c r="G43" s="384">
        <v>90.9</v>
      </c>
      <c r="H43" s="384">
        <v>51.8</v>
      </c>
      <c r="I43" s="384">
        <v>53.4</v>
      </c>
      <c r="J43" s="384">
        <v>65.099999999999994</v>
      </c>
      <c r="K43" s="384">
        <v>122.5</v>
      </c>
      <c r="L43" s="384">
        <v>56.2</v>
      </c>
      <c r="M43" s="384">
        <v>91.9</v>
      </c>
      <c r="N43" s="384">
        <v>51.8</v>
      </c>
      <c r="O43" s="384">
        <v>53.9</v>
      </c>
      <c r="P43" s="384">
        <v>65.099999999999994</v>
      </c>
      <c r="Q43" s="384">
        <v>120.9</v>
      </c>
      <c r="R43" s="384">
        <v>50.7</v>
      </c>
      <c r="S43" s="384">
        <v>87</v>
      </c>
      <c r="T43" s="384">
        <v>51.3</v>
      </c>
      <c r="U43" s="384">
        <v>54.3</v>
      </c>
      <c r="V43" s="384">
        <v>62.9</v>
      </c>
      <c r="W43" s="384">
        <v>123.2</v>
      </c>
      <c r="X43" s="384">
        <v>44.5</v>
      </c>
      <c r="Y43" s="384">
        <v>96.6</v>
      </c>
      <c r="Z43" s="384">
        <v>43.9</v>
      </c>
      <c r="AA43" s="384">
        <v>55.1</v>
      </c>
      <c r="AB43" s="384">
        <v>62.9</v>
      </c>
      <c r="AC43" s="384">
        <v>129.9</v>
      </c>
      <c r="AD43" s="384">
        <v>50.9</v>
      </c>
      <c r="AE43" s="384">
        <v>99.9</v>
      </c>
      <c r="AF43" s="384">
        <v>43.4</v>
      </c>
      <c r="AG43" s="384">
        <v>2.8</v>
      </c>
      <c r="AH43" s="384">
        <v>86.2</v>
      </c>
      <c r="AI43" s="384">
        <v>146.69999999999999</v>
      </c>
      <c r="AJ43" s="384">
        <v>53.5</v>
      </c>
      <c r="AK43" s="384">
        <v>108.8</v>
      </c>
      <c r="AL43" s="384">
        <v>26.7</v>
      </c>
      <c r="AM43" s="384">
        <v>48.7</v>
      </c>
      <c r="AN43" s="384">
        <v>55.8</v>
      </c>
      <c r="AO43" s="384">
        <v>121.3</v>
      </c>
      <c r="AP43" s="384">
        <v>55.6</v>
      </c>
      <c r="AQ43" s="384">
        <v>111</v>
      </c>
      <c r="AR43" s="384">
        <v>26.7</v>
      </c>
      <c r="AS43" s="384">
        <v>3</v>
      </c>
      <c r="AT43" s="384">
        <v>84.2</v>
      </c>
      <c r="AU43" s="384">
        <v>139.4</v>
      </c>
      <c r="AV43" s="384">
        <v>60.7</v>
      </c>
      <c r="AW43" s="384">
        <v>111.9</v>
      </c>
      <c r="AX43" s="384">
        <v>26.7</v>
      </c>
      <c r="AY43" s="384">
        <v>49.2</v>
      </c>
      <c r="AZ43" s="384">
        <v>39.1</v>
      </c>
      <c r="BA43" s="384">
        <v>149.69999999999999</v>
      </c>
      <c r="BB43" s="384">
        <v>65.599999999999994</v>
      </c>
      <c r="BC43" s="384">
        <v>112.6</v>
      </c>
      <c r="BD43" s="384">
        <v>26.7</v>
      </c>
      <c r="BE43" s="384">
        <v>51.8</v>
      </c>
      <c r="BF43" s="384">
        <v>39.6</v>
      </c>
      <c r="BG43" s="384">
        <v>149.30000000000001</v>
      </c>
      <c r="BH43" s="384">
        <v>68.599999999999994</v>
      </c>
      <c r="BI43" s="384">
        <v>113.5</v>
      </c>
      <c r="BJ43" s="384">
        <v>29.5</v>
      </c>
      <c r="BK43" s="384">
        <v>52.4</v>
      </c>
      <c r="BL43" s="384">
        <v>54.8</v>
      </c>
      <c r="BM43" s="384">
        <v>154.1</v>
      </c>
      <c r="BN43" s="384">
        <v>68.599999999999994</v>
      </c>
      <c r="BO43" s="384">
        <v>143.69999999999999</v>
      </c>
      <c r="BP43" s="384">
        <v>29.7</v>
      </c>
      <c r="BQ43" s="384">
        <v>56</v>
      </c>
      <c r="BR43" s="384">
        <v>54.8</v>
      </c>
      <c r="BS43" s="384">
        <v>154.69999999999999</v>
      </c>
      <c r="BT43" s="384">
        <v>69.599999999999994</v>
      </c>
      <c r="BU43" s="384">
        <v>161.9</v>
      </c>
      <c r="BV43" s="384">
        <v>32.799999999999997</v>
      </c>
      <c r="BW43" s="384">
        <v>55.9</v>
      </c>
      <c r="BX43" s="384">
        <v>70.7</v>
      </c>
      <c r="BY43" s="384">
        <v>139.80000000000001</v>
      </c>
      <c r="BZ43" s="384">
        <v>65.8</v>
      </c>
      <c r="CA43" s="384">
        <v>165.3</v>
      </c>
      <c r="CB43" s="384">
        <v>16.8</v>
      </c>
      <c r="CC43" s="384">
        <v>56.1</v>
      </c>
      <c r="CD43" s="384">
        <v>55</v>
      </c>
      <c r="CE43" s="384">
        <v>253</v>
      </c>
      <c r="CF43" s="384">
        <v>66.900000000000006</v>
      </c>
      <c r="CG43" s="384">
        <v>165.7</v>
      </c>
      <c r="CH43" s="384">
        <v>17.899999999999999</v>
      </c>
      <c r="CI43" s="384">
        <v>11</v>
      </c>
      <c r="CJ43" s="384">
        <v>96.4</v>
      </c>
      <c r="CK43" s="114"/>
    </row>
    <row r="44" spans="1:89" s="225" customFormat="1" x14ac:dyDescent="0.3">
      <c r="A44" s="173"/>
      <c r="B44" s="383" t="s">
        <v>357</v>
      </c>
      <c r="C44" s="384">
        <v>27.8</v>
      </c>
      <c r="D44" s="384">
        <v>24.1</v>
      </c>
      <c r="E44" s="384">
        <v>64.5</v>
      </c>
      <c r="F44" s="384">
        <v>26.7</v>
      </c>
      <c r="G44" s="384">
        <v>65.099999999999994</v>
      </c>
      <c r="H44" s="384">
        <v>11.1</v>
      </c>
      <c r="I44" s="384">
        <v>27.4</v>
      </c>
      <c r="J44" s="384">
        <v>26.2</v>
      </c>
      <c r="K44" s="384">
        <v>62.6</v>
      </c>
      <c r="L44" s="384">
        <v>26.1</v>
      </c>
      <c r="M44" s="384">
        <v>76.2</v>
      </c>
      <c r="N44" s="384">
        <v>9.6999999999999993</v>
      </c>
      <c r="O44" s="384">
        <v>25.7</v>
      </c>
      <c r="P44" s="384">
        <v>23.2</v>
      </c>
      <c r="Q44" s="384">
        <v>57.6</v>
      </c>
      <c r="R44" s="384">
        <v>26.6</v>
      </c>
      <c r="S44" s="384">
        <v>65.7</v>
      </c>
      <c r="T44" s="384">
        <v>8.3000000000000007</v>
      </c>
      <c r="U44" s="384">
        <v>22.9</v>
      </c>
      <c r="V44" s="384">
        <v>19.8</v>
      </c>
      <c r="W44" s="384">
        <v>52.9</v>
      </c>
      <c r="X44" s="384">
        <v>19.7</v>
      </c>
      <c r="Y44" s="384">
        <v>45.5</v>
      </c>
      <c r="Z44" s="384">
        <v>6.1</v>
      </c>
      <c r="AA44" s="384">
        <v>19.5</v>
      </c>
      <c r="AB44" s="384">
        <v>13.8</v>
      </c>
      <c r="AC44" s="384">
        <v>49.2</v>
      </c>
      <c r="AD44" s="384">
        <v>18.5</v>
      </c>
      <c r="AE44" s="384">
        <v>44.1</v>
      </c>
      <c r="AF44" s="384">
        <v>5.7</v>
      </c>
      <c r="AG44" s="384">
        <v>1</v>
      </c>
      <c r="AH44" s="384">
        <v>29.9</v>
      </c>
      <c r="AI44" s="384">
        <v>55.1</v>
      </c>
      <c r="AJ44" s="384">
        <v>18.100000000000001</v>
      </c>
      <c r="AK44" s="384">
        <v>43.3</v>
      </c>
      <c r="AL44" s="384">
        <v>4.9000000000000004</v>
      </c>
      <c r="AM44" s="384">
        <v>19.2</v>
      </c>
      <c r="AN44" s="384">
        <v>14.8</v>
      </c>
      <c r="AO44" s="384">
        <v>51.4</v>
      </c>
      <c r="AP44" s="384">
        <v>18.399999999999999</v>
      </c>
      <c r="AQ44" s="384">
        <v>43.2</v>
      </c>
      <c r="AR44" s="384">
        <v>5.2</v>
      </c>
      <c r="AS44" s="384">
        <v>1.6</v>
      </c>
      <c r="AT44" s="384">
        <v>33.5</v>
      </c>
      <c r="AU44" s="384">
        <v>71.7</v>
      </c>
      <c r="AV44" s="384">
        <v>27.4</v>
      </c>
      <c r="AW44" s="384">
        <v>74.099999999999994</v>
      </c>
      <c r="AX44" s="384">
        <v>8.1</v>
      </c>
      <c r="AY44" s="384">
        <v>28</v>
      </c>
      <c r="AZ44" s="384">
        <v>34.5</v>
      </c>
      <c r="BA44" s="384">
        <v>131.19999999999999</v>
      </c>
      <c r="BB44" s="384">
        <v>43.4</v>
      </c>
      <c r="BC44" s="384">
        <v>118.8</v>
      </c>
      <c r="BD44" s="384">
        <v>11.5</v>
      </c>
      <c r="BE44" s="384">
        <v>31.9</v>
      </c>
      <c r="BF44" s="384">
        <v>44.6</v>
      </c>
      <c r="BG44" s="384">
        <v>162.9</v>
      </c>
      <c r="BH44" s="384">
        <v>50</v>
      </c>
      <c r="BI44" s="384">
        <v>138.5</v>
      </c>
      <c r="BJ44" s="384">
        <v>25.7</v>
      </c>
      <c r="BK44" s="384">
        <v>34.700000000000003</v>
      </c>
      <c r="BL44" s="384">
        <v>51.6</v>
      </c>
      <c r="BM44" s="384">
        <v>170.6</v>
      </c>
      <c r="BN44" s="384">
        <v>52</v>
      </c>
      <c r="BO44" s="384">
        <v>142.1</v>
      </c>
      <c r="BP44" s="384">
        <v>29.3</v>
      </c>
      <c r="BQ44" s="384">
        <v>35.200000000000003</v>
      </c>
      <c r="BR44" s="384">
        <v>49.2</v>
      </c>
      <c r="BS44" s="384">
        <v>169</v>
      </c>
      <c r="BT44" s="384">
        <v>50.7</v>
      </c>
      <c r="BU44" s="384">
        <v>139</v>
      </c>
      <c r="BV44" s="384">
        <v>30</v>
      </c>
      <c r="BW44" s="384">
        <v>54.9</v>
      </c>
      <c r="BX44" s="384">
        <v>47</v>
      </c>
      <c r="BY44" s="384">
        <v>145.69999999999999</v>
      </c>
      <c r="BZ44" s="384">
        <v>43.1</v>
      </c>
      <c r="CA44" s="384">
        <v>146.6</v>
      </c>
      <c r="CB44" s="384">
        <v>27.8</v>
      </c>
      <c r="CC44" s="384">
        <v>52.2</v>
      </c>
      <c r="CD44" s="384">
        <v>40.299999999999997</v>
      </c>
      <c r="CE44" s="384">
        <v>144.1</v>
      </c>
      <c r="CF44" s="384">
        <v>56.2</v>
      </c>
      <c r="CG44" s="384">
        <v>154.1</v>
      </c>
      <c r="CH44" s="384">
        <v>29.5</v>
      </c>
      <c r="CI44" s="384">
        <v>64.2</v>
      </c>
      <c r="CJ44" s="384">
        <v>58.2</v>
      </c>
      <c r="CK44" s="371"/>
    </row>
    <row r="45" spans="1:89" s="225" customFormat="1" x14ac:dyDescent="0.3">
      <c r="A45" s="173"/>
      <c r="B45" s="381" t="s">
        <v>358</v>
      </c>
      <c r="C45" s="382">
        <f>+C46+C47</f>
        <v>32.700000000000003</v>
      </c>
      <c r="D45" s="382">
        <f t="shared" ref="D45:BA45" si="100">+D46+D47</f>
        <v>11.5</v>
      </c>
      <c r="E45" s="382">
        <f t="shared" si="100"/>
        <v>156.19999999999999</v>
      </c>
      <c r="F45" s="382">
        <f t="shared" si="100"/>
        <v>79.400000000000006</v>
      </c>
      <c r="G45" s="382">
        <f t="shared" si="100"/>
        <v>43.8</v>
      </c>
      <c r="H45" s="382">
        <f t="shared" si="100"/>
        <v>65.3</v>
      </c>
      <c r="I45" s="382">
        <f t="shared" si="100"/>
        <v>33.6</v>
      </c>
      <c r="J45" s="382">
        <f t="shared" si="100"/>
        <v>5.0999999999999996</v>
      </c>
      <c r="K45" s="382">
        <f t="shared" si="100"/>
        <v>135</v>
      </c>
      <c r="L45" s="382">
        <f t="shared" si="100"/>
        <v>80.199999999999989</v>
      </c>
      <c r="M45" s="382">
        <f t="shared" si="100"/>
        <v>42.9</v>
      </c>
      <c r="N45" s="382">
        <f t="shared" si="100"/>
        <v>64.5</v>
      </c>
      <c r="O45" s="382">
        <f t="shared" si="100"/>
        <v>33.1</v>
      </c>
      <c r="P45" s="382">
        <f t="shared" si="100"/>
        <v>4.8</v>
      </c>
      <c r="Q45" s="382">
        <f t="shared" si="100"/>
        <v>138.1</v>
      </c>
      <c r="R45" s="382">
        <f t="shared" si="100"/>
        <v>73.599999999999994</v>
      </c>
      <c r="S45" s="382">
        <f t="shared" si="100"/>
        <v>34.5</v>
      </c>
      <c r="T45" s="382">
        <f t="shared" si="100"/>
        <v>61.1</v>
      </c>
      <c r="U45" s="382">
        <f t="shared" si="100"/>
        <v>33.4</v>
      </c>
      <c r="V45" s="382">
        <f t="shared" si="100"/>
        <v>4.9000000000000004</v>
      </c>
      <c r="W45" s="382">
        <f t="shared" si="100"/>
        <v>101.1</v>
      </c>
      <c r="X45" s="382">
        <f t="shared" si="100"/>
        <v>67.099999999999994</v>
      </c>
      <c r="Y45" s="382">
        <f t="shared" si="100"/>
        <v>27</v>
      </c>
      <c r="Z45" s="382">
        <f t="shared" si="100"/>
        <v>51.9</v>
      </c>
      <c r="AA45" s="382">
        <f t="shared" si="100"/>
        <v>33</v>
      </c>
      <c r="AB45" s="382">
        <f t="shared" si="100"/>
        <v>4.0999999999999996</v>
      </c>
      <c r="AC45" s="382">
        <f t="shared" si="100"/>
        <v>99</v>
      </c>
      <c r="AD45" s="382">
        <f t="shared" si="100"/>
        <v>50.3</v>
      </c>
      <c r="AE45" s="382">
        <f t="shared" si="100"/>
        <v>24.3</v>
      </c>
      <c r="AF45" s="382">
        <f t="shared" si="100"/>
        <v>50.5</v>
      </c>
      <c r="AG45" s="382">
        <f t="shared" si="100"/>
        <v>33.200000000000003</v>
      </c>
      <c r="AH45" s="382">
        <f t="shared" si="100"/>
        <v>4.1999999999999993</v>
      </c>
      <c r="AI45" s="382">
        <f t="shared" si="100"/>
        <v>91.5</v>
      </c>
      <c r="AJ45" s="382">
        <f t="shared" si="100"/>
        <v>47</v>
      </c>
      <c r="AK45" s="382">
        <f t="shared" si="100"/>
        <v>20.100000000000001</v>
      </c>
      <c r="AL45" s="382">
        <f t="shared" si="100"/>
        <v>50.2</v>
      </c>
      <c r="AM45" s="382">
        <f t="shared" si="100"/>
        <v>17.5</v>
      </c>
      <c r="AN45" s="382">
        <f t="shared" si="100"/>
        <v>8</v>
      </c>
      <c r="AO45" s="382">
        <f t="shared" si="100"/>
        <v>75.8</v>
      </c>
      <c r="AP45" s="382">
        <f t="shared" si="100"/>
        <v>40.099999999999994</v>
      </c>
      <c r="AQ45" s="382">
        <f t="shared" si="100"/>
        <v>20.2</v>
      </c>
      <c r="AR45" s="382">
        <f t="shared" si="100"/>
        <v>65.599999999999994</v>
      </c>
      <c r="AS45" s="382">
        <f t="shared" si="100"/>
        <v>5.3000000000000007</v>
      </c>
      <c r="AT45" s="382">
        <f t="shared" si="100"/>
        <v>5.6</v>
      </c>
      <c r="AU45" s="382">
        <f t="shared" si="100"/>
        <v>85.6</v>
      </c>
      <c r="AV45" s="382">
        <f t="shared" si="100"/>
        <v>69.7</v>
      </c>
      <c r="AW45" s="382">
        <f t="shared" si="100"/>
        <v>32.799999999999997</v>
      </c>
      <c r="AX45" s="382">
        <f t="shared" si="100"/>
        <v>65.900000000000006</v>
      </c>
      <c r="AY45" s="382">
        <f t="shared" si="100"/>
        <v>11.3</v>
      </c>
      <c r="AZ45" s="382">
        <f t="shared" si="100"/>
        <v>11.600000000000001</v>
      </c>
      <c r="BA45" s="382">
        <f t="shared" si="100"/>
        <v>121.3</v>
      </c>
      <c r="BB45" s="382">
        <f t="shared" ref="BB45:BH45" si="101">+BB46+BB47</f>
        <v>105.19999999999999</v>
      </c>
      <c r="BC45" s="382">
        <f t="shared" si="101"/>
        <v>47.7</v>
      </c>
      <c r="BD45" s="382">
        <f t="shared" si="101"/>
        <v>87.6</v>
      </c>
      <c r="BE45" s="382">
        <f t="shared" si="101"/>
        <v>19.600000000000001</v>
      </c>
      <c r="BF45" s="382">
        <f t="shared" si="101"/>
        <v>14.2</v>
      </c>
      <c r="BG45" s="382">
        <f t="shared" si="101"/>
        <v>130.5</v>
      </c>
      <c r="BH45" s="382">
        <f t="shared" si="101"/>
        <v>121.3</v>
      </c>
      <c r="BI45" s="382">
        <f t="shared" ref="BI45" si="102">+BI46+BI47</f>
        <v>65</v>
      </c>
      <c r="BJ45" s="382">
        <f t="shared" ref="BJ45:BQ45" si="103">+BJ46+BJ47</f>
        <v>95</v>
      </c>
      <c r="BK45" s="382">
        <f t="shared" si="103"/>
        <v>29.5</v>
      </c>
      <c r="BL45" s="382">
        <f t="shared" si="103"/>
        <v>19</v>
      </c>
      <c r="BM45" s="382">
        <f t="shared" si="103"/>
        <v>168.3</v>
      </c>
      <c r="BN45" s="382">
        <f t="shared" si="103"/>
        <v>105.30000000000001</v>
      </c>
      <c r="BO45" s="382">
        <f t="shared" si="103"/>
        <v>68.900000000000006</v>
      </c>
      <c r="BP45" s="382">
        <f t="shared" si="103"/>
        <v>98</v>
      </c>
      <c r="BQ45" s="382">
        <f t="shared" si="103"/>
        <v>35.1</v>
      </c>
      <c r="BR45" s="382">
        <f t="shared" ref="BR45:CA45" si="104">+BR46+BR47</f>
        <v>20.2</v>
      </c>
      <c r="BS45" s="382">
        <f t="shared" si="104"/>
        <v>141.69999999999999</v>
      </c>
      <c r="BT45" s="382">
        <f t="shared" si="104"/>
        <v>131.6</v>
      </c>
      <c r="BU45" s="382">
        <f t="shared" si="104"/>
        <v>68.5</v>
      </c>
      <c r="BV45" s="382">
        <f t="shared" si="104"/>
        <v>96.4</v>
      </c>
      <c r="BW45" s="382">
        <f t="shared" si="104"/>
        <v>36.9</v>
      </c>
      <c r="BX45" s="382">
        <f t="shared" si="104"/>
        <v>40</v>
      </c>
      <c r="BY45" s="382">
        <f t="shared" si="104"/>
        <v>113.6</v>
      </c>
      <c r="BZ45" s="382">
        <f t="shared" si="104"/>
        <v>118.19999999999999</v>
      </c>
      <c r="CA45" s="382">
        <f t="shared" si="104"/>
        <v>60.5</v>
      </c>
      <c r="CB45" s="382">
        <v>107.19999999999999</v>
      </c>
      <c r="CC45" s="382">
        <f t="shared" ref="CC45:CJ45" si="105">+CC46+CC47</f>
        <v>35.6</v>
      </c>
      <c r="CD45" s="382">
        <f t="shared" si="105"/>
        <v>19.7</v>
      </c>
      <c r="CE45" s="382">
        <f t="shared" si="105"/>
        <v>133.5</v>
      </c>
      <c r="CF45" s="382">
        <f t="shared" si="105"/>
        <v>170.2</v>
      </c>
      <c r="CG45" s="382">
        <f t="shared" si="105"/>
        <v>60.8</v>
      </c>
      <c r="CH45" s="382">
        <f t="shared" si="105"/>
        <v>109.5</v>
      </c>
      <c r="CI45" s="382">
        <f t="shared" ref="CI45" si="106">+CI46+CI47</f>
        <v>37.4</v>
      </c>
      <c r="CJ45" s="382">
        <f t="shared" si="105"/>
        <v>20.6</v>
      </c>
      <c r="CK45" s="253">
        <f>+CJ45/$CJ$14</f>
        <v>1.8034265103697023E-3</v>
      </c>
    </row>
    <row r="46" spans="1:89" s="225" customFormat="1" ht="16.2" x14ac:dyDescent="0.3">
      <c r="A46" s="173"/>
      <c r="B46" s="383" t="s">
        <v>356</v>
      </c>
      <c r="C46" s="384">
        <v>30.6</v>
      </c>
      <c r="D46" s="384">
        <v>9.1999999999999993</v>
      </c>
      <c r="E46" s="384">
        <v>117.4</v>
      </c>
      <c r="F46" s="384">
        <v>57.8</v>
      </c>
      <c r="G46" s="384">
        <v>22.5</v>
      </c>
      <c r="H46" s="384">
        <v>33.6</v>
      </c>
      <c r="I46" s="384">
        <v>30.6</v>
      </c>
      <c r="J46" s="384">
        <v>2.8</v>
      </c>
      <c r="K46" s="384">
        <v>92.2</v>
      </c>
      <c r="L46" s="384">
        <v>58.3</v>
      </c>
      <c r="M46" s="384">
        <v>22.5</v>
      </c>
      <c r="N46" s="384">
        <v>33.6</v>
      </c>
      <c r="O46" s="384">
        <v>30.6</v>
      </c>
      <c r="P46" s="384">
        <v>2.8</v>
      </c>
      <c r="Q46" s="384">
        <v>99.8</v>
      </c>
      <c r="R46" s="384">
        <v>55.7</v>
      </c>
      <c r="S46" s="384">
        <v>17.600000000000001</v>
      </c>
      <c r="T46" s="384">
        <v>33.6</v>
      </c>
      <c r="U46" s="384">
        <v>30.6</v>
      </c>
      <c r="V46" s="384">
        <v>2.8</v>
      </c>
      <c r="W46" s="384">
        <v>75</v>
      </c>
      <c r="X46" s="384">
        <v>52.6</v>
      </c>
      <c r="Y46" s="384">
        <v>17.600000000000001</v>
      </c>
      <c r="Z46" s="384">
        <v>33.799999999999997</v>
      </c>
      <c r="AA46" s="384">
        <v>30.6</v>
      </c>
      <c r="AB46" s="384">
        <v>2.8</v>
      </c>
      <c r="AC46" s="384">
        <v>76.099999999999994</v>
      </c>
      <c r="AD46" s="384">
        <v>43.8</v>
      </c>
      <c r="AE46" s="384">
        <v>17.600000000000001</v>
      </c>
      <c r="AF46" s="384">
        <v>34</v>
      </c>
      <c r="AG46" s="384">
        <v>30.6</v>
      </c>
      <c r="AH46" s="384">
        <v>2.8</v>
      </c>
      <c r="AI46" s="384">
        <v>73</v>
      </c>
      <c r="AJ46" s="384">
        <v>35.5</v>
      </c>
      <c r="AK46" s="384">
        <v>13.5</v>
      </c>
      <c r="AL46" s="384">
        <v>34.200000000000003</v>
      </c>
      <c r="AM46" s="384">
        <v>15.2</v>
      </c>
      <c r="AN46" s="384">
        <v>2.8</v>
      </c>
      <c r="AO46" s="384">
        <v>61.9</v>
      </c>
      <c r="AP46" s="384">
        <v>25.9</v>
      </c>
      <c r="AQ46" s="384">
        <v>13.5</v>
      </c>
      <c r="AR46" s="384">
        <v>48.6</v>
      </c>
      <c r="AS46" s="384">
        <v>2.2000000000000002</v>
      </c>
      <c r="AT46" s="384">
        <v>3.2</v>
      </c>
      <c r="AU46" s="384">
        <v>57.3</v>
      </c>
      <c r="AV46" s="384">
        <v>32.6</v>
      </c>
      <c r="AW46" s="384">
        <v>13.5</v>
      </c>
      <c r="AX46" s="384">
        <v>28.8</v>
      </c>
      <c r="AY46" s="384">
        <v>0</v>
      </c>
      <c r="AZ46" s="384">
        <v>3.2</v>
      </c>
      <c r="BA46" s="384">
        <v>57.5</v>
      </c>
      <c r="BB46" s="384">
        <v>31.6</v>
      </c>
      <c r="BC46" s="384">
        <v>13.5</v>
      </c>
      <c r="BD46" s="384">
        <v>32.200000000000003</v>
      </c>
      <c r="BE46" s="384">
        <v>0</v>
      </c>
      <c r="BF46" s="384">
        <v>3.2</v>
      </c>
      <c r="BG46" s="384">
        <v>57.5</v>
      </c>
      <c r="BH46" s="384">
        <v>32.200000000000003</v>
      </c>
      <c r="BI46" s="384">
        <v>26</v>
      </c>
      <c r="BJ46" s="384">
        <v>32.5</v>
      </c>
      <c r="BK46" s="384">
        <v>1.6</v>
      </c>
      <c r="BL46" s="384">
        <v>3.2</v>
      </c>
      <c r="BM46" s="384">
        <v>63.1</v>
      </c>
      <c r="BN46" s="384">
        <v>29.6</v>
      </c>
      <c r="BO46" s="384">
        <v>29.1</v>
      </c>
      <c r="BP46" s="384">
        <v>32.6</v>
      </c>
      <c r="BQ46" s="384">
        <v>1.1000000000000001</v>
      </c>
      <c r="BR46" s="384">
        <v>3.2</v>
      </c>
      <c r="BS46" s="384">
        <v>60</v>
      </c>
      <c r="BT46" s="384">
        <v>32.5</v>
      </c>
      <c r="BU46" s="384">
        <v>29.1</v>
      </c>
      <c r="BV46" s="384">
        <v>32.6</v>
      </c>
      <c r="BW46" s="384">
        <v>2.9</v>
      </c>
      <c r="BX46" s="384">
        <v>3.2</v>
      </c>
      <c r="BY46" s="384">
        <v>60.1</v>
      </c>
      <c r="BZ46" s="384">
        <v>32.4</v>
      </c>
      <c r="CA46" s="384">
        <v>29.1</v>
      </c>
      <c r="CB46" s="384">
        <v>32.6</v>
      </c>
      <c r="CC46" s="384">
        <v>2.4</v>
      </c>
      <c r="CD46" s="384">
        <v>3.8</v>
      </c>
      <c r="CE46" s="384">
        <v>60.7</v>
      </c>
      <c r="CF46" s="384">
        <v>38.6</v>
      </c>
      <c r="CG46" s="384">
        <v>29.1</v>
      </c>
      <c r="CH46" s="384">
        <v>32.6</v>
      </c>
      <c r="CI46" s="384">
        <v>3.3</v>
      </c>
      <c r="CJ46" s="384">
        <v>4.0999999999999996</v>
      </c>
      <c r="CK46" s="114"/>
    </row>
    <row r="47" spans="1:89" s="225" customFormat="1" x14ac:dyDescent="0.3">
      <c r="A47" s="173"/>
      <c r="B47" s="383" t="s">
        <v>357</v>
      </c>
      <c r="C47" s="384">
        <v>2.1</v>
      </c>
      <c r="D47" s="384">
        <v>2.2999999999999998</v>
      </c>
      <c r="E47" s="384">
        <v>38.799999999999997</v>
      </c>
      <c r="F47" s="384">
        <v>21.6</v>
      </c>
      <c r="G47" s="384">
        <v>21.3</v>
      </c>
      <c r="H47" s="384">
        <v>31.7</v>
      </c>
      <c r="I47" s="384">
        <v>3</v>
      </c>
      <c r="J47" s="384">
        <v>2.2999999999999998</v>
      </c>
      <c r="K47" s="384">
        <v>42.8</v>
      </c>
      <c r="L47" s="384">
        <v>21.9</v>
      </c>
      <c r="M47" s="384">
        <v>20.399999999999999</v>
      </c>
      <c r="N47" s="384">
        <v>30.9</v>
      </c>
      <c r="O47" s="384">
        <v>2.5</v>
      </c>
      <c r="P47" s="384">
        <v>2</v>
      </c>
      <c r="Q47" s="384">
        <v>38.299999999999997</v>
      </c>
      <c r="R47" s="384">
        <v>17.899999999999999</v>
      </c>
      <c r="S47" s="384">
        <v>16.899999999999999</v>
      </c>
      <c r="T47" s="384">
        <v>27.5</v>
      </c>
      <c r="U47" s="384">
        <v>2.8</v>
      </c>
      <c r="V47" s="384">
        <v>2.1</v>
      </c>
      <c r="W47" s="384">
        <v>26.1</v>
      </c>
      <c r="X47" s="384">
        <v>14.5</v>
      </c>
      <c r="Y47" s="384">
        <v>9.4</v>
      </c>
      <c r="Z47" s="384">
        <v>18.100000000000001</v>
      </c>
      <c r="AA47" s="384">
        <v>2.4</v>
      </c>
      <c r="AB47" s="384">
        <v>1.3</v>
      </c>
      <c r="AC47" s="384">
        <v>22.9</v>
      </c>
      <c r="AD47" s="384">
        <v>6.5</v>
      </c>
      <c r="AE47" s="384">
        <v>6.7</v>
      </c>
      <c r="AF47" s="384">
        <v>16.5</v>
      </c>
      <c r="AG47" s="384">
        <v>2.6</v>
      </c>
      <c r="AH47" s="384">
        <v>1.4</v>
      </c>
      <c r="AI47" s="384">
        <v>18.5</v>
      </c>
      <c r="AJ47" s="384">
        <v>11.5</v>
      </c>
      <c r="AK47" s="384">
        <v>6.6</v>
      </c>
      <c r="AL47" s="384">
        <v>16</v>
      </c>
      <c r="AM47" s="384">
        <v>2.2999999999999998</v>
      </c>
      <c r="AN47" s="384">
        <v>5.2</v>
      </c>
      <c r="AO47" s="384">
        <v>13.9</v>
      </c>
      <c r="AP47" s="384">
        <v>14.2</v>
      </c>
      <c r="AQ47" s="384">
        <v>6.7</v>
      </c>
      <c r="AR47" s="384">
        <v>17</v>
      </c>
      <c r="AS47" s="384">
        <v>3.1</v>
      </c>
      <c r="AT47" s="384">
        <v>2.4</v>
      </c>
      <c r="AU47" s="384">
        <v>28.3</v>
      </c>
      <c r="AV47" s="384">
        <v>37.1</v>
      </c>
      <c r="AW47" s="384">
        <v>19.3</v>
      </c>
      <c r="AX47" s="384">
        <v>37.1</v>
      </c>
      <c r="AY47" s="384">
        <v>11.3</v>
      </c>
      <c r="AZ47" s="384">
        <v>8.4</v>
      </c>
      <c r="BA47" s="384">
        <v>63.8</v>
      </c>
      <c r="BB47" s="384">
        <v>73.599999999999994</v>
      </c>
      <c r="BC47" s="384">
        <v>34.200000000000003</v>
      </c>
      <c r="BD47" s="384">
        <v>55.4</v>
      </c>
      <c r="BE47" s="384">
        <v>19.600000000000001</v>
      </c>
      <c r="BF47" s="384">
        <v>11</v>
      </c>
      <c r="BG47" s="384">
        <v>73</v>
      </c>
      <c r="BH47" s="384">
        <v>89.1</v>
      </c>
      <c r="BI47" s="384">
        <v>39</v>
      </c>
      <c r="BJ47" s="384">
        <v>62.5</v>
      </c>
      <c r="BK47" s="384">
        <v>27.9</v>
      </c>
      <c r="BL47" s="384">
        <v>15.8</v>
      </c>
      <c r="BM47" s="384">
        <v>105.2</v>
      </c>
      <c r="BN47" s="384">
        <v>75.7</v>
      </c>
      <c r="BO47" s="384">
        <v>39.799999999999997</v>
      </c>
      <c r="BP47" s="384">
        <v>65.400000000000006</v>
      </c>
      <c r="BQ47" s="384">
        <v>34</v>
      </c>
      <c r="BR47" s="384">
        <v>17</v>
      </c>
      <c r="BS47" s="384">
        <v>81.7</v>
      </c>
      <c r="BT47" s="384">
        <v>99.1</v>
      </c>
      <c r="BU47" s="384">
        <v>39.4</v>
      </c>
      <c r="BV47" s="384">
        <v>63.8</v>
      </c>
      <c r="BW47" s="384">
        <v>34</v>
      </c>
      <c r="BX47" s="384">
        <v>36.799999999999997</v>
      </c>
      <c r="BY47" s="384">
        <v>53.5</v>
      </c>
      <c r="BZ47" s="384">
        <v>85.8</v>
      </c>
      <c r="CA47" s="384">
        <v>31.4</v>
      </c>
      <c r="CB47" s="384">
        <v>74.599999999999994</v>
      </c>
      <c r="CC47" s="384">
        <v>33.200000000000003</v>
      </c>
      <c r="CD47" s="384">
        <v>15.9</v>
      </c>
      <c r="CE47" s="384">
        <v>72.8</v>
      </c>
      <c r="CF47" s="384">
        <v>131.6</v>
      </c>
      <c r="CG47" s="384">
        <v>31.7</v>
      </c>
      <c r="CH47" s="384">
        <v>76.900000000000006</v>
      </c>
      <c r="CI47" s="384">
        <v>34.1</v>
      </c>
      <c r="CJ47" s="384">
        <v>16.5</v>
      </c>
      <c r="CK47" s="371"/>
    </row>
    <row r="48" spans="1:89" s="225" customFormat="1" x14ac:dyDescent="0.3">
      <c r="A48" s="173"/>
      <c r="B48" s="381" t="s">
        <v>359</v>
      </c>
      <c r="C48" s="382">
        <f>+C49+C50</f>
        <v>30</v>
      </c>
      <c r="D48" s="382">
        <f t="shared" ref="D48:BA48" si="107">+D49+D50</f>
        <v>31.8</v>
      </c>
      <c r="E48" s="382">
        <f t="shared" si="107"/>
        <v>46.5</v>
      </c>
      <c r="F48" s="382">
        <f t="shared" si="107"/>
        <v>18.3</v>
      </c>
      <c r="G48" s="382">
        <f t="shared" si="107"/>
        <v>32.200000000000003</v>
      </c>
      <c r="H48" s="382">
        <f t="shared" si="107"/>
        <v>101.2</v>
      </c>
      <c r="I48" s="382">
        <f t="shared" si="107"/>
        <v>32.5</v>
      </c>
      <c r="J48" s="382">
        <f t="shared" si="107"/>
        <v>51.3</v>
      </c>
      <c r="K48" s="382">
        <f t="shared" si="107"/>
        <v>34.1</v>
      </c>
      <c r="L48" s="382">
        <f t="shared" si="107"/>
        <v>15.899999999999999</v>
      </c>
      <c r="M48" s="382">
        <f t="shared" si="107"/>
        <v>33.299999999999997</v>
      </c>
      <c r="N48" s="382">
        <f t="shared" si="107"/>
        <v>99.5</v>
      </c>
      <c r="O48" s="382">
        <f t="shared" si="107"/>
        <v>34.5</v>
      </c>
      <c r="P48" s="382">
        <f t="shared" si="107"/>
        <v>93.699999999999989</v>
      </c>
      <c r="Q48" s="382">
        <f t="shared" si="107"/>
        <v>50.599999999999994</v>
      </c>
      <c r="R48" s="382">
        <f t="shared" si="107"/>
        <v>17.899999999999999</v>
      </c>
      <c r="S48" s="382">
        <f t="shared" si="107"/>
        <v>37</v>
      </c>
      <c r="T48" s="382">
        <f t="shared" si="107"/>
        <v>97.4</v>
      </c>
      <c r="U48" s="382">
        <f t="shared" si="107"/>
        <v>32.5</v>
      </c>
      <c r="V48" s="382">
        <f t="shared" si="107"/>
        <v>113</v>
      </c>
      <c r="W48" s="382">
        <f t="shared" si="107"/>
        <v>32.6</v>
      </c>
      <c r="X48" s="382">
        <f t="shared" si="107"/>
        <v>17.8</v>
      </c>
      <c r="Y48" s="382">
        <f t="shared" si="107"/>
        <v>34.700000000000003</v>
      </c>
      <c r="Z48" s="382">
        <f t="shared" si="107"/>
        <v>92</v>
      </c>
      <c r="AA48" s="382">
        <f t="shared" si="107"/>
        <v>29.7</v>
      </c>
      <c r="AB48" s="382">
        <f t="shared" si="107"/>
        <v>93.899999999999991</v>
      </c>
      <c r="AC48" s="382">
        <f t="shared" si="107"/>
        <v>54.1</v>
      </c>
      <c r="AD48" s="382">
        <f t="shared" si="107"/>
        <v>17.7</v>
      </c>
      <c r="AE48" s="382">
        <f t="shared" si="107"/>
        <v>36.700000000000003</v>
      </c>
      <c r="AF48" s="382">
        <f t="shared" si="107"/>
        <v>77.900000000000006</v>
      </c>
      <c r="AG48" s="382">
        <f t="shared" si="107"/>
        <v>49.6</v>
      </c>
      <c r="AH48" s="382">
        <f t="shared" si="107"/>
        <v>105.3</v>
      </c>
      <c r="AI48" s="382">
        <f t="shared" si="107"/>
        <v>38.1</v>
      </c>
      <c r="AJ48" s="382">
        <f t="shared" si="107"/>
        <v>17.399999999999999</v>
      </c>
      <c r="AK48" s="382">
        <f t="shared" si="107"/>
        <v>36.9</v>
      </c>
      <c r="AL48" s="382">
        <f t="shared" si="107"/>
        <v>78.899999999999991</v>
      </c>
      <c r="AM48" s="382">
        <f t="shared" si="107"/>
        <v>49.5</v>
      </c>
      <c r="AN48" s="382">
        <f t="shared" si="107"/>
        <v>90.5</v>
      </c>
      <c r="AO48" s="382">
        <f t="shared" si="107"/>
        <v>54.400000000000006</v>
      </c>
      <c r="AP48" s="382">
        <f t="shared" si="107"/>
        <v>23</v>
      </c>
      <c r="AQ48" s="382">
        <f t="shared" si="107"/>
        <v>23.299999999999997</v>
      </c>
      <c r="AR48" s="382">
        <f t="shared" si="107"/>
        <v>83.1</v>
      </c>
      <c r="AS48" s="382">
        <f t="shared" si="107"/>
        <v>28.8</v>
      </c>
      <c r="AT48" s="382">
        <f t="shared" si="107"/>
        <v>128.80000000000001</v>
      </c>
      <c r="AU48" s="382">
        <f t="shared" si="107"/>
        <v>44</v>
      </c>
      <c r="AV48" s="382">
        <f t="shared" si="107"/>
        <v>28.9</v>
      </c>
      <c r="AW48" s="382">
        <f t="shared" si="107"/>
        <v>28</v>
      </c>
      <c r="AX48" s="382">
        <f t="shared" si="107"/>
        <v>90.600000000000009</v>
      </c>
      <c r="AY48" s="382">
        <f t="shared" si="107"/>
        <v>49.4</v>
      </c>
      <c r="AZ48" s="382">
        <f t="shared" si="107"/>
        <v>108</v>
      </c>
      <c r="BA48" s="382">
        <f t="shared" si="107"/>
        <v>59.5</v>
      </c>
      <c r="BB48" s="382">
        <f t="shared" ref="BB48:BH48" si="108">+BB49+BB50</f>
        <v>40</v>
      </c>
      <c r="BC48" s="382">
        <f t="shared" si="108"/>
        <v>36.700000000000003</v>
      </c>
      <c r="BD48" s="382">
        <f t="shared" si="108"/>
        <v>89.199999999999989</v>
      </c>
      <c r="BE48" s="382">
        <f t="shared" si="108"/>
        <v>55.4</v>
      </c>
      <c r="BF48" s="382">
        <f t="shared" si="108"/>
        <v>118.6</v>
      </c>
      <c r="BG48" s="382">
        <f t="shared" si="108"/>
        <v>57.9</v>
      </c>
      <c r="BH48" s="382">
        <f t="shared" si="108"/>
        <v>57.8</v>
      </c>
      <c r="BI48" s="382">
        <f t="shared" ref="BI48" si="109">+BI49+BI50</f>
        <v>33</v>
      </c>
      <c r="BJ48" s="382">
        <f t="shared" ref="BJ48:BQ48" si="110">+BJ49+BJ50</f>
        <v>91.1</v>
      </c>
      <c r="BK48" s="382">
        <f t="shared" si="110"/>
        <v>58.599999999999994</v>
      </c>
      <c r="BL48" s="382">
        <f t="shared" si="110"/>
        <v>1086.8</v>
      </c>
      <c r="BM48" s="382">
        <f t="shared" si="110"/>
        <v>78.2</v>
      </c>
      <c r="BN48" s="382">
        <f t="shared" si="110"/>
        <v>48.3</v>
      </c>
      <c r="BO48" s="382">
        <f t="shared" si="110"/>
        <v>36.099999999999994</v>
      </c>
      <c r="BP48" s="382">
        <f t="shared" si="110"/>
        <v>91.7</v>
      </c>
      <c r="BQ48" s="382">
        <f t="shared" si="110"/>
        <v>54.9</v>
      </c>
      <c r="BR48" s="382">
        <f t="shared" ref="BR48:CA48" si="111">+BR49+BR50</f>
        <v>119.19999999999999</v>
      </c>
      <c r="BS48" s="382">
        <f t="shared" si="111"/>
        <v>87.9</v>
      </c>
      <c r="BT48" s="382">
        <f t="shared" si="111"/>
        <v>65.7</v>
      </c>
      <c r="BU48" s="382">
        <f t="shared" si="111"/>
        <v>43.7</v>
      </c>
      <c r="BV48" s="382">
        <f t="shared" si="111"/>
        <v>87</v>
      </c>
      <c r="BW48" s="382">
        <f t="shared" si="111"/>
        <v>52.3</v>
      </c>
      <c r="BX48" s="382">
        <f t="shared" si="111"/>
        <v>116</v>
      </c>
      <c r="BY48" s="382">
        <f t="shared" si="111"/>
        <v>78.599999999999994</v>
      </c>
      <c r="BZ48" s="382">
        <f t="shared" si="111"/>
        <v>67.900000000000006</v>
      </c>
      <c r="CA48" s="382">
        <f t="shared" si="111"/>
        <v>49.1</v>
      </c>
      <c r="CB48" s="382">
        <v>72.5</v>
      </c>
      <c r="CC48" s="382">
        <f t="shared" ref="CC48:CJ48" si="112">+CC49+CC50</f>
        <v>49.8</v>
      </c>
      <c r="CD48" s="382">
        <f t="shared" si="112"/>
        <v>114.7</v>
      </c>
      <c r="CE48" s="382">
        <f t="shared" si="112"/>
        <v>83.5</v>
      </c>
      <c r="CF48" s="382">
        <f t="shared" si="112"/>
        <v>70.400000000000006</v>
      </c>
      <c r="CG48" s="382">
        <f t="shared" si="112"/>
        <v>48.2</v>
      </c>
      <c r="CH48" s="382">
        <f t="shared" si="112"/>
        <v>74.5</v>
      </c>
      <c r="CI48" s="382">
        <f t="shared" ref="CI48" si="113">+CI49+CI50</f>
        <v>57.6</v>
      </c>
      <c r="CJ48" s="382">
        <f t="shared" si="112"/>
        <v>49</v>
      </c>
      <c r="CK48" s="253">
        <f>+CJ48/$CJ$14</f>
        <v>4.289703835345408E-3</v>
      </c>
    </row>
    <row r="49" spans="1:89" s="225" customFormat="1" x14ac:dyDescent="0.3">
      <c r="A49" s="173"/>
      <c r="B49" s="383" t="s">
        <v>356</v>
      </c>
      <c r="C49" s="384">
        <v>17.3</v>
      </c>
      <c r="D49" s="384">
        <v>17</v>
      </c>
      <c r="E49" s="384">
        <v>33.700000000000003</v>
      </c>
      <c r="F49" s="384">
        <v>12.9</v>
      </c>
      <c r="G49" s="384">
        <v>24</v>
      </c>
      <c r="H49" s="384">
        <v>78.5</v>
      </c>
      <c r="I49" s="384">
        <v>17.3</v>
      </c>
      <c r="J49" s="384">
        <v>32.4</v>
      </c>
      <c r="K49" s="384">
        <v>22.1</v>
      </c>
      <c r="L49" s="384">
        <v>11.1</v>
      </c>
      <c r="M49" s="384">
        <v>26</v>
      </c>
      <c r="N49" s="384">
        <v>80.8</v>
      </c>
      <c r="O49" s="384">
        <v>20</v>
      </c>
      <c r="P49" s="384">
        <v>75.599999999999994</v>
      </c>
      <c r="Q49" s="384">
        <v>38.4</v>
      </c>
      <c r="R49" s="384">
        <v>14</v>
      </c>
      <c r="S49" s="384">
        <v>31.3</v>
      </c>
      <c r="T49" s="384">
        <v>81.900000000000006</v>
      </c>
      <c r="U49" s="384">
        <v>20</v>
      </c>
      <c r="V49" s="384">
        <v>95.8</v>
      </c>
      <c r="W49" s="384">
        <v>25.1</v>
      </c>
      <c r="X49" s="384">
        <v>14.6</v>
      </c>
      <c r="Y49" s="384">
        <v>31.3</v>
      </c>
      <c r="Z49" s="384">
        <v>83</v>
      </c>
      <c r="AA49" s="384">
        <v>26.3</v>
      </c>
      <c r="AB49" s="384">
        <v>81.099999999999994</v>
      </c>
      <c r="AC49" s="384">
        <v>47.6</v>
      </c>
      <c r="AD49" s="384">
        <v>15.5</v>
      </c>
      <c r="AE49" s="384">
        <v>31.3</v>
      </c>
      <c r="AF49" s="384">
        <v>68.900000000000006</v>
      </c>
      <c r="AG49" s="384">
        <v>43</v>
      </c>
      <c r="AH49" s="384">
        <v>97.1</v>
      </c>
      <c r="AI49" s="384">
        <v>32.6</v>
      </c>
      <c r="AJ49" s="384">
        <v>15.5</v>
      </c>
      <c r="AK49" s="384">
        <v>31.5</v>
      </c>
      <c r="AL49" s="384">
        <v>70.599999999999994</v>
      </c>
      <c r="AM49" s="384">
        <v>43.4</v>
      </c>
      <c r="AN49" s="384">
        <v>82.8</v>
      </c>
      <c r="AO49" s="384">
        <v>48.7</v>
      </c>
      <c r="AP49" s="384">
        <v>17.100000000000001</v>
      </c>
      <c r="AQ49" s="384">
        <v>18.2</v>
      </c>
      <c r="AR49" s="384">
        <v>74.8</v>
      </c>
      <c r="AS49" s="384">
        <v>26.2</v>
      </c>
      <c r="AT49" s="384">
        <v>115.4</v>
      </c>
      <c r="AU49" s="384">
        <v>35</v>
      </c>
      <c r="AV49" s="384">
        <v>17.2</v>
      </c>
      <c r="AW49" s="384">
        <v>18.5</v>
      </c>
      <c r="AX49" s="384">
        <v>75.400000000000006</v>
      </c>
      <c r="AY49" s="384">
        <v>34.799999999999997</v>
      </c>
      <c r="AZ49" s="384">
        <v>84.4</v>
      </c>
      <c r="BA49" s="384">
        <v>40.700000000000003</v>
      </c>
      <c r="BB49" s="384">
        <v>17.399999999999999</v>
      </c>
      <c r="BC49" s="384">
        <v>18.7</v>
      </c>
      <c r="BD49" s="384">
        <v>65.8</v>
      </c>
      <c r="BE49" s="384">
        <v>35.9</v>
      </c>
      <c r="BF49" s="384">
        <v>89.1</v>
      </c>
      <c r="BG49" s="384">
        <v>34.9</v>
      </c>
      <c r="BH49" s="384">
        <v>19.5</v>
      </c>
      <c r="BI49" s="384">
        <v>14.3</v>
      </c>
      <c r="BJ49" s="384">
        <v>65.8</v>
      </c>
      <c r="BK49" s="384">
        <v>36.799999999999997</v>
      </c>
      <c r="BL49" s="384">
        <v>1047.7</v>
      </c>
      <c r="BM49" s="384">
        <v>40.200000000000003</v>
      </c>
      <c r="BN49" s="384">
        <v>13.7</v>
      </c>
      <c r="BO49" s="384">
        <v>15.2</v>
      </c>
      <c r="BP49" s="384">
        <v>66.2</v>
      </c>
      <c r="BQ49" s="384">
        <v>34.799999999999997</v>
      </c>
      <c r="BR49" s="384">
        <v>90.3</v>
      </c>
      <c r="BS49" s="384">
        <v>52</v>
      </c>
      <c r="BT49" s="384">
        <v>28.2</v>
      </c>
      <c r="BU49" s="384">
        <v>15.3</v>
      </c>
      <c r="BV49" s="384">
        <v>64.5</v>
      </c>
      <c r="BW49" s="384">
        <v>32.6</v>
      </c>
      <c r="BX49" s="384">
        <v>89.7</v>
      </c>
      <c r="BY49" s="384">
        <v>49.5</v>
      </c>
      <c r="BZ49" s="384">
        <v>29.9</v>
      </c>
      <c r="CA49" s="384">
        <v>18.100000000000001</v>
      </c>
      <c r="CB49" s="384">
        <v>53.9</v>
      </c>
      <c r="CC49" s="384">
        <v>32.799999999999997</v>
      </c>
      <c r="CD49" s="384">
        <v>93.7</v>
      </c>
      <c r="CE49" s="384">
        <v>54.7</v>
      </c>
      <c r="CF49" s="384">
        <v>32.9</v>
      </c>
      <c r="CG49" s="384">
        <v>18.399999999999999</v>
      </c>
      <c r="CH49" s="384">
        <v>57.3</v>
      </c>
      <c r="CI49" s="384">
        <v>32.5</v>
      </c>
      <c r="CJ49" s="384">
        <v>30.5</v>
      </c>
      <c r="CK49" s="372"/>
    </row>
    <row r="50" spans="1:89" s="225" customFormat="1" x14ac:dyDescent="0.3">
      <c r="A50" s="173"/>
      <c r="B50" s="383" t="s">
        <v>357</v>
      </c>
      <c r="C50" s="384">
        <v>12.7</v>
      </c>
      <c r="D50" s="384">
        <v>14.8</v>
      </c>
      <c r="E50" s="384">
        <v>12.8</v>
      </c>
      <c r="F50" s="384">
        <v>5.4</v>
      </c>
      <c r="G50" s="384">
        <v>8.1999999999999993</v>
      </c>
      <c r="H50" s="384">
        <v>22.7</v>
      </c>
      <c r="I50" s="384">
        <v>15.2</v>
      </c>
      <c r="J50" s="384">
        <v>18.899999999999999</v>
      </c>
      <c r="K50" s="384">
        <v>12</v>
      </c>
      <c r="L50" s="384">
        <v>4.8</v>
      </c>
      <c r="M50" s="384">
        <v>7.3</v>
      </c>
      <c r="N50" s="384">
        <v>18.7</v>
      </c>
      <c r="O50" s="384">
        <v>14.5</v>
      </c>
      <c r="P50" s="384">
        <v>18.100000000000001</v>
      </c>
      <c r="Q50" s="384">
        <v>12.2</v>
      </c>
      <c r="R50" s="384">
        <v>3.9</v>
      </c>
      <c r="S50" s="384">
        <v>5.7</v>
      </c>
      <c r="T50" s="384">
        <v>15.5</v>
      </c>
      <c r="U50" s="384">
        <v>12.5</v>
      </c>
      <c r="V50" s="384">
        <v>17.2</v>
      </c>
      <c r="W50" s="384">
        <v>7.5</v>
      </c>
      <c r="X50" s="384">
        <v>3.2</v>
      </c>
      <c r="Y50" s="384">
        <v>3.4</v>
      </c>
      <c r="Z50" s="384">
        <v>9</v>
      </c>
      <c r="AA50" s="384">
        <v>3.4</v>
      </c>
      <c r="AB50" s="384">
        <v>12.8</v>
      </c>
      <c r="AC50" s="384">
        <v>6.5</v>
      </c>
      <c r="AD50" s="384">
        <v>2.2000000000000002</v>
      </c>
      <c r="AE50" s="384">
        <v>5.4</v>
      </c>
      <c r="AF50" s="384">
        <v>9</v>
      </c>
      <c r="AG50" s="384">
        <v>6.6</v>
      </c>
      <c r="AH50" s="384">
        <v>8.1999999999999993</v>
      </c>
      <c r="AI50" s="384">
        <v>5.5</v>
      </c>
      <c r="AJ50" s="384">
        <v>1.9</v>
      </c>
      <c r="AK50" s="384">
        <v>5.4</v>
      </c>
      <c r="AL50" s="384">
        <v>8.3000000000000007</v>
      </c>
      <c r="AM50" s="384">
        <v>6.1</v>
      </c>
      <c r="AN50" s="384">
        <v>7.7</v>
      </c>
      <c r="AO50" s="384">
        <v>5.7</v>
      </c>
      <c r="AP50" s="384">
        <v>5.9</v>
      </c>
      <c r="AQ50" s="384">
        <v>5.0999999999999996</v>
      </c>
      <c r="AR50" s="384">
        <v>8.3000000000000007</v>
      </c>
      <c r="AS50" s="384">
        <v>2.6</v>
      </c>
      <c r="AT50" s="384">
        <v>13.4</v>
      </c>
      <c r="AU50" s="384">
        <v>9</v>
      </c>
      <c r="AV50" s="384">
        <v>11.7</v>
      </c>
      <c r="AW50" s="384">
        <v>9.5</v>
      </c>
      <c r="AX50" s="384">
        <v>15.2</v>
      </c>
      <c r="AY50" s="384">
        <v>14.6</v>
      </c>
      <c r="AZ50" s="384">
        <v>23.6</v>
      </c>
      <c r="BA50" s="384">
        <v>18.8</v>
      </c>
      <c r="BB50" s="384">
        <v>22.6</v>
      </c>
      <c r="BC50" s="384">
        <v>18</v>
      </c>
      <c r="BD50" s="384">
        <v>23.4</v>
      </c>
      <c r="BE50" s="384">
        <v>19.5</v>
      </c>
      <c r="BF50" s="384">
        <v>29.5</v>
      </c>
      <c r="BG50" s="384">
        <v>23</v>
      </c>
      <c r="BH50" s="384">
        <v>38.299999999999997</v>
      </c>
      <c r="BI50" s="384">
        <v>18.7</v>
      </c>
      <c r="BJ50" s="384">
        <v>25.3</v>
      </c>
      <c r="BK50" s="384">
        <v>21.8</v>
      </c>
      <c r="BL50" s="384">
        <v>39.1</v>
      </c>
      <c r="BM50" s="384">
        <v>38</v>
      </c>
      <c r="BN50" s="384">
        <v>34.6</v>
      </c>
      <c r="BO50" s="384">
        <v>20.9</v>
      </c>
      <c r="BP50" s="384">
        <v>25.5</v>
      </c>
      <c r="BQ50" s="384">
        <v>20.100000000000001</v>
      </c>
      <c r="BR50" s="384">
        <v>28.9</v>
      </c>
      <c r="BS50" s="384">
        <v>35.9</v>
      </c>
      <c r="BT50" s="384">
        <v>37.5</v>
      </c>
      <c r="BU50" s="384">
        <v>28.4</v>
      </c>
      <c r="BV50" s="384">
        <v>22.5</v>
      </c>
      <c r="BW50" s="384">
        <v>19.7</v>
      </c>
      <c r="BX50" s="384">
        <v>26.3</v>
      </c>
      <c r="BY50" s="384">
        <v>29.1</v>
      </c>
      <c r="BZ50" s="384">
        <v>38</v>
      </c>
      <c r="CA50" s="384">
        <v>31</v>
      </c>
      <c r="CB50" s="384">
        <v>18.600000000000001</v>
      </c>
      <c r="CC50" s="384">
        <v>17</v>
      </c>
      <c r="CD50" s="384">
        <v>21</v>
      </c>
      <c r="CE50" s="384">
        <v>28.8</v>
      </c>
      <c r="CF50" s="384">
        <v>37.5</v>
      </c>
      <c r="CG50" s="384">
        <v>29.8</v>
      </c>
      <c r="CH50" s="384">
        <v>17.2</v>
      </c>
      <c r="CI50" s="384">
        <v>25.1</v>
      </c>
      <c r="CJ50" s="384">
        <v>18.5</v>
      </c>
      <c r="CK50" s="372"/>
    </row>
    <row r="51" spans="1:89" s="225" customFormat="1" x14ac:dyDescent="0.3">
      <c r="A51" s="173"/>
      <c r="B51" s="381" t="s">
        <v>360</v>
      </c>
      <c r="C51" s="382">
        <f>+C52+C53</f>
        <v>0</v>
      </c>
      <c r="D51" s="382">
        <f t="shared" ref="D51:BA51" si="114">+D52+D53</f>
        <v>208.4</v>
      </c>
      <c r="E51" s="382">
        <f t="shared" si="114"/>
        <v>0</v>
      </c>
      <c r="F51" s="382">
        <f t="shared" si="114"/>
        <v>0</v>
      </c>
      <c r="G51" s="382">
        <f t="shared" si="114"/>
        <v>269.3</v>
      </c>
      <c r="H51" s="382">
        <f t="shared" si="114"/>
        <v>0</v>
      </c>
      <c r="I51" s="382">
        <f t="shared" si="114"/>
        <v>0</v>
      </c>
      <c r="J51" s="382">
        <f t="shared" si="114"/>
        <v>363.4</v>
      </c>
      <c r="K51" s="382">
        <f t="shared" si="114"/>
        <v>0</v>
      </c>
      <c r="L51" s="382">
        <f t="shared" si="114"/>
        <v>0</v>
      </c>
      <c r="M51" s="382">
        <f t="shared" si="114"/>
        <v>391.9</v>
      </c>
      <c r="N51" s="382">
        <f t="shared" si="114"/>
        <v>0</v>
      </c>
      <c r="O51" s="382">
        <f t="shared" si="114"/>
        <v>0</v>
      </c>
      <c r="P51" s="382">
        <f t="shared" si="114"/>
        <v>374.7</v>
      </c>
      <c r="Q51" s="382">
        <f t="shared" si="114"/>
        <v>0</v>
      </c>
      <c r="R51" s="382">
        <f t="shared" si="114"/>
        <v>0</v>
      </c>
      <c r="S51" s="382">
        <f t="shared" si="114"/>
        <v>293</v>
      </c>
      <c r="T51" s="382">
        <f t="shared" si="114"/>
        <v>0</v>
      </c>
      <c r="U51" s="382">
        <f t="shared" si="114"/>
        <v>0</v>
      </c>
      <c r="V51" s="382">
        <f t="shared" si="114"/>
        <v>304.3</v>
      </c>
      <c r="W51" s="382">
        <f t="shared" si="114"/>
        <v>0</v>
      </c>
      <c r="X51" s="382">
        <f t="shared" si="114"/>
        <v>0</v>
      </c>
      <c r="Y51" s="382">
        <f t="shared" si="114"/>
        <v>307.39999999999998</v>
      </c>
      <c r="Z51" s="382">
        <f t="shared" si="114"/>
        <v>0</v>
      </c>
      <c r="AA51" s="382">
        <f t="shared" si="114"/>
        <v>0</v>
      </c>
      <c r="AB51" s="382">
        <f t="shared" si="114"/>
        <v>312.60000000000002</v>
      </c>
      <c r="AC51" s="382">
        <f t="shared" si="114"/>
        <v>0</v>
      </c>
      <c r="AD51" s="382">
        <f t="shared" si="114"/>
        <v>0</v>
      </c>
      <c r="AE51" s="382">
        <f t="shared" si="114"/>
        <v>299.60000000000002</v>
      </c>
      <c r="AF51" s="382">
        <f t="shared" si="114"/>
        <v>0</v>
      </c>
      <c r="AG51" s="382">
        <f t="shared" si="114"/>
        <v>0</v>
      </c>
      <c r="AH51" s="382">
        <f t="shared" si="114"/>
        <v>347.6</v>
      </c>
      <c r="AI51" s="382">
        <f t="shared" si="114"/>
        <v>1883.2</v>
      </c>
      <c r="AJ51" s="382">
        <f t="shared" si="114"/>
        <v>0</v>
      </c>
      <c r="AK51" s="382">
        <f t="shared" si="114"/>
        <v>387.2</v>
      </c>
      <c r="AL51" s="382">
        <f t="shared" si="114"/>
        <v>1854.2</v>
      </c>
      <c r="AM51" s="382">
        <f t="shared" si="114"/>
        <v>713.1</v>
      </c>
      <c r="AN51" s="382">
        <f t="shared" si="114"/>
        <v>368.6</v>
      </c>
      <c r="AO51" s="382">
        <f t="shared" si="114"/>
        <v>2778.2</v>
      </c>
      <c r="AP51" s="382">
        <f t="shared" si="114"/>
        <v>688.9</v>
      </c>
      <c r="AQ51" s="382">
        <f t="shared" si="114"/>
        <v>365.4</v>
      </c>
      <c r="AR51" s="382">
        <f t="shared" si="114"/>
        <v>2687.6</v>
      </c>
      <c r="AS51" s="382">
        <f t="shared" si="114"/>
        <v>1962.4</v>
      </c>
      <c r="AT51" s="382">
        <f t="shared" si="114"/>
        <v>452</v>
      </c>
      <c r="AU51" s="382">
        <f t="shared" si="114"/>
        <v>2595.9</v>
      </c>
      <c r="AV51" s="382">
        <f t="shared" si="114"/>
        <v>2536.1999999999998</v>
      </c>
      <c r="AW51" s="382">
        <f t="shared" si="114"/>
        <v>534.6</v>
      </c>
      <c r="AX51" s="382">
        <f t="shared" si="114"/>
        <v>2682.2</v>
      </c>
      <c r="AY51" s="382">
        <f t="shared" si="114"/>
        <v>2655.7</v>
      </c>
      <c r="AZ51" s="382">
        <f t="shared" si="114"/>
        <v>694.5</v>
      </c>
      <c r="BA51" s="382">
        <f t="shared" si="114"/>
        <v>2709.5</v>
      </c>
      <c r="BB51" s="382">
        <f t="shared" ref="BB51:BH51" si="115">+BB52+BB53</f>
        <v>2664.9</v>
      </c>
      <c r="BC51" s="382">
        <f t="shared" si="115"/>
        <v>743</v>
      </c>
      <c r="BD51" s="382">
        <f t="shared" si="115"/>
        <v>2680.9</v>
      </c>
      <c r="BE51" s="382">
        <f t="shared" si="115"/>
        <v>2658.4</v>
      </c>
      <c r="BF51" s="382">
        <f t="shared" si="115"/>
        <v>1690</v>
      </c>
      <c r="BG51" s="382">
        <f t="shared" si="115"/>
        <v>0</v>
      </c>
      <c r="BH51" s="382">
        <f t="shared" si="115"/>
        <v>0</v>
      </c>
      <c r="BI51" s="382">
        <f t="shared" ref="BI51" si="116">+BI52+BI53</f>
        <v>3387.1000000000004</v>
      </c>
      <c r="BJ51" s="382">
        <f t="shared" ref="BJ51:BQ51" si="117">+BJ52+BJ53</f>
        <v>918.8</v>
      </c>
      <c r="BK51" s="382">
        <f t="shared" si="117"/>
        <v>1945.1</v>
      </c>
      <c r="BL51" s="382">
        <f t="shared" si="117"/>
        <v>775.7</v>
      </c>
      <c r="BM51" s="382">
        <f t="shared" si="117"/>
        <v>0</v>
      </c>
      <c r="BN51" s="382">
        <f t="shared" si="117"/>
        <v>1926.9</v>
      </c>
      <c r="BO51" s="382">
        <f t="shared" si="117"/>
        <v>796.5</v>
      </c>
      <c r="BP51" s="382">
        <f t="shared" si="117"/>
        <v>0</v>
      </c>
      <c r="BQ51" s="382">
        <f t="shared" si="117"/>
        <v>646.29999999999995</v>
      </c>
      <c r="BR51" s="382">
        <f t="shared" ref="BR51:CA51" si="118">+BR52+BR53</f>
        <v>782.2</v>
      </c>
      <c r="BS51" s="382">
        <f t="shared" si="118"/>
        <v>0</v>
      </c>
      <c r="BT51" s="382">
        <f t="shared" si="118"/>
        <v>0</v>
      </c>
      <c r="BU51" s="382">
        <f t="shared" si="118"/>
        <v>735</v>
      </c>
      <c r="BV51" s="382">
        <f t="shared" si="118"/>
        <v>0</v>
      </c>
      <c r="BW51" s="382">
        <f t="shared" si="118"/>
        <v>0</v>
      </c>
      <c r="BX51" s="382">
        <f t="shared" si="118"/>
        <v>591.9</v>
      </c>
      <c r="BY51" s="382">
        <f t="shared" si="118"/>
        <v>0</v>
      </c>
      <c r="BZ51" s="382">
        <f t="shared" si="118"/>
        <v>0</v>
      </c>
      <c r="CA51" s="382">
        <f t="shared" si="118"/>
        <v>612.1</v>
      </c>
      <c r="CB51" s="382">
        <v>0</v>
      </c>
      <c r="CC51" s="382">
        <f t="shared" ref="CC51:CJ51" si="119">+CC52+CC53</f>
        <v>0</v>
      </c>
      <c r="CD51" s="382">
        <f t="shared" si="119"/>
        <v>784.1</v>
      </c>
      <c r="CE51" s="382">
        <f t="shared" si="119"/>
        <v>0</v>
      </c>
      <c r="CF51" s="382">
        <f t="shared" si="119"/>
        <v>0</v>
      </c>
      <c r="CG51" s="382">
        <f t="shared" si="119"/>
        <v>794.6</v>
      </c>
      <c r="CH51" s="382">
        <f t="shared" si="119"/>
        <v>0</v>
      </c>
      <c r="CI51" s="382">
        <f t="shared" ref="CI51" si="120">+CI52+CI53</f>
        <v>0</v>
      </c>
      <c r="CJ51" s="382">
        <f t="shared" si="119"/>
        <v>784.9</v>
      </c>
      <c r="CK51" s="253">
        <f>+CJ51/$CJ$14</f>
        <v>6.8714051844134913E-2</v>
      </c>
    </row>
    <row r="52" spans="1:89" s="225" customFormat="1" x14ac:dyDescent="0.3">
      <c r="A52" s="173"/>
      <c r="B52" s="383" t="s">
        <v>356</v>
      </c>
      <c r="C52" s="384">
        <v>0</v>
      </c>
      <c r="D52" s="384">
        <v>0</v>
      </c>
      <c r="E52" s="384">
        <v>0</v>
      </c>
      <c r="F52" s="384">
        <v>0</v>
      </c>
      <c r="G52" s="384">
        <v>0</v>
      </c>
      <c r="H52" s="384">
        <v>0</v>
      </c>
      <c r="I52" s="384">
        <v>0</v>
      </c>
      <c r="J52" s="384">
        <v>0</v>
      </c>
      <c r="K52" s="384">
        <v>0</v>
      </c>
      <c r="L52" s="384">
        <v>0</v>
      </c>
      <c r="M52" s="384">
        <v>0</v>
      </c>
      <c r="N52" s="384">
        <v>0</v>
      </c>
      <c r="O52" s="384">
        <v>0</v>
      </c>
      <c r="P52" s="384">
        <v>0</v>
      </c>
      <c r="Q52" s="384">
        <v>0</v>
      </c>
      <c r="R52" s="384">
        <v>0</v>
      </c>
      <c r="S52" s="384">
        <v>0</v>
      </c>
      <c r="T52" s="384">
        <v>0</v>
      </c>
      <c r="U52" s="384">
        <v>0</v>
      </c>
      <c r="V52" s="384">
        <v>0</v>
      </c>
      <c r="W52" s="384">
        <v>0</v>
      </c>
      <c r="X52" s="384">
        <v>0</v>
      </c>
      <c r="Y52" s="384">
        <v>0</v>
      </c>
      <c r="Z52" s="384">
        <v>0</v>
      </c>
      <c r="AA52" s="384">
        <v>0</v>
      </c>
      <c r="AB52" s="384">
        <v>0</v>
      </c>
      <c r="AC52" s="384">
        <v>0</v>
      </c>
      <c r="AD52" s="384">
        <v>0</v>
      </c>
      <c r="AE52" s="384">
        <v>0</v>
      </c>
      <c r="AF52" s="384">
        <v>0</v>
      </c>
      <c r="AG52" s="384">
        <v>0</v>
      </c>
      <c r="AH52" s="384">
        <v>0</v>
      </c>
      <c r="AI52" s="384">
        <v>1883.2</v>
      </c>
      <c r="AJ52" s="384">
        <v>0</v>
      </c>
      <c r="AK52" s="384">
        <v>0</v>
      </c>
      <c r="AL52" s="384">
        <v>1854.2</v>
      </c>
      <c r="AM52" s="384">
        <v>713.1</v>
      </c>
      <c r="AN52" s="384">
        <v>0</v>
      </c>
      <c r="AO52" s="384">
        <v>2778.2</v>
      </c>
      <c r="AP52" s="384">
        <v>688.9</v>
      </c>
      <c r="AQ52" s="384">
        <v>0</v>
      </c>
      <c r="AR52" s="384">
        <v>2687.6</v>
      </c>
      <c r="AS52" s="384">
        <v>1962.4</v>
      </c>
      <c r="AT52" s="384">
        <v>0</v>
      </c>
      <c r="AU52" s="384">
        <v>2595.9</v>
      </c>
      <c r="AV52" s="384">
        <v>2536.1999999999998</v>
      </c>
      <c r="AW52" s="384">
        <v>0</v>
      </c>
      <c r="AX52" s="384">
        <v>2682.2</v>
      </c>
      <c r="AY52" s="384">
        <v>2655.7</v>
      </c>
      <c r="AZ52" s="384">
        <v>0</v>
      </c>
      <c r="BA52" s="384">
        <v>2709.5</v>
      </c>
      <c r="BB52" s="384">
        <v>2664.9</v>
      </c>
      <c r="BC52" s="384">
        <v>0</v>
      </c>
      <c r="BD52" s="384">
        <v>2680.9</v>
      </c>
      <c r="BE52" s="384">
        <v>2658.4</v>
      </c>
      <c r="BF52" s="384">
        <v>912.4</v>
      </c>
      <c r="BG52" s="384">
        <v>0</v>
      </c>
      <c r="BH52" s="384">
        <v>0</v>
      </c>
      <c r="BI52" s="384">
        <v>2585.4</v>
      </c>
      <c r="BJ52" s="384">
        <v>918.8</v>
      </c>
      <c r="BK52" s="384">
        <v>1945.1</v>
      </c>
      <c r="BL52" s="384">
        <v>0</v>
      </c>
      <c r="BM52" s="384">
        <v>0</v>
      </c>
      <c r="BN52" s="384">
        <v>1926.9</v>
      </c>
      <c r="BO52" s="384">
        <v>0</v>
      </c>
      <c r="BP52" s="384">
        <v>0</v>
      </c>
      <c r="BQ52" s="384">
        <v>646.29999999999995</v>
      </c>
      <c r="BR52" s="384">
        <v>0</v>
      </c>
      <c r="BS52" s="384">
        <v>0</v>
      </c>
      <c r="BT52" s="384">
        <v>0</v>
      </c>
      <c r="BU52" s="384">
        <v>0</v>
      </c>
      <c r="BV52" s="384">
        <v>0</v>
      </c>
      <c r="BW52" s="384">
        <v>0</v>
      </c>
      <c r="BX52" s="384">
        <v>0</v>
      </c>
      <c r="BY52" s="384">
        <v>0</v>
      </c>
      <c r="BZ52" s="384">
        <v>0</v>
      </c>
      <c r="CA52" s="384">
        <v>0</v>
      </c>
      <c r="CB52" s="384">
        <v>0</v>
      </c>
      <c r="CC52" s="384">
        <v>0</v>
      </c>
      <c r="CD52" s="384">
        <v>0</v>
      </c>
      <c r="CE52" s="384">
        <v>0</v>
      </c>
      <c r="CF52" s="384">
        <v>0</v>
      </c>
      <c r="CG52" s="384">
        <v>0</v>
      </c>
      <c r="CH52" s="384">
        <v>0</v>
      </c>
      <c r="CI52" s="384">
        <v>0</v>
      </c>
      <c r="CJ52" s="384">
        <v>0</v>
      </c>
      <c r="CK52" s="373"/>
    </row>
    <row r="53" spans="1:89" s="225" customFormat="1" x14ac:dyDescent="0.3">
      <c r="A53" s="173"/>
      <c r="B53" s="383" t="s">
        <v>357</v>
      </c>
      <c r="C53" s="384">
        <v>0</v>
      </c>
      <c r="D53" s="384">
        <v>208.4</v>
      </c>
      <c r="E53" s="384">
        <v>0</v>
      </c>
      <c r="F53" s="384">
        <v>0</v>
      </c>
      <c r="G53" s="384">
        <v>269.3</v>
      </c>
      <c r="H53" s="384">
        <v>0</v>
      </c>
      <c r="I53" s="384">
        <v>0</v>
      </c>
      <c r="J53" s="384">
        <v>363.4</v>
      </c>
      <c r="K53" s="384">
        <v>0</v>
      </c>
      <c r="L53" s="384">
        <v>0</v>
      </c>
      <c r="M53" s="384">
        <v>391.9</v>
      </c>
      <c r="N53" s="384">
        <v>0</v>
      </c>
      <c r="O53" s="384">
        <v>0</v>
      </c>
      <c r="P53" s="384">
        <v>374.7</v>
      </c>
      <c r="Q53" s="384">
        <v>0</v>
      </c>
      <c r="R53" s="384">
        <v>0</v>
      </c>
      <c r="S53" s="384">
        <v>293</v>
      </c>
      <c r="T53" s="384">
        <v>0</v>
      </c>
      <c r="U53" s="384">
        <v>0</v>
      </c>
      <c r="V53" s="384">
        <v>304.3</v>
      </c>
      <c r="W53" s="384">
        <v>0</v>
      </c>
      <c r="X53" s="384">
        <v>0</v>
      </c>
      <c r="Y53" s="384">
        <v>307.39999999999998</v>
      </c>
      <c r="Z53" s="384">
        <v>0</v>
      </c>
      <c r="AA53" s="384">
        <v>0</v>
      </c>
      <c r="AB53" s="384">
        <v>312.60000000000002</v>
      </c>
      <c r="AC53" s="384">
        <v>0</v>
      </c>
      <c r="AD53" s="384">
        <v>0</v>
      </c>
      <c r="AE53" s="384">
        <v>299.60000000000002</v>
      </c>
      <c r="AF53" s="384">
        <v>0</v>
      </c>
      <c r="AG53" s="384">
        <v>0</v>
      </c>
      <c r="AH53" s="384">
        <v>347.6</v>
      </c>
      <c r="AI53" s="384">
        <v>0</v>
      </c>
      <c r="AJ53" s="384">
        <v>0</v>
      </c>
      <c r="AK53" s="384">
        <v>387.2</v>
      </c>
      <c r="AL53" s="384">
        <v>0</v>
      </c>
      <c r="AM53" s="384">
        <v>0</v>
      </c>
      <c r="AN53" s="384">
        <v>368.6</v>
      </c>
      <c r="AO53" s="384">
        <v>0</v>
      </c>
      <c r="AP53" s="384">
        <v>0</v>
      </c>
      <c r="AQ53" s="384">
        <v>365.4</v>
      </c>
      <c r="AR53" s="384">
        <v>0</v>
      </c>
      <c r="AS53" s="384">
        <v>0</v>
      </c>
      <c r="AT53" s="384">
        <v>452</v>
      </c>
      <c r="AU53" s="384">
        <v>0</v>
      </c>
      <c r="AV53" s="384">
        <v>0</v>
      </c>
      <c r="AW53" s="384">
        <v>534.6</v>
      </c>
      <c r="AX53" s="384">
        <v>0</v>
      </c>
      <c r="AY53" s="384">
        <v>0</v>
      </c>
      <c r="AZ53" s="384">
        <v>694.5</v>
      </c>
      <c r="BA53" s="384">
        <v>0</v>
      </c>
      <c r="BB53" s="384">
        <v>0</v>
      </c>
      <c r="BC53" s="384">
        <v>743</v>
      </c>
      <c r="BD53" s="384">
        <v>0</v>
      </c>
      <c r="BE53" s="384">
        <v>0</v>
      </c>
      <c r="BF53" s="384">
        <v>777.6</v>
      </c>
      <c r="BG53" s="384">
        <v>0</v>
      </c>
      <c r="BH53" s="384">
        <v>0</v>
      </c>
      <c r="BI53" s="384">
        <v>801.7</v>
      </c>
      <c r="BJ53" s="384">
        <v>0</v>
      </c>
      <c r="BK53" s="384">
        <v>0</v>
      </c>
      <c r="BL53" s="384">
        <v>775.7</v>
      </c>
      <c r="BM53" s="384">
        <v>0</v>
      </c>
      <c r="BN53" s="384">
        <v>0</v>
      </c>
      <c r="BO53" s="384">
        <v>796.5</v>
      </c>
      <c r="BP53" s="384">
        <v>0</v>
      </c>
      <c r="BQ53" s="384">
        <v>0</v>
      </c>
      <c r="BR53" s="384">
        <v>782.2</v>
      </c>
      <c r="BS53" s="384">
        <v>0</v>
      </c>
      <c r="BT53" s="384">
        <v>0</v>
      </c>
      <c r="BU53" s="384">
        <v>735</v>
      </c>
      <c r="BV53" s="384">
        <v>0</v>
      </c>
      <c r="BW53" s="384">
        <v>0</v>
      </c>
      <c r="BX53" s="384">
        <v>591.9</v>
      </c>
      <c r="BY53" s="384">
        <v>0</v>
      </c>
      <c r="BZ53" s="384">
        <v>0</v>
      </c>
      <c r="CA53" s="384">
        <v>612.1</v>
      </c>
      <c r="CB53" s="384">
        <v>0</v>
      </c>
      <c r="CC53" s="384">
        <v>0</v>
      </c>
      <c r="CD53" s="384">
        <v>784.1</v>
      </c>
      <c r="CE53" s="384">
        <v>0</v>
      </c>
      <c r="CF53" s="384">
        <v>0</v>
      </c>
      <c r="CG53" s="384">
        <v>794.6</v>
      </c>
      <c r="CH53" s="384">
        <v>0</v>
      </c>
      <c r="CI53" s="384">
        <v>0</v>
      </c>
      <c r="CJ53" s="384">
        <v>784.9</v>
      </c>
      <c r="CK53" s="373"/>
    </row>
    <row r="54" spans="1:89" x14ac:dyDescent="0.3">
      <c r="A54" s="173"/>
      <c r="B54" s="381" t="s">
        <v>361</v>
      </c>
      <c r="C54" s="382">
        <f>+C55+C56</f>
        <v>0</v>
      </c>
      <c r="D54" s="382">
        <f t="shared" ref="D54:BA54" si="121">+D55+D56</f>
        <v>0</v>
      </c>
      <c r="E54" s="382">
        <f t="shared" si="121"/>
        <v>0</v>
      </c>
      <c r="F54" s="382">
        <f t="shared" si="121"/>
        <v>0</v>
      </c>
      <c r="G54" s="382">
        <f t="shared" si="121"/>
        <v>1871.3</v>
      </c>
      <c r="H54" s="382">
        <f t="shared" si="121"/>
        <v>0</v>
      </c>
      <c r="I54" s="382">
        <f t="shared" si="121"/>
        <v>0</v>
      </c>
      <c r="J54" s="382">
        <f t="shared" si="121"/>
        <v>0</v>
      </c>
      <c r="K54" s="382">
        <f t="shared" si="121"/>
        <v>0</v>
      </c>
      <c r="L54" s="382">
        <f t="shared" si="121"/>
        <v>0</v>
      </c>
      <c r="M54" s="382">
        <f t="shared" si="121"/>
        <v>0</v>
      </c>
      <c r="N54" s="382">
        <f t="shared" si="121"/>
        <v>0</v>
      </c>
      <c r="O54" s="382">
        <f t="shared" si="121"/>
        <v>0</v>
      </c>
      <c r="P54" s="382">
        <f t="shared" si="121"/>
        <v>0</v>
      </c>
      <c r="Q54" s="382">
        <f t="shared" si="121"/>
        <v>0</v>
      </c>
      <c r="R54" s="382">
        <f t="shared" si="121"/>
        <v>0</v>
      </c>
      <c r="S54" s="382">
        <f t="shared" si="121"/>
        <v>0</v>
      </c>
      <c r="T54" s="382">
        <f t="shared" si="121"/>
        <v>0</v>
      </c>
      <c r="U54" s="382">
        <f t="shared" si="121"/>
        <v>0</v>
      </c>
      <c r="V54" s="382">
        <f t="shared" si="121"/>
        <v>0</v>
      </c>
      <c r="W54" s="382">
        <f t="shared" si="121"/>
        <v>0</v>
      </c>
      <c r="X54" s="382">
        <f t="shared" si="121"/>
        <v>0</v>
      </c>
      <c r="Y54" s="382">
        <f t="shared" si="121"/>
        <v>0</v>
      </c>
      <c r="Z54" s="382">
        <f t="shared" si="121"/>
        <v>0</v>
      </c>
      <c r="AA54" s="382">
        <f t="shared" si="121"/>
        <v>0</v>
      </c>
      <c r="AB54" s="382">
        <f t="shared" si="121"/>
        <v>0</v>
      </c>
      <c r="AC54" s="382">
        <f t="shared" si="121"/>
        <v>0</v>
      </c>
      <c r="AD54" s="382">
        <f t="shared" si="121"/>
        <v>0</v>
      </c>
      <c r="AE54" s="382">
        <f t="shared" si="121"/>
        <v>0</v>
      </c>
      <c r="AF54" s="382">
        <f t="shared" si="121"/>
        <v>0</v>
      </c>
      <c r="AG54" s="382">
        <f t="shared" si="121"/>
        <v>227</v>
      </c>
      <c r="AH54" s="382">
        <f t="shared" si="121"/>
        <v>0</v>
      </c>
      <c r="AI54" s="382">
        <f t="shared" si="121"/>
        <v>0</v>
      </c>
      <c r="AJ54" s="382">
        <f t="shared" si="121"/>
        <v>0</v>
      </c>
      <c r="AK54" s="382">
        <f t="shared" si="121"/>
        <v>0</v>
      </c>
      <c r="AL54" s="382">
        <f t="shared" si="121"/>
        <v>0</v>
      </c>
      <c r="AM54" s="382">
        <f t="shared" si="121"/>
        <v>0</v>
      </c>
      <c r="AN54" s="382">
        <f t="shared" si="121"/>
        <v>188.2</v>
      </c>
      <c r="AO54" s="382">
        <f t="shared" si="121"/>
        <v>0</v>
      </c>
      <c r="AP54" s="382">
        <f t="shared" si="121"/>
        <v>0</v>
      </c>
      <c r="AQ54" s="382">
        <f t="shared" si="121"/>
        <v>0</v>
      </c>
      <c r="AR54" s="382">
        <f t="shared" si="121"/>
        <v>0</v>
      </c>
      <c r="AS54" s="382">
        <f t="shared" si="121"/>
        <v>0</v>
      </c>
      <c r="AT54" s="382">
        <f t="shared" si="121"/>
        <v>0</v>
      </c>
      <c r="AU54" s="382">
        <f t="shared" si="121"/>
        <v>0</v>
      </c>
      <c r="AV54" s="382">
        <f t="shared" si="121"/>
        <v>0</v>
      </c>
      <c r="AW54" s="382">
        <f t="shared" si="121"/>
        <v>0</v>
      </c>
      <c r="AX54" s="382">
        <f t="shared" si="121"/>
        <v>177.8</v>
      </c>
      <c r="AY54" s="382">
        <f t="shared" si="121"/>
        <v>0</v>
      </c>
      <c r="AZ54" s="382">
        <f t="shared" si="121"/>
        <v>0</v>
      </c>
      <c r="BA54" s="382">
        <f t="shared" si="121"/>
        <v>184.3</v>
      </c>
      <c r="BB54" s="382">
        <f t="shared" ref="BB54:BH54" si="122">+BB55+BB56</f>
        <v>0</v>
      </c>
      <c r="BC54" s="382">
        <f t="shared" si="122"/>
        <v>0</v>
      </c>
      <c r="BD54" s="382">
        <f t="shared" si="122"/>
        <v>0</v>
      </c>
      <c r="BE54" s="382">
        <f t="shared" si="122"/>
        <v>0</v>
      </c>
      <c r="BF54" s="382">
        <f t="shared" si="122"/>
        <v>0</v>
      </c>
      <c r="BG54" s="382">
        <f t="shared" si="122"/>
        <v>0.4</v>
      </c>
      <c r="BH54" s="382">
        <f t="shared" si="122"/>
        <v>191.5</v>
      </c>
      <c r="BI54" s="382">
        <f t="shared" ref="BI54" si="123">+BI55+BI56</f>
        <v>0</v>
      </c>
      <c r="BJ54" s="382">
        <f t="shared" ref="BJ54:BQ54" si="124">+BJ55+BJ56</f>
        <v>0</v>
      </c>
      <c r="BK54" s="382">
        <f t="shared" si="124"/>
        <v>0</v>
      </c>
      <c r="BL54" s="382">
        <f t="shared" si="124"/>
        <v>0</v>
      </c>
      <c r="BM54" s="382">
        <f t="shared" si="124"/>
        <v>211.89999999999998</v>
      </c>
      <c r="BN54" s="382">
        <f t="shared" si="124"/>
        <v>0</v>
      </c>
      <c r="BO54" s="382">
        <f t="shared" si="124"/>
        <v>0</v>
      </c>
      <c r="BP54" s="382">
        <f t="shared" si="124"/>
        <v>0</v>
      </c>
      <c r="BQ54" s="382">
        <f t="shared" si="124"/>
        <v>0</v>
      </c>
      <c r="BR54" s="382">
        <f t="shared" ref="BR54:CA54" si="125">+BR55+BR56</f>
        <v>0</v>
      </c>
      <c r="BS54" s="382">
        <f t="shared" si="125"/>
        <v>214.5</v>
      </c>
      <c r="BT54" s="382">
        <f t="shared" si="125"/>
        <v>0</v>
      </c>
      <c r="BU54" s="382">
        <f t="shared" si="125"/>
        <v>0</v>
      </c>
      <c r="BV54" s="382">
        <f t="shared" si="125"/>
        <v>0</v>
      </c>
      <c r="BW54" s="382">
        <f t="shared" si="125"/>
        <v>0</v>
      </c>
      <c r="BX54" s="382">
        <f t="shared" si="125"/>
        <v>0</v>
      </c>
      <c r="BY54" s="382">
        <f t="shared" si="125"/>
        <v>231.70000000000002</v>
      </c>
      <c r="BZ54" s="382">
        <f t="shared" si="125"/>
        <v>0</v>
      </c>
      <c r="CA54" s="382">
        <f t="shared" si="125"/>
        <v>0</v>
      </c>
      <c r="CB54" s="382">
        <v>0</v>
      </c>
      <c r="CC54" s="382">
        <f t="shared" ref="CC54:CJ54" si="126">+CC55+CC56</f>
        <v>0</v>
      </c>
      <c r="CD54" s="382">
        <f t="shared" si="126"/>
        <v>0</v>
      </c>
      <c r="CE54" s="382">
        <f t="shared" si="126"/>
        <v>238.2</v>
      </c>
      <c r="CF54" s="382">
        <f t="shared" si="126"/>
        <v>0</v>
      </c>
      <c r="CG54" s="382">
        <f t="shared" si="126"/>
        <v>0</v>
      </c>
      <c r="CH54" s="382">
        <f t="shared" si="126"/>
        <v>0</v>
      </c>
      <c r="CI54" s="382">
        <f t="shared" ref="CI54" si="127">+CI55+CI56</f>
        <v>0</v>
      </c>
      <c r="CJ54" s="382">
        <f t="shared" si="126"/>
        <v>0</v>
      </c>
      <c r="CK54" s="253">
        <f>+CJ54/$CJ$14</f>
        <v>0</v>
      </c>
    </row>
    <row r="55" spans="1:89" s="225" customFormat="1" x14ac:dyDescent="0.3">
      <c r="A55" s="173"/>
      <c r="B55" s="383" t="s">
        <v>356</v>
      </c>
      <c r="C55" s="384">
        <v>0</v>
      </c>
      <c r="D55" s="384">
        <v>0</v>
      </c>
      <c r="E55" s="384">
        <v>0</v>
      </c>
      <c r="F55" s="384">
        <v>0</v>
      </c>
      <c r="G55" s="384">
        <v>1631.5</v>
      </c>
      <c r="H55" s="384">
        <v>0</v>
      </c>
      <c r="I55" s="384">
        <v>0</v>
      </c>
      <c r="J55" s="384">
        <v>0</v>
      </c>
      <c r="K55" s="384">
        <v>0</v>
      </c>
      <c r="L55" s="384">
        <v>0</v>
      </c>
      <c r="M55" s="384">
        <v>0</v>
      </c>
      <c r="N55" s="384">
        <v>0</v>
      </c>
      <c r="O55" s="384">
        <v>0</v>
      </c>
      <c r="P55" s="384">
        <v>0</v>
      </c>
      <c r="Q55" s="384">
        <v>0</v>
      </c>
      <c r="R55" s="384">
        <v>0</v>
      </c>
      <c r="S55" s="384">
        <v>0</v>
      </c>
      <c r="T55" s="384">
        <v>0</v>
      </c>
      <c r="U55" s="384">
        <v>0</v>
      </c>
      <c r="V55" s="384">
        <v>0</v>
      </c>
      <c r="W55" s="384">
        <v>0</v>
      </c>
      <c r="X55" s="384">
        <v>0</v>
      </c>
      <c r="Y55" s="384">
        <v>0</v>
      </c>
      <c r="Z55" s="384">
        <v>0</v>
      </c>
      <c r="AA55" s="384">
        <v>0</v>
      </c>
      <c r="AB55" s="384">
        <v>0</v>
      </c>
      <c r="AC55" s="384">
        <v>0</v>
      </c>
      <c r="AD55" s="384">
        <v>0</v>
      </c>
      <c r="AE55" s="384">
        <v>0</v>
      </c>
      <c r="AF55" s="384">
        <v>0</v>
      </c>
      <c r="AG55" s="384">
        <v>227</v>
      </c>
      <c r="AH55" s="384">
        <v>0</v>
      </c>
      <c r="AI55" s="384">
        <v>0</v>
      </c>
      <c r="AJ55" s="384">
        <v>0</v>
      </c>
      <c r="AK55" s="384">
        <v>0</v>
      </c>
      <c r="AL55" s="384">
        <v>0</v>
      </c>
      <c r="AM55" s="384">
        <v>0</v>
      </c>
      <c r="AN55" s="384">
        <v>188.2</v>
      </c>
      <c r="AO55" s="384">
        <v>0</v>
      </c>
      <c r="AP55" s="384">
        <v>0</v>
      </c>
      <c r="AQ55" s="384">
        <v>0</v>
      </c>
      <c r="AR55" s="384">
        <v>0</v>
      </c>
      <c r="AS55" s="384">
        <v>0</v>
      </c>
      <c r="AT55" s="384">
        <v>0</v>
      </c>
      <c r="AU55" s="384">
        <v>0</v>
      </c>
      <c r="AV55" s="384">
        <v>0</v>
      </c>
      <c r="AW55" s="384">
        <v>0</v>
      </c>
      <c r="AX55" s="384">
        <v>159.9</v>
      </c>
      <c r="AY55" s="384">
        <v>0</v>
      </c>
      <c r="AZ55" s="384">
        <v>0</v>
      </c>
      <c r="BA55" s="384">
        <v>163.30000000000001</v>
      </c>
      <c r="BB55" s="384">
        <v>0</v>
      </c>
      <c r="BC55" s="384">
        <v>0</v>
      </c>
      <c r="BD55" s="384">
        <v>0</v>
      </c>
      <c r="BE55" s="384">
        <v>0</v>
      </c>
      <c r="BF55" s="384">
        <v>0</v>
      </c>
      <c r="BG55" s="384">
        <v>0.3</v>
      </c>
      <c r="BH55" s="384">
        <v>157.19999999999999</v>
      </c>
      <c r="BI55" s="384">
        <v>0</v>
      </c>
      <c r="BJ55" s="384">
        <v>0</v>
      </c>
      <c r="BK55" s="384">
        <v>0</v>
      </c>
      <c r="BL55" s="384">
        <v>0</v>
      </c>
      <c r="BM55" s="384">
        <v>176.6</v>
      </c>
      <c r="BN55" s="384">
        <v>0</v>
      </c>
      <c r="BO55" s="384">
        <v>0</v>
      </c>
      <c r="BP55" s="384">
        <v>0</v>
      </c>
      <c r="BQ55" s="384">
        <v>0</v>
      </c>
      <c r="BR55" s="384">
        <v>0</v>
      </c>
      <c r="BS55" s="384">
        <v>182</v>
      </c>
      <c r="BT55" s="384">
        <v>0</v>
      </c>
      <c r="BU55" s="384">
        <v>0</v>
      </c>
      <c r="BV55" s="384">
        <v>0</v>
      </c>
      <c r="BW55" s="384">
        <v>0</v>
      </c>
      <c r="BX55" s="384">
        <v>0</v>
      </c>
      <c r="BY55" s="384">
        <v>204.3</v>
      </c>
      <c r="BZ55" s="384">
        <v>0</v>
      </c>
      <c r="CA55" s="384">
        <v>0</v>
      </c>
      <c r="CB55" s="384">
        <v>0</v>
      </c>
      <c r="CC55" s="384">
        <v>0</v>
      </c>
      <c r="CD55" s="384">
        <v>0</v>
      </c>
      <c r="CE55" s="384">
        <v>214.2</v>
      </c>
      <c r="CF55" s="384">
        <v>0</v>
      </c>
      <c r="CG55" s="384">
        <v>0</v>
      </c>
      <c r="CH55" s="384">
        <v>0</v>
      </c>
      <c r="CI55" s="384">
        <v>0</v>
      </c>
      <c r="CJ55" s="384">
        <v>0</v>
      </c>
      <c r="CK55" s="372"/>
    </row>
    <row r="56" spans="1:89" s="225" customFormat="1" x14ac:dyDescent="0.3">
      <c r="A56" s="173"/>
      <c r="B56" s="383" t="s">
        <v>357</v>
      </c>
      <c r="C56" s="384">
        <v>0</v>
      </c>
      <c r="D56" s="384">
        <v>0</v>
      </c>
      <c r="E56" s="384">
        <v>0</v>
      </c>
      <c r="F56" s="384">
        <v>0</v>
      </c>
      <c r="G56" s="384">
        <v>239.8</v>
      </c>
      <c r="H56" s="384">
        <v>0</v>
      </c>
      <c r="I56" s="384">
        <v>0</v>
      </c>
      <c r="J56" s="384">
        <v>0</v>
      </c>
      <c r="K56" s="384">
        <v>0</v>
      </c>
      <c r="L56" s="384">
        <v>0</v>
      </c>
      <c r="M56" s="384">
        <v>0</v>
      </c>
      <c r="N56" s="384">
        <v>0</v>
      </c>
      <c r="O56" s="384">
        <v>0</v>
      </c>
      <c r="P56" s="384">
        <v>0</v>
      </c>
      <c r="Q56" s="384">
        <v>0</v>
      </c>
      <c r="R56" s="384">
        <v>0</v>
      </c>
      <c r="S56" s="384">
        <v>0</v>
      </c>
      <c r="T56" s="384">
        <v>0</v>
      </c>
      <c r="U56" s="384">
        <v>0</v>
      </c>
      <c r="V56" s="384">
        <v>0</v>
      </c>
      <c r="W56" s="384">
        <v>0</v>
      </c>
      <c r="X56" s="384">
        <v>0</v>
      </c>
      <c r="Y56" s="384">
        <v>0</v>
      </c>
      <c r="Z56" s="384">
        <v>0</v>
      </c>
      <c r="AA56" s="384">
        <v>0</v>
      </c>
      <c r="AB56" s="384">
        <v>0</v>
      </c>
      <c r="AC56" s="384">
        <v>0</v>
      </c>
      <c r="AD56" s="384">
        <v>0</v>
      </c>
      <c r="AE56" s="384">
        <v>0</v>
      </c>
      <c r="AF56" s="384">
        <v>0</v>
      </c>
      <c r="AG56" s="384">
        <v>0</v>
      </c>
      <c r="AH56" s="384">
        <v>0</v>
      </c>
      <c r="AI56" s="384">
        <v>0</v>
      </c>
      <c r="AJ56" s="384">
        <v>0</v>
      </c>
      <c r="AK56" s="384">
        <v>0</v>
      </c>
      <c r="AL56" s="384">
        <v>0</v>
      </c>
      <c r="AM56" s="384">
        <v>0</v>
      </c>
      <c r="AN56" s="384">
        <v>0</v>
      </c>
      <c r="AO56" s="384">
        <v>0</v>
      </c>
      <c r="AP56" s="384">
        <v>0</v>
      </c>
      <c r="AQ56" s="384">
        <v>0</v>
      </c>
      <c r="AR56" s="384">
        <v>0</v>
      </c>
      <c r="AS56" s="384">
        <v>0</v>
      </c>
      <c r="AT56" s="384">
        <v>0</v>
      </c>
      <c r="AU56" s="384">
        <v>0</v>
      </c>
      <c r="AV56" s="384">
        <v>0</v>
      </c>
      <c r="AW56" s="384">
        <v>0</v>
      </c>
      <c r="AX56" s="384">
        <v>17.899999999999999</v>
      </c>
      <c r="AY56" s="384">
        <v>0</v>
      </c>
      <c r="AZ56" s="384">
        <v>0</v>
      </c>
      <c r="BA56" s="384">
        <v>21</v>
      </c>
      <c r="BB56" s="384">
        <v>0</v>
      </c>
      <c r="BC56" s="384">
        <v>0</v>
      </c>
      <c r="BD56" s="384">
        <v>0</v>
      </c>
      <c r="BE56" s="384">
        <v>0</v>
      </c>
      <c r="BF56" s="384">
        <v>0</v>
      </c>
      <c r="BG56" s="384">
        <v>0.1</v>
      </c>
      <c r="BH56" s="384">
        <v>34.299999999999997</v>
      </c>
      <c r="BI56" s="384">
        <v>0</v>
      </c>
      <c r="BJ56" s="384">
        <v>0</v>
      </c>
      <c r="BK56" s="384">
        <v>0</v>
      </c>
      <c r="BL56" s="384">
        <v>0</v>
      </c>
      <c r="BM56" s="384">
        <v>35.299999999999997</v>
      </c>
      <c r="BN56" s="384">
        <v>0</v>
      </c>
      <c r="BO56" s="384">
        <v>0</v>
      </c>
      <c r="BP56" s="384">
        <v>0</v>
      </c>
      <c r="BQ56" s="384">
        <v>0</v>
      </c>
      <c r="BR56" s="384">
        <v>0</v>
      </c>
      <c r="BS56" s="384">
        <v>32.5</v>
      </c>
      <c r="BT56" s="384">
        <v>0</v>
      </c>
      <c r="BU56" s="384">
        <v>0</v>
      </c>
      <c r="BV56" s="384">
        <v>0</v>
      </c>
      <c r="BW56" s="384">
        <v>0</v>
      </c>
      <c r="BX56" s="384">
        <v>0</v>
      </c>
      <c r="BY56" s="384">
        <v>27.4</v>
      </c>
      <c r="BZ56" s="384">
        <v>0</v>
      </c>
      <c r="CA56" s="384">
        <v>0</v>
      </c>
      <c r="CB56" s="384">
        <v>0</v>
      </c>
      <c r="CC56" s="384">
        <v>0</v>
      </c>
      <c r="CD56" s="384">
        <v>0</v>
      </c>
      <c r="CE56" s="384">
        <v>24</v>
      </c>
      <c r="CF56" s="384">
        <v>0</v>
      </c>
      <c r="CG56" s="384">
        <v>0</v>
      </c>
      <c r="CH56" s="384">
        <v>0</v>
      </c>
      <c r="CI56" s="384">
        <v>0</v>
      </c>
      <c r="CJ56" s="384">
        <v>0</v>
      </c>
      <c r="CK56" s="372"/>
    </row>
    <row r="57" spans="1:89" s="225" customFormat="1" x14ac:dyDescent="0.3">
      <c r="A57" s="173"/>
      <c r="B57" s="381" t="s">
        <v>362</v>
      </c>
      <c r="C57" s="382">
        <f>+C58+C59</f>
        <v>159.1</v>
      </c>
      <c r="D57" s="382">
        <f t="shared" ref="D57:BA57" si="128">+D58+D59</f>
        <v>29.5</v>
      </c>
      <c r="E57" s="382">
        <f t="shared" si="128"/>
        <v>1071.2</v>
      </c>
      <c r="F57" s="382">
        <f t="shared" si="128"/>
        <v>20.2</v>
      </c>
      <c r="G57" s="382">
        <f t="shared" si="128"/>
        <v>10.700000000000001</v>
      </c>
      <c r="H57" s="382">
        <f t="shared" si="128"/>
        <v>53.6</v>
      </c>
      <c r="I57" s="382">
        <f t="shared" si="128"/>
        <v>161.39999999999998</v>
      </c>
      <c r="J57" s="382">
        <f t="shared" si="128"/>
        <v>15.7</v>
      </c>
      <c r="K57" s="382">
        <f t="shared" si="128"/>
        <v>14.9</v>
      </c>
      <c r="L57" s="382">
        <f t="shared" si="128"/>
        <v>21.400000000000002</v>
      </c>
      <c r="M57" s="382">
        <f t="shared" si="128"/>
        <v>10.8</v>
      </c>
      <c r="N57" s="382">
        <f t="shared" si="128"/>
        <v>49</v>
      </c>
      <c r="O57" s="382">
        <f t="shared" si="128"/>
        <v>228</v>
      </c>
      <c r="P57" s="382">
        <f t="shared" si="128"/>
        <v>114.5</v>
      </c>
      <c r="Q57" s="382">
        <f t="shared" si="128"/>
        <v>1245.4000000000001</v>
      </c>
      <c r="R57" s="382">
        <f t="shared" si="128"/>
        <v>521.6</v>
      </c>
      <c r="S57" s="382">
        <f t="shared" si="128"/>
        <v>12.1</v>
      </c>
      <c r="T57" s="382">
        <f t="shared" si="128"/>
        <v>60.400000000000006</v>
      </c>
      <c r="U57" s="382">
        <f t="shared" si="128"/>
        <v>198.8</v>
      </c>
      <c r="V57" s="382">
        <f t="shared" si="128"/>
        <v>1.9</v>
      </c>
      <c r="W57" s="382">
        <f t="shared" si="128"/>
        <v>13.3</v>
      </c>
      <c r="X57" s="382">
        <f t="shared" si="128"/>
        <v>23.9</v>
      </c>
      <c r="Y57" s="382">
        <f t="shared" si="128"/>
        <v>31.099999999999998</v>
      </c>
      <c r="Z57" s="382">
        <f t="shared" si="128"/>
        <v>36.200000000000003</v>
      </c>
      <c r="AA57" s="382">
        <f t="shared" si="128"/>
        <v>208.8</v>
      </c>
      <c r="AB57" s="382">
        <f t="shared" si="128"/>
        <v>2.2999999999999998</v>
      </c>
      <c r="AC57" s="382">
        <f t="shared" si="128"/>
        <v>799.9</v>
      </c>
      <c r="AD57" s="382">
        <f t="shared" si="128"/>
        <v>26.099999999999998</v>
      </c>
      <c r="AE57" s="382">
        <f t="shared" si="128"/>
        <v>37.4</v>
      </c>
      <c r="AF57" s="382">
        <f t="shared" si="128"/>
        <v>36.9</v>
      </c>
      <c r="AG57" s="382">
        <f t="shared" si="128"/>
        <v>206.29999999999998</v>
      </c>
      <c r="AH57" s="382">
        <f t="shared" si="128"/>
        <v>3.1</v>
      </c>
      <c r="AI57" s="382">
        <f t="shared" si="128"/>
        <v>18.399999999999999</v>
      </c>
      <c r="AJ57" s="382">
        <f t="shared" si="128"/>
        <v>9.1</v>
      </c>
      <c r="AK57" s="382">
        <f t="shared" si="128"/>
        <v>35.9</v>
      </c>
      <c r="AL57" s="382">
        <f t="shared" si="128"/>
        <v>34.5</v>
      </c>
      <c r="AM57" s="382">
        <f t="shared" si="128"/>
        <v>201.9</v>
      </c>
      <c r="AN57" s="382">
        <f t="shared" si="128"/>
        <v>5.9</v>
      </c>
      <c r="AO57" s="382">
        <f t="shared" si="128"/>
        <v>802.59999999999991</v>
      </c>
      <c r="AP57" s="382">
        <f t="shared" si="128"/>
        <v>15.9</v>
      </c>
      <c r="AQ57" s="382">
        <f t="shared" si="128"/>
        <v>36.099999999999994</v>
      </c>
      <c r="AR57" s="382">
        <f t="shared" si="128"/>
        <v>36</v>
      </c>
      <c r="AS57" s="382">
        <f t="shared" si="128"/>
        <v>202.3</v>
      </c>
      <c r="AT57" s="382">
        <f t="shared" si="128"/>
        <v>5.7</v>
      </c>
      <c r="AU57" s="382">
        <f t="shared" si="128"/>
        <v>26.2</v>
      </c>
      <c r="AV57" s="382">
        <f t="shared" si="128"/>
        <v>16.7</v>
      </c>
      <c r="AW57" s="382">
        <f t="shared" si="128"/>
        <v>37.400000000000006</v>
      </c>
      <c r="AX57" s="382">
        <f t="shared" si="128"/>
        <v>57.8</v>
      </c>
      <c r="AY57" s="382">
        <f t="shared" si="128"/>
        <v>249.4</v>
      </c>
      <c r="AZ57" s="382">
        <f t="shared" si="128"/>
        <v>6.4</v>
      </c>
      <c r="BA57" s="382">
        <f t="shared" si="128"/>
        <v>934.8</v>
      </c>
      <c r="BB57" s="382">
        <f t="shared" ref="BB57:BH57" si="129">+BB58+BB59</f>
        <v>21.7</v>
      </c>
      <c r="BC57" s="382">
        <f t="shared" si="129"/>
        <v>43.9</v>
      </c>
      <c r="BD57" s="382">
        <f t="shared" si="129"/>
        <v>74.900000000000006</v>
      </c>
      <c r="BE57" s="382">
        <f t="shared" si="129"/>
        <v>287.79999999999995</v>
      </c>
      <c r="BF57" s="382">
        <f t="shared" si="129"/>
        <v>780</v>
      </c>
      <c r="BG57" s="382">
        <f t="shared" si="129"/>
        <v>52</v>
      </c>
      <c r="BH57" s="382">
        <f t="shared" si="129"/>
        <v>22.8</v>
      </c>
      <c r="BI57" s="382">
        <f t="shared" ref="BI57" si="130">+BI58+BI59</f>
        <v>46.7</v>
      </c>
      <c r="BJ57" s="382">
        <f t="shared" ref="BJ57:BQ57" si="131">+BJ58+BJ59</f>
        <v>75.299999999999983</v>
      </c>
      <c r="BK57" s="382">
        <f t="shared" si="131"/>
        <v>293.8</v>
      </c>
      <c r="BL57" s="382">
        <f t="shared" si="131"/>
        <v>9.3000000000000007</v>
      </c>
      <c r="BM57" s="382">
        <f t="shared" si="131"/>
        <v>56.399999999999984</v>
      </c>
      <c r="BN57" s="382">
        <f t="shared" si="131"/>
        <v>26.9</v>
      </c>
      <c r="BO57" s="382">
        <f t="shared" si="131"/>
        <v>43.1</v>
      </c>
      <c r="BP57" s="382">
        <f t="shared" si="131"/>
        <v>72.3</v>
      </c>
      <c r="BQ57" s="382">
        <f t="shared" si="131"/>
        <v>287.60000000000002</v>
      </c>
      <c r="BR57" s="382">
        <f t="shared" ref="BR57:CA57" si="132">+BR58+BR59</f>
        <v>9.8000000000000007</v>
      </c>
      <c r="BS57" s="382">
        <f t="shared" si="132"/>
        <v>66.8</v>
      </c>
      <c r="BT57" s="382">
        <f t="shared" si="132"/>
        <v>25</v>
      </c>
      <c r="BU57" s="382">
        <f t="shared" si="132"/>
        <v>16.799999999999997</v>
      </c>
      <c r="BV57" s="382">
        <f t="shared" si="132"/>
        <v>95.9</v>
      </c>
      <c r="BW57" s="382">
        <f t="shared" si="132"/>
        <v>276.2</v>
      </c>
      <c r="BX57" s="382">
        <f t="shared" si="132"/>
        <v>11</v>
      </c>
      <c r="BY57" s="382">
        <f t="shared" si="132"/>
        <v>1005.9</v>
      </c>
      <c r="BZ57" s="382">
        <f t="shared" si="132"/>
        <v>25</v>
      </c>
      <c r="CA57" s="382">
        <f t="shared" si="132"/>
        <v>40.1</v>
      </c>
      <c r="CB57" s="382">
        <v>64.7</v>
      </c>
      <c r="CC57" s="382">
        <f t="shared" ref="CC57:CJ57" si="133">+CC58+CC59</f>
        <v>266.39999999999998</v>
      </c>
      <c r="CD57" s="382">
        <f t="shared" si="133"/>
        <v>11.2</v>
      </c>
      <c r="CE57" s="382">
        <f t="shared" si="133"/>
        <v>65.8</v>
      </c>
      <c r="CF57" s="382">
        <f t="shared" si="133"/>
        <v>25.5</v>
      </c>
      <c r="CG57" s="382">
        <f t="shared" si="133"/>
        <v>14.5</v>
      </c>
      <c r="CH57" s="382">
        <f t="shared" si="133"/>
        <v>86.199999999999989</v>
      </c>
      <c r="CI57" s="382">
        <f t="shared" ref="CI57" si="134">+CI58+CI59</f>
        <v>277.60000000000002</v>
      </c>
      <c r="CJ57" s="382">
        <f t="shared" si="133"/>
        <v>14.8</v>
      </c>
      <c r="CK57" s="253">
        <f>+CJ57/$CJ$14</f>
        <v>1.2956656482267764E-3</v>
      </c>
    </row>
    <row r="58" spans="1:89" s="225" customFormat="1" x14ac:dyDescent="0.3">
      <c r="A58" s="173"/>
      <c r="B58" s="383" t="s">
        <v>356</v>
      </c>
      <c r="C58" s="384">
        <v>112.6</v>
      </c>
      <c r="D58" s="384">
        <v>29</v>
      </c>
      <c r="E58" s="384">
        <v>1049.9000000000001</v>
      </c>
      <c r="F58" s="384">
        <v>19.399999999999999</v>
      </c>
      <c r="G58" s="384">
        <v>8.9</v>
      </c>
      <c r="H58" s="384">
        <v>4.4000000000000004</v>
      </c>
      <c r="I58" s="384">
        <v>112.6</v>
      </c>
      <c r="J58" s="384">
        <v>14.1</v>
      </c>
      <c r="K58" s="384">
        <v>6.5</v>
      </c>
      <c r="L58" s="384">
        <v>20.6</v>
      </c>
      <c r="M58" s="384">
        <v>8.8000000000000007</v>
      </c>
      <c r="N58" s="384">
        <v>4.5</v>
      </c>
      <c r="O58" s="384">
        <v>112.5</v>
      </c>
      <c r="P58" s="384">
        <v>113.6</v>
      </c>
      <c r="Q58" s="384">
        <v>1239.9000000000001</v>
      </c>
      <c r="R58" s="384">
        <v>473.5</v>
      </c>
      <c r="S58" s="384">
        <v>10.1</v>
      </c>
      <c r="T58" s="384">
        <v>18.3</v>
      </c>
      <c r="U58" s="384">
        <v>154.1</v>
      </c>
      <c r="V58" s="384">
        <v>1.2</v>
      </c>
      <c r="W58" s="384">
        <v>5.9</v>
      </c>
      <c r="X58" s="384">
        <v>22.2</v>
      </c>
      <c r="Y58" s="384">
        <v>27.7</v>
      </c>
      <c r="Z58" s="384">
        <v>8.8000000000000007</v>
      </c>
      <c r="AA58" s="384">
        <v>175.6</v>
      </c>
      <c r="AB58" s="384">
        <v>1.6</v>
      </c>
      <c r="AC58" s="384">
        <v>792.5</v>
      </c>
      <c r="AD58" s="384">
        <v>23.9</v>
      </c>
      <c r="AE58" s="384">
        <v>33.9</v>
      </c>
      <c r="AF58" s="384">
        <v>10.6</v>
      </c>
      <c r="AG58" s="384">
        <v>175.6</v>
      </c>
      <c r="AH58" s="384">
        <v>2.1</v>
      </c>
      <c r="AI58" s="384">
        <v>11</v>
      </c>
      <c r="AJ58" s="384">
        <v>6.5</v>
      </c>
      <c r="AK58" s="384">
        <v>32.4</v>
      </c>
      <c r="AL58" s="384">
        <v>10.1</v>
      </c>
      <c r="AM58" s="384">
        <v>173</v>
      </c>
      <c r="AN58" s="384">
        <v>4.5</v>
      </c>
      <c r="AO58" s="384">
        <v>794.8</v>
      </c>
      <c r="AP58" s="384">
        <v>12.8</v>
      </c>
      <c r="AQ58" s="384">
        <v>32.299999999999997</v>
      </c>
      <c r="AR58" s="384">
        <v>10.4</v>
      </c>
      <c r="AS58" s="384">
        <v>172.9</v>
      </c>
      <c r="AT58" s="384">
        <v>4.2</v>
      </c>
      <c r="AU58" s="384">
        <v>15.6</v>
      </c>
      <c r="AV58" s="384">
        <v>12.8</v>
      </c>
      <c r="AW58" s="384">
        <v>32.700000000000003</v>
      </c>
      <c r="AX58" s="384">
        <v>15.2</v>
      </c>
      <c r="AY58" s="384">
        <v>201</v>
      </c>
      <c r="AZ58" s="384">
        <v>4.3</v>
      </c>
      <c r="BA58" s="384">
        <v>916.3</v>
      </c>
      <c r="BB58" s="384">
        <v>15.6</v>
      </c>
      <c r="BC58" s="384">
        <v>34.9</v>
      </c>
      <c r="BD58" s="384">
        <v>15.3</v>
      </c>
      <c r="BE58" s="384">
        <v>219.2</v>
      </c>
      <c r="BF58" s="384">
        <v>775.3</v>
      </c>
      <c r="BG58" s="384">
        <v>16.3</v>
      </c>
      <c r="BH58" s="384">
        <v>15.6</v>
      </c>
      <c r="BI58" s="384">
        <v>36.200000000000003</v>
      </c>
      <c r="BJ58" s="384">
        <v>12</v>
      </c>
      <c r="BK58" s="384">
        <v>223.4</v>
      </c>
      <c r="BL58" s="384">
        <v>5.5</v>
      </c>
      <c r="BM58" s="384">
        <v>18.100000000000001</v>
      </c>
      <c r="BN58" s="384">
        <v>19.2</v>
      </c>
      <c r="BO58" s="384">
        <v>31.7</v>
      </c>
      <c r="BP58" s="384">
        <v>12.3</v>
      </c>
      <c r="BQ58" s="384">
        <v>223.3</v>
      </c>
      <c r="BR58" s="384">
        <v>5.7</v>
      </c>
      <c r="BS58" s="384">
        <v>27.5</v>
      </c>
      <c r="BT58" s="384">
        <v>17.8</v>
      </c>
      <c r="BU58" s="384">
        <v>11.2</v>
      </c>
      <c r="BV58" s="384">
        <v>37.5</v>
      </c>
      <c r="BW58" s="384">
        <v>219</v>
      </c>
      <c r="BX58" s="384">
        <v>6.5</v>
      </c>
      <c r="BY58" s="384">
        <v>963.6</v>
      </c>
      <c r="BZ58" s="384">
        <v>18</v>
      </c>
      <c r="CA58" s="384">
        <v>32.1</v>
      </c>
      <c r="CB58" s="384">
        <v>14.9</v>
      </c>
      <c r="CC58" s="384">
        <v>218.1</v>
      </c>
      <c r="CD58" s="384">
        <v>6.8</v>
      </c>
      <c r="CE58" s="384">
        <v>25.9</v>
      </c>
      <c r="CF58" s="384">
        <v>18.8</v>
      </c>
      <c r="CG58" s="384">
        <v>9.5</v>
      </c>
      <c r="CH58" s="384">
        <v>36.4</v>
      </c>
      <c r="CI58" s="384">
        <v>233.1</v>
      </c>
      <c r="CJ58" s="384">
        <v>9.4</v>
      </c>
      <c r="CK58" s="372"/>
    </row>
    <row r="59" spans="1:89" s="225" customFormat="1" x14ac:dyDescent="0.3">
      <c r="A59" s="173"/>
      <c r="B59" s="383" t="s">
        <v>357</v>
      </c>
      <c r="C59" s="384">
        <v>46.5</v>
      </c>
      <c r="D59" s="384">
        <v>0.5</v>
      </c>
      <c r="E59" s="384">
        <v>21.3</v>
      </c>
      <c r="F59" s="384">
        <v>0.8</v>
      </c>
      <c r="G59" s="384">
        <v>1.8</v>
      </c>
      <c r="H59" s="384">
        <v>49.2</v>
      </c>
      <c r="I59" s="384">
        <v>48.8</v>
      </c>
      <c r="J59" s="384">
        <v>1.6</v>
      </c>
      <c r="K59" s="384">
        <v>8.4</v>
      </c>
      <c r="L59" s="384">
        <v>0.8</v>
      </c>
      <c r="M59" s="384">
        <v>2</v>
      </c>
      <c r="N59" s="384">
        <v>44.5</v>
      </c>
      <c r="O59" s="384">
        <v>115.5</v>
      </c>
      <c r="P59" s="384">
        <v>0.9</v>
      </c>
      <c r="Q59" s="384">
        <v>5.5</v>
      </c>
      <c r="R59" s="384">
        <v>48.1</v>
      </c>
      <c r="S59" s="384">
        <v>2</v>
      </c>
      <c r="T59" s="384">
        <v>42.1</v>
      </c>
      <c r="U59" s="384">
        <v>44.7</v>
      </c>
      <c r="V59" s="384">
        <v>0.7</v>
      </c>
      <c r="W59" s="384">
        <v>7.4</v>
      </c>
      <c r="X59" s="384">
        <v>1.7</v>
      </c>
      <c r="Y59" s="384">
        <v>3.4</v>
      </c>
      <c r="Z59" s="384">
        <v>27.4</v>
      </c>
      <c r="AA59" s="384">
        <v>33.200000000000003</v>
      </c>
      <c r="AB59" s="384">
        <v>0.7</v>
      </c>
      <c r="AC59" s="384">
        <v>7.4</v>
      </c>
      <c r="AD59" s="384">
        <v>2.2000000000000002</v>
      </c>
      <c r="AE59" s="384">
        <v>3.5</v>
      </c>
      <c r="AF59" s="384">
        <v>26.3</v>
      </c>
      <c r="AG59" s="384">
        <v>30.7</v>
      </c>
      <c r="AH59" s="384">
        <v>1</v>
      </c>
      <c r="AI59" s="384">
        <v>7.4</v>
      </c>
      <c r="AJ59" s="384">
        <v>2.6</v>
      </c>
      <c r="AK59" s="384">
        <v>3.5</v>
      </c>
      <c r="AL59" s="384">
        <v>24.4</v>
      </c>
      <c r="AM59" s="384">
        <v>28.9</v>
      </c>
      <c r="AN59" s="384">
        <v>1.4</v>
      </c>
      <c r="AO59" s="384">
        <v>7.8</v>
      </c>
      <c r="AP59" s="384">
        <v>3.1</v>
      </c>
      <c r="AQ59" s="384">
        <v>3.8</v>
      </c>
      <c r="AR59" s="384">
        <v>25.6</v>
      </c>
      <c r="AS59" s="384">
        <v>29.4</v>
      </c>
      <c r="AT59" s="384">
        <v>1.5</v>
      </c>
      <c r="AU59" s="384">
        <v>10.6</v>
      </c>
      <c r="AV59" s="384">
        <v>3.9</v>
      </c>
      <c r="AW59" s="384">
        <v>4.7</v>
      </c>
      <c r="AX59" s="384">
        <v>42.6</v>
      </c>
      <c r="AY59" s="384">
        <v>48.4</v>
      </c>
      <c r="AZ59" s="384">
        <v>2.1</v>
      </c>
      <c r="BA59" s="384">
        <v>18.5</v>
      </c>
      <c r="BB59" s="384">
        <v>6.1</v>
      </c>
      <c r="BC59" s="384">
        <v>9</v>
      </c>
      <c r="BD59" s="384">
        <v>59.6</v>
      </c>
      <c r="BE59" s="384">
        <v>68.599999999999994</v>
      </c>
      <c r="BF59" s="384">
        <v>4.7</v>
      </c>
      <c r="BG59" s="384">
        <v>35.700000000000003</v>
      </c>
      <c r="BH59" s="384">
        <v>7.2</v>
      </c>
      <c r="BI59" s="384">
        <v>10.5</v>
      </c>
      <c r="BJ59" s="384">
        <v>63.299999999999983</v>
      </c>
      <c r="BK59" s="384">
        <v>70.399999999999991</v>
      </c>
      <c r="BL59" s="384">
        <v>3.8</v>
      </c>
      <c r="BM59" s="384">
        <v>38.299999999999983</v>
      </c>
      <c r="BN59" s="384">
        <v>7.7</v>
      </c>
      <c r="BO59" s="384">
        <v>11.4</v>
      </c>
      <c r="BP59" s="384">
        <v>60</v>
      </c>
      <c r="BQ59" s="384">
        <v>64.3</v>
      </c>
      <c r="BR59" s="384">
        <v>4.0999999999999996</v>
      </c>
      <c r="BS59" s="384">
        <v>39.299999999999997</v>
      </c>
      <c r="BT59" s="384">
        <v>7.2</v>
      </c>
      <c r="BU59" s="384">
        <v>5.6</v>
      </c>
      <c r="BV59" s="384">
        <v>58.4</v>
      </c>
      <c r="BW59" s="384">
        <v>57.2</v>
      </c>
      <c r="BX59" s="384">
        <v>4.5</v>
      </c>
      <c r="BY59" s="384">
        <v>42.3</v>
      </c>
      <c r="BZ59" s="384">
        <v>7</v>
      </c>
      <c r="CA59" s="384">
        <v>8</v>
      </c>
      <c r="CB59" s="384">
        <v>49.8</v>
      </c>
      <c r="CC59" s="384">
        <v>48.3</v>
      </c>
      <c r="CD59" s="384">
        <v>4.4000000000000004</v>
      </c>
      <c r="CE59" s="384">
        <v>39.9</v>
      </c>
      <c r="CF59" s="384">
        <v>6.7</v>
      </c>
      <c r="CG59" s="384">
        <v>5</v>
      </c>
      <c r="CH59" s="384">
        <v>49.8</v>
      </c>
      <c r="CI59" s="384">
        <v>44.5</v>
      </c>
      <c r="CJ59" s="384">
        <v>5.4</v>
      </c>
      <c r="CK59" s="373"/>
    </row>
    <row r="60" spans="1:89" s="225" customFormat="1" thickBot="1" x14ac:dyDescent="0.35">
      <c r="A60" s="173"/>
      <c r="B60" s="98"/>
      <c r="C60" s="98"/>
      <c r="D60" s="98"/>
      <c r="E60" s="98"/>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c r="BA60" s="281"/>
      <c r="BB60" s="281"/>
      <c r="BC60" s="281"/>
      <c r="BD60" s="281"/>
      <c r="BE60" s="281"/>
      <c r="BF60" s="281"/>
      <c r="BG60" s="281"/>
      <c r="BH60" s="281"/>
      <c r="BI60" s="281"/>
      <c r="BJ60" s="281"/>
      <c r="BK60" s="281"/>
      <c r="BL60" s="281"/>
      <c r="BM60" s="281"/>
      <c r="BN60" s="281"/>
      <c r="BO60" s="281"/>
      <c r="BP60" s="281"/>
      <c r="BQ60" s="281"/>
      <c r="BR60" s="281"/>
      <c r="BS60" s="281"/>
      <c r="BT60" s="281"/>
      <c r="BU60" s="281"/>
      <c r="BV60" s="281"/>
      <c r="BW60" s="281"/>
      <c r="BX60" s="281"/>
      <c r="BY60" s="281"/>
      <c r="BZ60" s="281"/>
      <c r="CA60" s="281"/>
      <c r="CB60" s="281"/>
      <c r="CC60" s="281"/>
      <c r="CD60" s="281"/>
      <c r="CE60" s="281"/>
      <c r="CF60" s="281"/>
      <c r="CG60" s="281"/>
      <c r="CH60" s="281"/>
      <c r="CI60" s="281"/>
      <c r="CJ60" s="281"/>
      <c r="CK60" s="100"/>
    </row>
    <row r="61" spans="1:89" s="225" customFormat="1" thickTop="1" x14ac:dyDescent="0.3">
      <c r="A61" s="173"/>
      <c r="B61" s="119"/>
      <c r="C61" s="119"/>
      <c r="D61" s="119"/>
      <c r="E61" s="119"/>
      <c r="F61" s="287"/>
      <c r="G61" s="287"/>
      <c r="H61" s="287"/>
      <c r="I61" s="287"/>
      <c r="J61" s="287"/>
      <c r="K61" s="287"/>
      <c r="L61" s="287"/>
      <c r="M61" s="287"/>
      <c r="N61" s="287"/>
      <c r="O61" s="287"/>
      <c r="P61" s="287"/>
      <c r="Q61" s="287"/>
      <c r="R61" s="287"/>
      <c r="S61" s="287"/>
      <c r="T61" s="287"/>
      <c r="U61" s="287"/>
      <c r="V61" s="287"/>
      <c r="W61" s="287"/>
      <c r="X61" s="287"/>
      <c r="Y61" s="287"/>
      <c r="Z61" s="287"/>
      <c r="AA61" s="287"/>
      <c r="AB61" s="287"/>
      <c r="AC61" s="287"/>
      <c r="AD61" s="287"/>
      <c r="AE61" s="287"/>
      <c r="AF61" s="287"/>
      <c r="AG61" s="287"/>
      <c r="AH61" s="287"/>
      <c r="AI61" s="287"/>
      <c r="AJ61" s="287"/>
      <c r="AK61" s="287"/>
      <c r="AL61" s="287"/>
      <c r="AM61" s="287"/>
      <c r="AN61" s="287"/>
      <c r="AO61" s="287"/>
      <c r="AP61" s="287"/>
      <c r="AQ61" s="287"/>
      <c r="AR61" s="287"/>
      <c r="AS61" s="287"/>
      <c r="AT61" s="287"/>
      <c r="AU61" s="287"/>
      <c r="AV61" s="287"/>
      <c r="AW61" s="287"/>
      <c r="AX61" s="287"/>
      <c r="AY61" s="287"/>
      <c r="AZ61" s="287"/>
      <c r="BA61" s="287"/>
      <c r="BB61" s="287"/>
      <c r="BC61" s="287"/>
      <c r="BD61" s="287"/>
      <c r="BE61" s="287"/>
      <c r="BF61" s="287"/>
      <c r="BG61" s="287"/>
      <c r="BH61" s="287"/>
      <c r="BI61" s="287"/>
      <c r="BJ61" s="287"/>
      <c r="BK61" s="287"/>
      <c r="BL61" s="287"/>
      <c r="BM61" s="287"/>
      <c r="BN61" s="287"/>
      <c r="BO61" s="287"/>
      <c r="BP61" s="287"/>
      <c r="BQ61" s="287"/>
      <c r="BR61" s="287"/>
      <c r="BS61" s="287"/>
      <c r="BT61" s="287"/>
      <c r="BU61" s="287"/>
      <c r="BV61" s="287"/>
      <c r="BW61" s="287"/>
      <c r="BX61" s="287"/>
      <c r="BY61" s="287"/>
      <c r="BZ61" s="287"/>
      <c r="CA61" s="287"/>
      <c r="CB61" s="287"/>
      <c r="CC61" s="287"/>
      <c r="CD61" s="287"/>
      <c r="CE61" s="287"/>
      <c r="CF61" s="287"/>
      <c r="CG61" s="287"/>
      <c r="CH61" s="287"/>
      <c r="CI61" s="287"/>
      <c r="CJ61" s="287"/>
      <c r="CK61" s="119"/>
    </row>
    <row r="62" spans="1:89" s="225" customFormat="1" ht="14.4" x14ac:dyDescent="0.3">
      <c r="A62" s="173"/>
      <c r="B62" s="124"/>
      <c r="C62" s="125"/>
      <c r="D62" s="125"/>
      <c r="E62" s="125"/>
      <c r="F62" s="125"/>
      <c r="G62" s="125"/>
      <c r="H62" s="125"/>
      <c r="I62" s="125"/>
      <c r="J62" s="125"/>
      <c r="K62" s="125"/>
      <c r="L62" s="125"/>
      <c r="M62" s="125"/>
      <c r="N62" s="125"/>
      <c r="O62" s="125"/>
      <c r="P62" s="125"/>
      <c r="Q62" s="289"/>
      <c r="R62" s="289"/>
      <c r="S62" s="289"/>
      <c r="T62" s="289"/>
      <c r="U62" s="289"/>
      <c r="V62" s="289"/>
      <c r="W62" s="289"/>
      <c r="X62" s="289"/>
      <c r="Y62" s="289"/>
      <c r="Z62" s="289"/>
      <c r="AA62" s="289"/>
      <c r="AB62" s="289"/>
      <c r="AC62" s="289"/>
      <c r="AD62" s="289"/>
      <c r="AE62" s="289"/>
      <c r="AF62" s="289"/>
      <c r="AG62" s="289"/>
      <c r="AH62" s="289"/>
      <c r="AI62" s="289"/>
      <c r="AJ62" s="289"/>
      <c r="AK62" s="289"/>
      <c r="AL62" s="289"/>
      <c r="AM62" s="289"/>
      <c r="AN62" s="289"/>
      <c r="AO62" s="289"/>
      <c r="AP62" s="289"/>
      <c r="AQ62" s="289"/>
      <c r="AR62" s="289"/>
      <c r="AS62" s="289"/>
      <c r="AT62" s="289"/>
      <c r="AU62" s="289"/>
      <c r="AV62" s="289"/>
      <c r="AW62" s="289"/>
      <c r="AX62" s="289"/>
      <c r="AY62" s="289"/>
      <c r="AZ62" s="289"/>
      <c r="BA62" s="289"/>
      <c r="BB62" s="289"/>
      <c r="BC62" s="289"/>
      <c r="BD62" s="289"/>
      <c r="BE62" s="289"/>
      <c r="BF62" s="289"/>
      <c r="BG62" s="289"/>
      <c r="BH62" s="289"/>
      <c r="BI62" s="289"/>
      <c r="BJ62" s="289"/>
      <c r="BK62" s="289"/>
      <c r="BL62" s="289"/>
      <c r="BM62" s="289"/>
      <c r="BN62" s="289"/>
      <c r="BO62" s="289"/>
      <c r="BP62" s="289"/>
      <c r="BQ62" s="289"/>
      <c r="BR62" s="289"/>
      <c r="BS62" s="289"/>
      <c r="BT62" s="289"/>
      <c r="BU62" s="289"/>
      <c r="BV62" s="289"/>
      <c r="BW62" s="289"/>
      <c r="BX62" s="289"/>
      <c r="BY62" s="289"/>
      <c r="BZ62" s="289"/>
      <c r="CA62" s="289"/>
      <c r="CB62" s="289"/>
      <c r="CC62" s="289"/>
      <c r="CD62" s="289"/>
      <c r="CE62" s="289"/>
      <c r="CF62" s="289"/>
      <c r="CG62" s="289"/>
      <c r="CH62" s="289"/>
      <c r="CI62" s="289"/>
      <c r="CJ62" s="289"/>
      <c r="CK62" s="359"/>
    </row>
    <row r="63" spans="1:89" s="225" customFormat="1" ht="14.4" x14ac:dyDescent="0.3">
      <c r="A63" s="173"/>
      <c r="BM63" s="401"/>
      <c r="BN63" s="401"/>
      <c r="BO63" s="401"/>
      <c r="BP63" s="401"/>
      <c r="BQ63" s="401"/>
      <c r="BR63" s="401"/>
      <c r="BS63" s="401"/>
      <c r="BT63" s="401"/>
      <c r="BU63" s="401"/>
      <c r="BV63" s="401"/>
      <c r="BW63" s="401"/>
      <c r="BX63" s="401"/>
      <c r="BY63" s="401"/>
      <c r="BZ63" s="401"/>
      <c r="CA63" s="401"/>
      <c r="CB63" s="401"/>
      <c r="CC63" s="401"/>
      <c r="CD63" s="401"/>
      <c r="CE63" s="401"/>
      <c r="CF63" s="401"/>
      <c r="CG63" s="401"/>
      <c r="CH63" s="401"/>
      <c r="CI63" s="401"/>
      <c r="CJ63" s="401"/>
    </row>
    <row r="64" spans="1:89" s="225" customFormat="1" ht="14.4" x14ac:dyDescent="0.3">
      <c r="A64" s="173"/>
      <c r="BM64" s="401"/>
      <c r="BN64" s="401"/>
      <c r="BO64" s="401"/>
      <c r="BP64" s="401"/>
      <c r="BQ64" s="401"/>
      <c r="BR64" s="401"/>
      <c r="BS64" s="401"/>
      <c r="BT64" s="401"/>
      <c r="BU64" s="401"/>
      <c r="BV64" s="401"/>
      <c r="BW64" s="401"/>
      <c r="BX64" s="401"/>
      <c r="BY64" s="401"/>
      <c r="BZ64" s="401"/>
      <c r="CA64" s="401"/>
      <c r="CB64" s="401"/>
      <c r="CC64" s="401"/>
      <c r="CD64" s="401"/>
      <c r="CE64" s="401"/>
      <c r="CF64" s="401"/>
      <c r="CG64" s="401"/>
      <c r="CH64" s="401"/>
      <c r="CI64" s="401"/>
      <c r="CJ64" s="401"/>
    </row>
    <row r="65" spans="1:88" s="225" customFormat="1" ht="14.4" x14ac:dyDescent="0.3">
      <c r="A65" s="173"/>
      <c r="BM65" s="401"/>
      <c r="BN65" s="401"/>
      <c r="BO65" s="401"/>
      <c r="BP65" s="401"/>
      <c r="BQ65" s="401"/>
      <c r="BR65" s="401"/>
      <c r="BS65" s="401"/>
      <c r="BT65" s="401"/>
      <c r="BU65" s="401"/>
      <c r="BV65" s="401"/>
      <c r="BW65" s="401"/>
      <c r="BX65" s="401"/>
      <c r="BY65" s="401"/>
      <c r="BZ65" s="401"/>
      <c r="CA65" s="401"/>
      <c r="CB65" s="401"/>
      <c r="CC65" s="401"/>
      <c r="CD65" s="401"/>
      <c r="CE65" s="401"/>
      <c r="CF65" s="401"/>
      <c r="CG65" s="401"/>
      <c r="CH65" s="401"/>
      <c r="CI65" s="401"/>
      <c r="CJ65" s="401"/>
    </row>
    <row r="66" spans="1:88" s="225" customFormat="1" ht="14.4" x14ac:dyDescent="0.3">
      <c r="A66" s="173"/>
      <c r="BM66" s="401"/>
      <c r="BN66" s="401"/>
      <c r="BO66" s="401"/>
      <c r="BP66" s="401"/>
      <c r="BQ66" s="401"/>
      <c r="BR66" s="401"/>
      <c r="BS66" s="401"/>
      <c r="BT66" s="401"/>
      <c r="BU66" s="401"/>
      <c r="BV66" s="401"/>
      <c r="BW66" s="401"/>
      <c r="BX66" s="401"/>
      <c r="BY66" s="401"/>
      <c r="BZ66" s="401"/>
      <c r="CA66" s="401"/>
      <c r="CB66" s="401"/>
      <c r="CC66" s="401"/>
      <c r="CD66" s="401"/>
      <c r="CE66" s="401"/>
      <c r="CF66" s="401"/>
      <c r="CG66" s="401"/>
      <c r="CH66" s="401"/>
      <c r="CI66" s="401"/>
      <c r="CJ66" s="401"/>
    </row>
    <row r="67" spans="1:88" s="225" customFormat="1" ht="14.4" x14ac:dyDescent="0.3">
      <c r="A67" s="173"/>
      <c r="BM67" s="401"/>
      <c r="BN67" s="401"/>
      <c r="BO67" s="401"/>
      <c r="BP67" s="401"/>
      <c r="BQ67" s="401"/>
      <c r="BR67" s="401"/>
      <c r="BS67" s="401"/>
      <c r="BT67" s="401"/>
      <c r="BU67" s="401"/>
      <c r="BV67" s="401"/>
      <c r="BW67" s="401"/>
      <c r="BX67" s="401"/>
      <c r="BY67" s="401"/>
      <c r="BZ67" s="401"/>
      <c r="CA67" s="401"/>
      <c r="CB67" s="401"/>
      <c r="CC67" s="401"/>
      <c r="CD67" s="401"/>
      <c r="CE67" s="401"/>
      <c r="CF67" s="401"/>
      <c r="CG67" s="401"/>
      <c r="CH67" s="401"/>
      <c r="CI67" s="401"/>
      <c r="CJ67" s="401"/>
    </row>
    <row r="68" spans="1:88" s="225" customFormat="1" ht="14.4" x14ac:dyDescent="0.3">
      <c r="A68" s="173"/>
      <c r="BM68" s="401"/>
      <c r="BN68" s="401"/>
      <c r="BO68" s="401"/>
      <c r="BP68" s="401"/>
      <c r="BQ68" s="401"/>
      <c r="BR68" s="401"/>
      <c r="BS68" s="401"/>
      <c r="BT68" s="401"/>
      <c r="BU68" s="401"/>
      <c r="BV68" s="401"/>
      <c r="BW68" s="401"/>
      <c r="BX68" s="401"/>
      <c r="BY68" s="401"/>
      <c r="BZ68" s="401"/>
      <c r="CA68" s="401"/>
      <c r="CB68" s="401"/>
      <c r="CC68" s="401"/>
      <c r="CD68" s="401"/>
      <c r="CE68" s="401"/>
      <c r="CF68" s="401"/>
      <c r="CG68" s="401"/>
      <c r="CH68" s="401"/>
      <c r="CI68" s="401"/>
      <c r="CJ68" s="401"/>
    </row>
    <row r="69" spans="1:88" s="225" customFormat="1" ht="14.4" x14ac:dyDescent="0.3">
      <c r="A69" s="173"/>
      <c r="BM69" s="401"/>
      <c r="BN69" s="401"/>
      <c r="BO69" s="401"/>
      <c r="BP69" s="401"/>
      <c r="BQ69" s="401"/>
      <c r="BR69" s="401"/>
      <c r="BS69" s="401"/>
      <c r="BT69" s="401"/>
      <c r="BU69" s="401"/>
      <c r="BV69" s="401"/>
      <c r="BW69" s="401"/>
      <c r="BX69" s="401"/>
      <c r="BY69" s="401"/>
      <c r="BZ69" s="401"/>
      <c r="CA69" s="401"/>
      <c r="CB69" s="401"/>
      <c r="CC69" s="401"/>
      <c r="CD69" s="401"/>
      <c r="CE69" s="401"/>
      <c r="CF69" s="401"/>
      <c r="CG69" s="401"/>
      <c r="CH69" s="401"/>
      <c r="CI69" s="401"/>
      <c r="CJ69" s="401"/>
    </row>
    <row r="70" spans="1:88" s="225" customFormat="1" ht="14.4" x14ac:dyDescent="0.3">
      <c r="A70" s="173"/>
      <c r="BM70" s="401"/>
      <c r="BN70" s="401"/>
      <c r="BO70" s="401"/>
      <c r="BP70" s="401"/>
      <c r="BQ70" s="401"/>
      <c r="BR70" s="401"/>
      <c r="BS70" s="401"/>
      <c r="BT70" s="401"/>
      <c r="BU70" s="401"/>
      <c r="BV70" s="401"/>
      <c r="BW70" s="401"/>
      <c r="BX70" s="401"/>
      <c r="BY70" s="401"/>
      <c r="BZ70" s="401"/>
      <c r="CA70" s="401"/>
      <c r="CB70" s="401"/>
      <c r="CC70" s="401"/>
      <c r="CD70" s="401"/>
      <c r="CE70" s="401"/>
      <c r="CF70" s="401"/>
      <c r="CG70" s="401"/>
      <c r="CH70" s="401"/>
      <c r="CI70" s="401"/>
      <c r="CJ70" s="401"/>
    </row>
    <row r="71" spans="1:88" s="225" customFormat="1" ht="14.4" x14ac:dyDescent="0.3">
      <c r="A71" s="173"/>
      <c r="BM71" s="401"/>
      <c r="BN71" s="401"/>
      <c r="BO71" s="401"/>
      <c r="BP71" s="401"/>
      <c r="BQ71" s="401"/>
      <c r="BR71" s="401"/>
      <c r="BS71" s="401"/>
      <c r="BT71" s="401"/>
      <c r="BU71" s="401"/>
      <c r="BV71" s="401"/>
      <c r="BW71" s="401"/>
      <c r="BX71" s="401"/>
      <c r="BY71" s="401"/>
      <c r="BZ71" s="401"/>
      <c r="CA71" s="401"/>
      <c r="CB71" s="401"/>
      <c r="CC71" s="401"/>
      <c r="CD71" s="401"/>
      <c r="CE71" s="401"/>
      <c r="CF71" s="401"/>
      <c r="CG71" s="401"/>
      <c r="CH71" s="401"/>
      <c r="CI71" s="401"/>
      <c r="CJ71" s="401"/>
    </row>
    <row r="72" spans="1:88" s="225" customFormat="1" ht="14.4" x14ac:dyDescent="0.3">
      <c r="A72" s="173"/>
      <c r="BM72" s="401"/>
      <c r="BN72" s="401"/>
      <c r="BO72" s="401"/>
      <c r="BP72" s="401"/>
      <c r="BQ72" s="401"/>
      <c r="BR72" s="401"/>
      <c r="BS72" s="401"/>
      <c r="BT72" s="401"/>
      <c r="BU72" s="401"/>
      <c r="BV72" s="401"/>
      <c r="BW72" s="401"/>
      <c r="BX72" s="401"/>
      <c r="BY72" s="401"/>
      <c r="BZ72" s="401"/>
      <c r="CA72" s="401"/>
      <c r="CB72" s="401"/>
      <c r="CC72" s="401"/>
      <c r="CD72" s="401"/>
      <c r="CE72" s="401"/>
      <c r="CF72" s="401"/>
      <c r="CG72" s="401"/>
      <c r="CH72" s="401"/>
      <c r="CI72" s="401"/>
      <c r="CJ72" s="401"/>
    </row>
    <row r="73" spans="1:88" s="225" customFormat="1" ht="14.4" x14ac:dyDescent="0.3">
      <c r="A73" s="173"/>
      <c r="BM73" s="401"/>
      <c r="BN73" s="401"/>
      <c r="BO73" s="401"/>
      <c r="BP73" s="401"/>
      <c r="BQ73" s="401"/>
      <c r="BR73" s="401"/>
      <c r="BS73" s="401"/>
      <c r="BT73" s="401"/>
      <c r="BU73" s="401"/>
      <c r="BV73" s="401"/>
      <c r="BW73" s="401"/>
      <c r="BX73" s="401"/>
      <c r="BY73" s="401"/>
      <c r="BZ73" s="401"/>
      <c r="CA73" s="401"/>
      <c r="CB73" s="401"/>
      <c r="CC73" s="401"/>
      <c r="CD73" s="401"/>
      <c r="CE73" s="401"/>
      <c r="CF73" s="401"/>
      <c r="CG73" s="401"/>
      <c r="CH73" s="401"/>
      <c r="CI73" s="401"/>
      <c r="CJ73" s="401"/>
    </row>
    <row r="74" spans="1:88" s="225" customFormat="1" ht="14.4" x14ac:dyDescent="0.3">
      <c r="A74" s="173"/>
      <c r="BM74" s="401"/>
      <c r="BN74" s="401"/>
      <c r="BO74" s="401"/>
      <c r="BP74" s="401"/>
      <c r="BQ74" s="401"/>
      <c r="BR74" s="401"/>
      <c r="BS74" s="401"/>
      <c r="BT74" s="401"/>
      <c r="BU74" s="401"/>
      <c r="BV74" s="401"/>
      <c r="BW74" s="401"/>
      <c r="BX74" s="401"/>
      <c r="BY74" s="401"/>
      <c r="BZ74" s="401"/>
      <c r="CA74" s="401"/>
      <c r="CB74" s="401"/>
      <c r="CC74" s="401"/>
      <c r="CD74" s="401"/>
      <c r="CE74" s="401"/>
      <c r="CF74" s="401"/>
      <c r="CG74" s="401"/>
      <c r="CH74" s="401"/>
      <c r="CI74" s="401"/>
      <c r="CJ74" s="401"/>
    </row>
    <row r="75" spans="1:88" s="225" customFormat="1" ht="14.4" x14ac:dyDescent="0.3">
      <c r="A75" s="173"/>
      <c r="BM75" s="401"/>
      <c r="BN75" s="401"/>
      <c r="BO75" s="401"/>
      <c r="BP75" s="401"/>
      <c r="BQ75" s="401"/>
      <c r="BR75" s="401"/>
      <c r="BS75" s="401"/>
      <c r="BT75" s="401"/>
      <c r="BU75" s="401"/>
      <c r="BV75" s="401"/>
      <c r="BW75" s="401"/>
      <c r="BX75" s="401"/>
      <c r="BY75" s="401"/>
      <c r="BZ75" s="401"/>
      <c r="CA75" s="401"/>
      <c r="CB75" s="401"/>
      <c r="CC75" s="401"/>
      <c r="CD75" s="401"/>
      <c r="CE75" s="401"/>
      <c r="CF75" s="401"/>
      <c r="CG75" s="401"/>
      <c r="CH75" s="401"/>
      <c r="CI75" s="401"/>
      <c r="CJ75" s="401"/>
    </row>
    <row r="76" spans="1:88" s="225" customFormat="1" ht="14.4" x14ac:dyDescent="0.3">
      <c r="A76" s="173"/>
      <c r="BM76" s="401"/>
      <c r="BN76" s="401"/>
      <c r="BO76" s="401"/>
      <c r="BP76" s="401"/>
      <c r="BQ76" s="401"/>
      <c r="BR76" s="401"/>
      <c r="BS76" s="401"/>
      <c r="BT76" s="401"/>
      <c r="BU76" s="401"/>
      <c r="BV76" s="401"/>
      <c r="BW76" s="401"/>
      <c r="BX76" s="401"/>
      <c r="BY76" s="401"/>
      <c r="BZ76" s="401"/>
      <c r="CA76" s="401"/>
      <c r="CB76" s="401"/>
      <c r="CC76" s="401"/>
      <c r="CD76" s="401"/>
      <c r="CE76" s="401"/>
      <c r="CF76" s="401"/>
      <c r="CG76" s="401"/>
      <c r="CH76" s="401"/>
      <c r="CI76" s="401"/>
      <c r="CJ76" s="401"/>
    </row>
    <row r="77" spans="1:88" x14ac:dyDescent="0.3">
      <c r="A77" s="173"/>
    </row>
    <row r="78" spans="1:88" s="225" customFormat="1" ht="14.4" x14ac:dyDescent="0.3">
      <c r="A78" s="173"/>
      <c r="BM78" s="401"/>
      <c r="BN78" s="401"/>
      <c r="BO78" s="401"/>
      <c r="BP78" s="401"/>
      <c r="BQ78" s="401"/>
      <c r="BR78" s="401"/>
      <c r="BS78" s="401"/>
      <c r="BT78" s="401"/>
      <c r="BU78" s="401"/>
      <c r="BV78" s="401"/>
      <c r="BW78" s="401"/>
      <c r="BX78" s="401"/>
      <c r="BY78" s="401"/>
      <c r="BZ78" s="401"/>
      <c r="CA78" s="401"/>
      <c r="CB78" s="401"/>
      <c r="CC78" s="401"/>
      <c r="CD78" s="401"/>
      <c r="CE78" s="401"/>
      <c r="CF78" s="401"/>
      <c r="CG78" s="401"/>
      <c r="CH78" s="401"/>
      <c r="CI78" s="401"/>
      <c r="CJ78" s="401"/>
    </row>
    <row r="79" spans="1:88" s="225" customFormat="1" ht="14.4" x14ac:dyDescent="0.3">
      <c r="A79" s="173"/>
      <c r="BM79" s="401"/>
      <c r="BN79" s="401"/>
      <c r="BO79" s="401"/>
      <c r="BP79" s="401"/>
      <c r="BQ79" s="401"/>
      <c r="BR79" s="401"/>
      <c r="BS79" s="401"/>
      <c r="BT79" s="401"/>
      <c r="BU79" s="401"/>
      <c r="BV79" s="401"/>
      <c r="BW79" s="401"/>
      <c r="BX79" s="401"/>
      <c r="BY79" s="401"/>
      <c r="BZ79" s="401"/>
      <c r="CA79" s="401"/>
      <c r="CB79" s="401"/>
      <c r="CC79" s="401"/>
      <c r="CD79" s="401"/>
      <c r="CE79" s="401"/>
      <c r="CF79" s="401"/>
      <c r="CG79" s="401"/>
      <c r="CH79" s="401"/>
      <c r="CI79" s="401"/>
      <c r="CJ79" s="401"/>
    </row>
    <row r="80" spans="1:88" s="225" customFormat="1" ht="14.4" x14ac:dyDescent="0.3">
      <c r="A80" s="173"/>
      <c r="BM80" s="401"/>
      <c r="BN80" s="401"/>
      <c r="BO80" s="401"/>
      <c r="BP80" s="401"/>
      <c r="BQ80" s="401"/>
      <c r="BR80" s="401"/>
      <c r="BS80" s="401"/>
      <c r="BT80" s="401"/>
      <c r="BU80" s="401"/>
      <c r="BV80" s="401"/>
      <c r="BW80" s="401"/>
      <c r="BX80" s="401"/>
      <c r="BY80" s="401"/>
      <c r="BZ80" s="401"/>
      <c r="CA80" s="401"/>
      <c r="CB80" s="401"/>
      <c r="CC80" s="401"/>
      <c r="CD80" s="401"/>
      <c r="CE80" s="401"/>
      <c r="CF80" s="401"/>
      <c r="CG80" s="401"/>
      <c r="CH80" s="401"/>
      <c r="CI80" s="401"/>
      <c r="CJ80" s="401"/>
    </row>
    <row r="81" spans="1:88" s="225" customFormat="1" ht="14.4" x14ac:dyDescent="0.3">
      <c r="A81" s="173"/>
      <c r="BM81" s="401"/>
      <c r="BN81" s="401"/>
      <c r="BO81" s="401"/>
      <c r="BP81" s="401"/>
      <c r="BQ81" s="401"/>
      <c r="BR81" s="401"/>
      <c r="BS81" s="401"/>
      <c r="BT81" s="401"/>
      <c r="BU81" s="401"/>
      <c r="BV81" s="401"/>
      <c r="BW81" s="401"/>
      <c r="BX81" s="401"/>
      <c r="BY81" s="401"/>
      <c r="BZ81" s="401"/>
      <c r="CA81" s="401"/>
      <c r="CB81" s="401"/>
      <c r="CC81" s="401"/>
      <c r="CD81" s="401"/>
      <c r="CE81" s="401"/>
      <c r="CF81" s="401"/>
      <c r="CG81" s="401"/>
      <c r="CH81" s="401"/>
      <c r="CI81" s="401"/>
      <c r="CJ81" s="401"/>
    </row>
    <row r="82" spans="1:88" s="225" customFormat="1" ht="14.4" x14ac:dyDescent="0.3">
      <c r="A82" s="173"/>
      <c r="BM82" s="401"/>
      <c r="BN82" s="401"/>
      <c r="BO82" s="401"/>
      <c r="BP82" s="401"/>
      <c r="BQ82" s="401"/>
      <c r="BR82" s="401"/>
      <c r="BS82" s="401"/>
      <c r="BT82" s="401"/>
      <c r="BU82" s="401"/>
      <c r="BV82" s="401"/>
      <c r="BW82" s="401"/>
      <c r="BX82" s="401"/>
      <c r="BY82" s="401"/>
      <c r="BZ82" s="401"/>
      <c r="CA82" s="401"/>
      <c r="CB82" s="401"/>
      <c r="CC82" s="401"/>
      <c r="CD82" s="401"/>
      <c r="CE82" s="401"/>
      <c r="CF82" s="401"/>
      <c r="CG82" s="401"/>
      <c r="CH82" s="401"/>
      <c r="CI82" s="401"/>
      <c r="CJ82" s="401"/>
    </row>
    <row r="83" spans="1:88" s="225" customFormat="1" ht="14.4" x14ac:dyDescent="0.3">
      <c r="A83" s="173"/>
      <c r="BM83" s="401"/>
      <c r="BN83" s="401"/>
      <c r="BO83" s="401"/>
      <c r="BP83" s="401"/>
      <c r="BQ83" s="401"/>
      <c r="BR83" s="401"/>
      <c r="BS83" s="401"/>
      <c r="BT83" s="401"/>
      <c r="BU83" s="401"/>
      <c r="BV83" s="401"/>
      <c r="BW83" s="401"/>
      <c r="BX83" s="401"/>
      <c r="BY83" s="401"/>
      <c r="BZ83" s="401"/>
      <c r="CA83" s="401"/>
      <c r="CB83" s="401"/>
      <c r="CC83" s="401"/>
      <c r="CD83" s="401"/>
      <c r="CE83" s="401"/>
      <c r="CF83" s="401"/>
      <c r="CG83" s="401"/>
      <c r="CH83" s="401"/>
      <c r="CI83" s="401"/>
      <c r="CJ83" s="401"/>
    </row>
    <row r="84" spans="1:88" s="225" customFormat="1" ht="14.4" x14ac:dyDescent="0.3">
      <c r="A84" s="173"/>
      <c r="BM84" s="401"/>
      <c r="BN84" s="401"/>
      <c r="BO84" s="401"/>
      <c r="BP84" s="401"/>
      <c r="BQ84" s="401"/>
      <c r="BR84" s="401"/>
      <c r="BS84" s="401"/>
      <c r="BT84" s="401"/>
      <c r="BU84" s="401"/>
      <c r="BV84" s="401"/>
      <c r="BW84" s="401"/>
      <c r="BX84" s="401"/>
      <c r="BY84" s="401"/>
      <c r="BZ84" s="401"/>
      <c r="CA84" s="401"/>
      <c r="CB84" s="401"/>
      <c r="CC84" s="401"/>
      <c r="CD84" s="401"/>
      <c r="CE84" s="401"/>
      <c r="CF84" s="401"/>
      <c r="CG84" s="401"/>
      <c r="CH84" s="401"/>
      <c r="CI84" s="401"/>
      <c r="CJ84" s="401"/>
    </row>
    <row r="85" spans="1:88" s="225" customFormat="1" ht="14.4" x14ac:dyDescent="0.3">
      <c r="A85" s="173"/>
      <c r="BM85" s="401"/>
      <c r="BN85" s="401"/>
      <c r="BO85" s="401"/>
      <c r="BP85" s="401"/>
      <c r="BQ85" s="401"/>
      <c r="BR85" s="401"/>
      <c r="BS85" s="401"/>
      <c r="BT85" s="401"/>
      <c r="BU85" s="401"/>
      <c r="BV85" s="401"/>
      <c r="BW85" s="401"/>
      <c r="BX85" s="401"/>
      <c r="BY85" s="401"/>
      <c r="BZ85" s="401"/>
      <c r="CA85" s="401"/>
      <c r="CB85" s="401"/>
      <c r="CC85" s="401"/>
      <c r="CD85" s="401"/>
      <c r="CE85" s="401"/>
      <c r="CF85" s="401"/>
      <c r="CG85" s="401"/>
      <c r="CH85" s="401"/>
      <c r="CI85" s="401"/>
      <c r="CJ85" s="401"/>
    </row>
    <row r="86" spans="1:88" s="225" customFormat="1" ht="14.4" x14ac:dyDescent="0.3">
      <c r="A86" s="173"/>
      <c r="BM86" s="401"/>
      <c r="BN86" s="401"/>
      <c r="BO86" s="401"/>
      <c r="BP86" s="401"/>
      <c r="BQ86" s="401"/>
      <c r="BR86" s="401"/>
      <c r="BS86" s="401"/>
      <c r="BT86" s="401"/>
      <c r="BU86" s="401"/>
      <c r="BV86" s="401"/>
      <c r="BW86" s="401"/>
      <c r="BX86" s="401"/>
      <c r="BY86" s="401"/>
      <c r="BZ86" s="401"/>
      <c r="CA86" s="401"/>
      <c r="CB86" s="401"/>
      <c r="CC86" s="401"/>
      <c r="CD86" s="401"/>
      <c r="CE86" s="401"/>
      <c r="CF86" s="401"/>
      <c r="CG86" s="401"/>
      <c r="CH86" s="401"/>
      <c r="CI86" s="401"/>
      <c r="CJ86" s="401"/>
    </row>
    <row r="87" spans="1:88" s="225" customFormat="1" ht="14.4" x14ac:dyDescent="0.3">
      <c r="A87" s="173"/>
      <c r="BM87" s="401"/>
      <c r="BN87" s="401"/>
      <c r="BO87" s="401"/>
      <c r="BP87" s="401"/>
      <c r="BQ87" s="401"/>
      <c r="BR87" s="401"/>
      <c r="BS87" s="401"/>
      <c r="BT87" s="401"/>
      <c r="BU87" s="401"/>
      <c r="BV87" s="401"/>
      <c r="BW87" s="401"/>
      <c r="BX87" s="401"/>
      <c r="BY87" s="401"/>
      <c r="BZ87" s="401"/>
      <c r="CA87" s="401"/>
      <c r="CB87" s="401"/>
      <c r="CC87" s="401"/>
      <c r="CD87" s="401"/>
      <c r="CE87" s="401"/>
      <c r="CF87" s="401"/>
      <c r="CG87" s="401"/>
      <c r="CH87" s="401"/>
      <c r="CI87" s="401"/>
      <c r="CJ87" s="401"/>
    </row>
    <row r="88" spans="1:88" s="225" customFormat="1" ht="14.4" x14ac:dyDescent="0.3">
      <c r="A88" s="173"/>
      <c r="BM88" s="401"/>
      <c r="BN88" s="401"/>
      <c r="BO88" s="401"/>
      <c r="BP88" s="401"/>
      <c r="BQ88" s="401"/>
      <c r="BR88" s="401"/>
      <c r="BS88" s="401"/>
      <c r="BT88" s="401"/>
      <c r="BU88" s="401"/>
      <c r="BV88" s="401"/>
      <c r="BW88" s="401"/>
      <c r="BX88" s="401"/>
      <c r="BY88" s="401"/>
      <c r="BZ88" s="401"/>
      <c r="CA88" s="401"/>
      <c r="CB88" s="401"/>
      <c r="CC88" s="401"/>
      <c r="CD88" s="401"/>
      <c r="CE88" s="401"/>
      <c r="CF88" s="401"/>
      <c r="CG88" s="401"/>
      <c r="CH88" s="401"/>
      <c r="CI88" s="401"/>
      <c r="CJ88" s="401"/>
    </row>
    <row r="89" spans="1:88" s="225" customFormat="1" ht="14.4" x14ac:dyDescent="0.3">
      <c r="A89" s="173"/>
      <c r="BM89" s="401"/>
      <c r="BN89" s="401"/>
      <c r="BO89" s="401"/>
      <c r="BP89" s="401"/>
      <c r="BQ89" s="401"/>
      <c r="BR89" s="401"/>
      <c r="BS89" s="401"/>
      <c r="BT89" s="401"/>
      <c r="BU89" s="401"/>
      <c r="BV89" s="401"/>
      <c r="BW89" s="401"/>
      <c r="BX89" s="401"/>
      <c r="BY89" s="401"/>
      <c r="BZ89" s="401"/>
      <c r="CA89" s="401"/>
      <c r="CB89" s="401"/>
      <c r="CC89" s="401"/>
      <c r="CD89" s="401"/>
      <c r="CE89" s="401"/>
      <c r="CF89" s="401"/>
      <c r="CG89" s="401"/>
      <c r="CH89" s="401"/>
      <c r="CI89" s="401"/>
      <c r="CJ89" s="401"/>
    </row>
    <row r="90" spans="1:88" s="225" customFormat="1" ht="14.4" x14ac:dyDescent="0.3">
      <c r="A90" s="173"/>
      <c r="BM90" s="401"/>
      <c r="BN90" s="401"/>
      <c r="BO90" s="401"/>
      <c r="BP90" s="401"/>
      <c r="BQ90" s="401"/>
      <c r="BR90" s="401"/>
      <c r="BS90" s="401"/>
      <c r="BT90" s="401"/>
      <c r="BU90" s="401"/>
      <c r="BV90" s="401"/>
      <c r="BW90" s="401"/>
      <c r="BX90" s="401"/>
      <c r="BY90" s="401"/>
      <c r="BZ90" s="401"/>
      <c r="CA90" s="401"/>
      <c r="CB90" s="401"/>
      <c r="CC90" s="401"/>
      <c r="CD90" s="401"/>
      <c r="CE90" s="401"/>
      <c r="CF90" s="401"/>
      <c r="CG90" s="401"/>
      <c r="CH90" s="401"/>
      <c r="CI90" s="401"/>
      <c r="CJ90" s="401"/>
    </row>
    <row r="91" spans="1:88" s="225" customFormat="1" ht="14.4" x14ac:dyDescent="0.3">
      <c r="A91" s="173"/>
      <c r="BM91" s="401"/>
      <c r="BN91" s="401"/>
      <c r="BO91" s="401"/>
      <c r="BP91" s="401"/>
      <c r="BQ91" s="401"/>
      <c r="BR91" s="401"/>
      <c r="BS91" s="401"/>
      <c r="BT91" s="401"/>
      <c r="BU91" s="401"/>
      <c r="BV91" s="401"/>
      <c r="BW91" s="401"/>
      <c r="BX91" s="401"/>
      <c r="BY91" s="401"/>
      <c r="BZ91" s="401"/>
      <c r="CA91" s="401"/>
      <c r="CB91" s="401"/>
      <c r="CC91" s="401"/>
      <c r="CD91" s="401"/>
      <c r="CE91" s="401"/>
      <c r="CF91" s="401"/>
      <c r="CG91" s="401"/>
      <c r="CH91" s="401"/>
      <c r="CI91" s="401"/>
      <c r="CJ91" s="401"/>
    </row>
    <row r="92" spans="1:88" s="225" customFormat="1" ht="14.4" x14ac:dyDescent="0.3">
      <c r="A92" s="173"/>
      <c r="BM92" s="401"/>
      <c r="BN92" s="401"/>
      <c r="BO92" s="401"/>
      <c r="BP92" s="401"/>
      <c r="BQ92" s="401"/>
      <c r="BR92" s="401"/>
      <c r="BS92" s="401"/>
      <c r="BT92" s="401"/>
      <c r="BU92" s="401"/>
      <c r="BV92" s="401"/>
      <c r="BW92" s="401"/>
      <c r="BX92" s="401"/>
      <c r="BY92" s="401"/>
      <c r="BZ92" s="401"/>
      <c r="CA92" s="401"/>
      <c r="CB92" s="401"/>
      <c r="CC92" s="401"/>
      <c r="CD92" s="401"/>
      <c r="CE92" s="401"/>
      <c r="CF92" s="401"/>
      <c r="CG92" s="401"/>
      <c r="CH92" s="401"/>
      <c r="CI92" s="401"/>
      <c r="CJ92" s="401"/>
    </row>
    <row r="93" spans="1:88" s="225" customFormat="1" ht="14.4" x14ac:dyDescent="0.3">
      <c r="A93" s="173"/>
      <c r="BM93" s="401"/>
      <c r="BN93" s="401"/>
      <c r="BO93" s="401"/>
      <c r="BP93" s="401"/>
      <c r="BQ93" s="401"/>
      <c r="BR93" s="401"/>
      <c r="BS93" s="401"/>
      <c r="BT93" s="401"/>
      <c r="BU93" s="401"/>
      <c r="BV93" s="401"/>
      <c r="BW93" s="401"/>
      <c r="BX93" s="401"/>
      <c r="BY93" s="401"/>
      <c r="BZ93" s="401"/>
      <c r="CA93" s="401"/>
      <c r="CB93" s="401"/>
      <c r="CC93" s="401"/>
      <c r="CD93" s="401"/>
      <c r="CE93" s="401"/>
      <c r="CF93" s="401"/>
      <c r="CG93" s="401"/>
      <c r="CH93" s="401"/>
      <c r="CI93" s="401"/>
      <c r="CJ93" s="401"/>
    </row>
    <row r="94" spans="1:88" s="225" customFormat="1" ht="14.4" x14ac:dyDescent="0.3">
      <c r="A94" s="173"/>
      <c r="BM94" s="401"/>
      <c r="BN94" s="401"/>
      <c r="BO94" s="401"/>
      <c r="BP94" s="401"/>
      <c r="BQ94" s="401"/>
      <c r="BR94" s="401"/>
      <c r="BS94" s="401"/>
      <c r="BT94" s="401"/>
      <c r="BU94" s="401"/>
      <c r="BV94" s="401"/>
      <c r="BW94" s="401"/>
      <c r="BX94" s="401"/>
      <c r="BY94" s="401"/>
      <c r="BZ94" s="401"/>
      <c r="CA94" s="401"/>
      <c r="CB94" s="401"/>
      <c r="CC94" s="401"/>
      <c r="CD94" s="401"/>
      <c r="CE94" s="401"/>
      <c r="CF94" s="401"/>
      <c r="CG94" s="401"/>
      <c r="CH94" s="401"/>
      <c r="CI94" s="401"/>
      <c r="CJ94" s="401"/>
    </row>
    <row r="95" spans="1:88" s="225" customFormat="1" ht="14.4" x14ac:dyDescent="0.3">
      <c r="A95" s="173"/>
      <c r="BM95" s="401"/>
      <c r="BN95" s="401"/>
      <c r="BO95" s="401"/>
      <c r="BP95" s="401"/>
      <c r="BQ95" s="401"/>
      <c r="BR95" s="401"/>
      <c r="BS95" s="401"/>
      <c r="BT95" s="401"/>
      <c r="BU95" s="401"/>
      <c r="BV95" s="401"/>
      <c r="BW95" s="401"/>
      <c r="BX95" s="401"/>
      <c r="BY95" s="401"/>
      <c r="BZ95" s="401"/>
      <c r="CA95" s="401"/>
      <c r="CB95" s="401"/>
      <c r="CC95" s="401"/>
      <c r="CD95" s="401"/>
      <c r="CE95" s="401"/>
      <c r="CF95" s="401"/>
      <c r="CG95" s="401"/>
      <c r="CH95" s="401"/>
      <c r="CI95" s="401"/>
      <c r="CJ95" s="401"/>
    </row>
    <row r="96" spans="1:88" s="225" customFormat="1" ht="14.4" x14ac:dyDescent="0.3">
      <c r="A96" s="173"/>
      <c r="BM96" s="401"/>
      <c r="BN96" s="401"/>
      <c r="BO96" s="401"/>
      <c r="BP96" s="401"/>
      <c r="BQ96" s="401"/>
      <c r="BR96" s="401"/>
      <c r="BS96" s="401"/>
      <c r="BT96" s="401"/>
      <c r="BU96" s="401"/>
      <c r="BV96" s="401"/>
      <c r="BW96" s="401"/>
      <c r="BX96" s="401"/>
      <c r="BY96" s="401"/>
      <c r="BZ96" s="401"/>
      <c r="CA96" s="401"/>
      <c r="CB96" s="401"/>
      <c r="CC96" s="401"/>
      <c r="CD96" s="401"/>
      <c r="CE96" s="401"/>
      <c r="CF96" s="401"/>
      <c r="CG96" s="401"/>
      <c r="CH96" s="401"/>
      <c r="CI96" s="401"/>
      <c r="CJ96" s="401"/>
    </row>
    <row r="97" spans="1:88" s="225" customFormat="1" ht="14.4" x14ac:dyDescent="0.3">
      <c r="A97" s="173"/>
      <c r="BM97" s="401"/>
      <c r="BN97" s="401"/>
      <c r="BO97" s="401"/>
      <c r="BP97" s="401"/>
      <c r="BQ97" s="401"/>
      <c r="BR97" s="401"/>
      <c r="BS97" s="401"/>
      <c r="BT97" s="401"/>
      <c r="BU97" s="401"/>
      <c r="BV97" s="401"/>
      <c r="BW97" s="401"/>
      <c r="BX97" s="401"/>
      <c r="BY97" s="401"/>
      <c r="BZ97" s="401"/>
      <c r="CA97" s="401"/>
      <c r="CB97" s="401"/>
      <c r="CC97" s="401"/>
      <c r="CD97" s="401"/>
      <c r="CE97" s="401"/>
      <c r="CF97" s="401"/>
      <c r="CG97" s="401"/>
      <c r="CH97" s="401"/>
      <c r="CI97" s="401"/>
      <c r="CJ97" s="401"/>
    </row>
    <row r="98" spans="1:88" s="225" customFormat="1" ht="14.4" x14ac:dyDescent="0.3">
      <c r="A98" s="173"/>
      <c r="BM98" s="401"/>
      <c r="BN98" s="401"/>
      <c r="BO98" s="401"/>
      <c r="BP98" s="401"/>
      <c r="BQ98" s="401"/>
      <c r="BR98" s="401"/>
      <c r="BS98" s="401"/>
      <c r="BT98" s="401"/>
      <c r="BU98" s="401"/>
      <c r="BV98" s="401"/>
      <c r="BW98" s="401"/>
      <c r="BX98" s="401"/>
      <c r="BY98" s="401"/>
      <c r="BZ98" s="401"/>
      <c r="CA98" s="401"/>
      <c r="CB98" s="401"/>
      <c r="CC98" s="401"/>
      <c r="CD98" s="401"/>
      <c r="CE98" s="401"/>
      <c r="CF98" s="401"/>
      <c r="CG98" s="401"/>
      <c r="CH98" s="401"/>
      <c r="CI98" s="401"/>
      <c r="CJ98" s="401"/>
    </row>
    <row r="99" spans="1:88" s="225" customFormat="1" ht="14.4" x14ac:dyDescent="0.3">
      <c r="A99" s="173"/>
      <c r="BM99" s="401"/>
      <c r="BN99" s="401"/>
      <c r="BO99" s="401"/>
      <c r="BP99" s="401"/>
      <c r="BQ99" s="401"/>
      <c r="BR99" s="401"/>
      <c r="BS99" s="401"/>
      <c r="BT99" s="401"/>
      <c r="BU99" s="401"/>
      <c r="BV99" s="401"/>
      <c r="BW99" s="401"/>
      <c r="BX99" s="401"/>
      <c r="BY99" s="401"/>
      <c r="BZ99" s="401"/>
      <c r="CA99" s="401"/>
      <c r="CB99" s="401"/>
      <c r="CC99" s="401"/>
      <c r="CD99" s="401"/>
      <c r="CE99" s="401"/>
      <c r="CF99" s="401"/>
      <c r="CG99" s="401"/>
      <c r="CH99" s="401"/>
      <c r="CI99" s="401"/>
      <c r="CJ99" s="401"/>
    </row>
    <row r="100" spans="1:88" s="225" customFormat="1" ht="14.4" x14ac:dyDescent="0.3">
      <c r="A100" s="173"/>
      <c r="BM100" s="401"/>
      <c r="BN100" s="401"/>
      <c r="BO100" s="401"/>
      <c r="BP100" s="401"/>
      <c r="BQ100" s="401"/>
      <c r="BR100" s="401"/>
      <c r="BS100" s="401"/>
      <c r="BT100" s="401"/>
      <c r="BU100" s="401"/>
      <c r="BV100" s="401"/>
      <c r="BW100" s="401"/>
      <c r="BX100" s="401"/>
      <c r="BY100" s="401"/>
      <c r="BZ100" s="401"/>
      <c r="CA100" s="401"/>
      <c r="CB100" s="401"/>
      <c r="CC100" s="401"/>
      <c r="CD100" s="401"/>
      <c r="CE100" s="401"/>
      <c r="CF100" s="401"/>
      <c r="CG100" s="401"/>
      <c r="CH100" s="401"/>
      <c r="CI100" s="401"/>
      <c r="CJ100" s="401"/>
    </row>
    <row r="101" spans="1:88" s="225" customFormat="1" ht="14.4" x14ac:dyDescent="0.3">
      <c r="A101" s="173"/>
      <c r="BM101" s="401"/>
      <c r="BN101" s="401"/>
      <c r="BO101" s="401"/>
      <c r="BP101" s="401"/>
      <c r="BQ101" s="401"/>
      <c r="BR101" s="401"/>
      <c r="BS101" s="401"/>
      <c r="BT101" s="401"/>
      <c r="BU101" s="401"/>
      <c r="BV101" s="401"/>
      <c r="BW101" s="401"/>
      <c r="BX101" s="401"/>
      <c r="BY101" s="401"/>
      <c r="BZ101" s="401"/>
      <c r="CA101" s="401"/>
      <c r="CB101" s="401"/>
      <c r="CC101" s="401"/>
      <c r="CD101" s="401"/>
      <c r="CE101" s="401"/>
      <c r="CF101" s="401"/>
      <c r="CG101" s="401"/>
      <c r="CH101" s="401"/>
      <c r="CI101" s="401"/>
      <c r="CJ101" s="401"/>
    </row>
    <row r="102" spans="1:88" s="225" customFormat="1" ht="14.4" x14ac:dyDescent="0.3">
      <c r="A102" s="173"/>
      <c r="BM102" s="401"/>
      <c r="BN102" s="401"/>
      <c r="BO102" s="401"/>
      <c r="BP102" s="401"/>
      <c r="BQ102" s="401"/>
      <c r="BR102" s="401"/>
      <c r="BS102" s="401"/>
      <c r="BT102" s="401"/>
      <c r="BU102" s="401"/>
      <c r="BV102" s="401"/>
      <c r="BW102" s="401"/>
      <c r="BX102" s="401"/>
      <c r="BY102" s="401"/>
      <c r="BZ102" s="401"/>
      <c r="CA102" s="401"/>
      <c r="CB102" s="401"/>
      <c r="CC102" s="401"/>
      <c r="CD102" s="401"/>
      <c r="CE102" s="401"/>
      <c r="CF102" s="401"/>
      <c r="CG102" s="401"/>
      <c r="CH102" s="401"/>
      <c r="CI102" s="401"/>
      <c r="CJ102" s="401"/>
    </row>
    <row r="103" spans="1:88" x14ac:dyDescent="0.3">
      <c r="A103" s="173"/>
    </row>
    <row r="104" spans="1:88" x14ac:dyDescent="0.3">
      <c r="A104" s="173"/>
    </row>
    <row r="105" spans="1:88" x14ac:dyDescent="0.3">
      <c r="A105" s="173"/>
    </row>
    <row r="106" spans="1:88" x14ac:dyDescent="0.3">
      <c r="A106" s="173"/>
    </row>
    <row r="107" spans="1:88" x14ac:dyDescent="0.3">
      <c r="A107" s="173"/>
    </row>
    <row r="108" spans="1:88" x14ac:dyDescent="0.3">
      <c r="A108" s="173"/>
    </row>
    <row r="109" spans="1:88" x14ac:dyDescent="0.3">
      <c r="A109" s="173"/>
    </row>
    <row r="110" spans="1:88" x14ac:dyDescent="0.3">
      <c r="A110" s="173"/>
    </row>
    <row r="111" spans="1:88" x14ac:dyDescent="0.3">
      <c r="A111" s="173"/>
    </row>
    <row r="112" spans="1:88" x14ac:dyDescent="0.3">
      <c r="A112" s="173"/>
    </row>
    <row r="113" spans="1:88" s="225" customFormat="1" ht="14.4" x14ac:dyDescent="0.3">
      <c r="A113" s="173"/>
      <c r="BM113" s="401"/>
      <c r="BN113" s="401"/>
      <c r="BO113" s="401"/>
      <c r="BP113" s="401"/>
      <c r="BQ113" s="401"/>
      <c r="BR113" s="401"/>
      <c r="BS113" s="401"/>
      <c r="BT113" s="401"/>
      <c r="BU113" s="401"/>
      <c r="BV113" s="401"/>
      <c r="BW113" s="401"/>
      <c r="BX113" s="401"/>
      <c r="BY113" s="401"/>
      <c r="BZ113" s="401"/>
      <c r="CA113" s="401"/>
      <c r="CB113" s="401"/>
      <c r="CC113" s="401"/>
      <c r="CD113" s="401"/>
      <c r="CE113" s="401"/>
      <c r="CF113" s="401"/>
      <c r="CG113" s="401"/>
      <c r="CH113" s="401"/>
      <c r="CI113" s="401"/>
      <c r="CJ113" s="401"/>
    </row>
    <row r="114" spans="1:88" s="225" customFormat="1" ht="14.4" x14ac:dyDescent="0.3">
      <c r="A114" s="173"/>
      <c r="BM114" s="401"/>
      <c r="BN114" s="401"/>
      <c r="BO114" s="401"/>
      <c r="BP114" s="401"/>
      <c r="BQ114" s="401"/>
      <c r="BR114" s="401"/>
      <c r="BS114" s="401"/>
      <c r="BT114" s="401"/>
      <c r="BU114" s="401"/>
      <c r="BV114" s="401"/>
      <c r="BW114" s="401"/>
      <c r="BX114" s="401"/>
      <c r="BY114" s="401"/>
      <c r="BZ114" s="401"/>
      <c r="CA114" s="401"/>
      <c r="CB114" s="401"/>
      <c r="CC114" s="401"/>
      <c r="CD114" s="401"/>
      <c r="CE114" s="401"/>
      <c r="CF114" s="401"/>
      <c r="CG114" s="401"/>
      <c r="CH114" s="401"/>
      <c r="CI114" s="401"/>
      <c r="CJ114" s="401"/>
    </row>
    <row r="115" spans="1:88" s="225" customFormat="1" ht="14.4" x14ac:dyDescent="0.3">
      <c r="A115" s="173"/>
      <c r="BM115" s="401"/>
      <c r="BN115" s="401"/>
      <c r="BO115" s="401"/>
      <c r="BP115" s="401"/>
      <c r="BQ115" s="401"/>
      <c r="BR115" s="401"/>
      <c r="BS115" s="401"/>
      <c r="BT115" s="401"/>
      <c r="BU115" s="401"/>
      <c r="BV115" s="401"/>
      <c r="BW115" s="401"/>
      <c r="BX115" s="401"/>
      <c r="BY115" s="401"/>
      <c r="BZ115" s="401"/>
      <c r="CA115" s="401"/>
      <c r="CB115" s="401"/>
      <c r="CC115" s="401"/>
      <c r="CD115" s="401"/>
      <c r="CE115" s="401"/>
      <c r="CF115" s="401"/>
      <c r="CG115" s="401"/>
      <c r="CH115" s="401"/>
      <c r="CI115" s="401"/>
      <c r="CJ115" s="401"/>
    </row>
    <row r="116" spans="1:88" s="225" customFormat="1" ht="14.4" x14ac:dyDescent="0.3">
      <c r="A116" s="173"/>
      <c r="BM116" s="401"/>
      <c r="BN116" s="401"/>
      <c r="BO116" s="401"/>
      <c r="BP116" s="401"/>
      <c r="BQ116" s="401"/>
      <c r="BR116" s="401"/>
      <c r="BS116" s="401"/>
      <c r="BT116" s="401"/>
      <c r="BU116" s="401"/>
      <c r="BV116" s="401"/>
      <c r="BW116" s="401"/>
      <c r="BX116" s="401"/>
      <c r="BY116" s="401"/>
      <c r="BZ116" s="401"/>
      <c r="CA116" s="401"/>
      <c r="CB116" s="401"/>
      <c r="CC116" s="401"/>
      <c r="CD116" s="401"/>
      <c r="CE116" s="401"/>
      <c r="CF116" s="401"/>
      <c r="CG116" s="401"/>
      <c r="CH116" s="401"/>
      <c r="CI116" s="401"/>
      <c r="CJ116" s="401"/>
    </row>
    <row r="117" spans="1:88" s="225" customFormat="1" ht="14.4" x14ac:dyDescent="0.3">
      <c r="A117" s="173"/>
      <c r="BM117" s="401"/>
      <c r="BN117" s="401"/>
      <c r="BO117" s="401"/>
      <c r="BP117" s="401"/>
      <c r="BQ117" s="401"/>
      <c r="BR117" s="401"/>
      <c r="BS117" s="401"/>
      <c r="BT117" s="401"/>
      <c r="BU117" s="401"/>
      <c r="BV117" s="401"/>
      <c r="BW117" s="401"/>
      <c r="BX117" s="401"/>
      <c r="BY117" s="401"/>
      <c r="BZ117" s="401"/>
      <c r="CA117" s="401"/>
      <c r="CB117" s="401"/>
      <c r="CC117" s="401"/>
      <c r="CD117" s="401"/>
      <c r="CE117" s="401"/>
      <c r="CF117" s="401"/>
      <c r="CG117" s="401"/>
      <c r="CH117" s="401"/>
      <c r="CI117" s="401"/>
      <c r="CJ117" s="401"/>
    </row>
    <row r="118" spans="1:88" s="225" customFormat="1" ht="14.4" x14ac:dyDescent="0.3">
      <c r="A118" s="173"/>
      <c r="BM118" s="401"/>
      <c r="BN118" s="401"/>
      <c r="BO118" s="401"/>
      <c r="BP118" s="401"/>
      <c r="BQ118" s="401"/>
      <c r="BR118" s="401"/>
      <c r="BS118" s="401"/>
      <c r="BT118" s="401"/>
      <c r="BU118" s="401"/>
      <c r="BV118" s="401"/>
      <c r="BW118" s="401"/>
      <c r="BX118" s="401"/>
      <c r="BY118" s="401"/>
      <c r="BZ118" s="401"/>
      <c r="CA118" s="401"/>
      <c r="CB118" s="401"/>
      <c r="CC118" s="401"/>
      <c r="CD118" s="401"/>
      <c r="CE118" s="401"/>
      <c r="CF118" s="401"/>
      <c r="CG118" s="401"/>
      <c r="CH118" s="401"/>
      <c r="CI118" s="401"/>
      <c r="CJ118" s="401"/>
    </row>
    <row r="119" spans="1:88" s="225" customFormat="1" ht="14.4" x14ac:dyDescent="0.3">
      <c r="A119" s="173"/>
      <c r="BM119" s="401"/>
      <c r="BN119" s="401"/>
      <c r="BO119" s="401"/>
      <c r="BP119" s="401"/>
      <c r="BQ119" s="401"/>
      <c r="BR119" s="401"/>
      <c r="BS119" s="401"/>
      <c r="BT119" s="401"/>
      <c r="BU119" s="401"/>
      <c r="BV119" s="401"/>
      <c r="BW119" s="401"/>
      <c r="BX119" s="401"/>
      <c r="BY119" s="401"/>
      <c r="BZ119" s="401"/>
      <c r="CA119" s="401"/>
      <c r="CB119" s="401"/>
      <c r="CC119" s="401"/>
      <c r="CD119" s="401"/>
      <c r="CE119" s="401"/>
      <c r="CF119" s="401"/>
      <c r="CG119" s="401"/>
      <c r="CH119" s="401"/>
      <c r="CI119" s="401"/>
      <c r="CJ119" s="401"/>
    </row>
    <row r="120" spans="1:88" s="225" customFormat="1" ht="14.4" x14ac:dyDescent="0.3">
      <c r="A120" s="173"/>
      <c r="BM120" s="401"/>
      <c r="BN120" s="401"/>
      <c r="BO120" s="401"/>
      <c r="BP120" s="401"/>
      <c r="BQ120" s="401"/>
      <c r="BR120" s="401"/>
      <c r="BS120" s="401"/>
      <c r="BT120" s="401"/>
      <c r="BU120" s="401"/>
      <c r="BV120" s="401"/>
      <c r="BW120" s="401"/>
      <c r="BX120" s="401"/>
      <c r="BY120" s="401"/>
      <c r="BZ120" s="401"/>
      <c r="CA120" s="401"/>
      <c r="CB120" s="401"/>
      <c r="CC120" s="401"/>
      <c r="CD120" s="401"/>
      <c r="CE120" s="401"/>
      <c r="CF120" s="401"/>
      <c r="CG120" s="401"/>
      <c r="CH120" s="401"/>
      <c r="CI120" s="401"/>
      <c r="CJ120" s="401"/>
    </row>
    <row r="121" spans="1:88" s="225" customFormat="1" ht="14.4" x14ac:dyDescent="0.3">
      <c r="A121" s="173"/>
      <c r="BM121" s="401"/>
      <c r="BN121" s="401"/>
      <c r="BO121" s="401"/>
      <c r="BP121" s="401"/>
      <c r="BQ121" s="401"/>
      <c r="BR121" s="401"/>
      <c r="BS121" s="401"/>
      <c r="BT121" s="401"/>
      <c r="BU121" s="401"/>
      <c r="BV121" s="401"/>
      <c r="BW121" s="401"/>
      <c r="BX121" s="401"/>
      <c r="BY121" s="401"/>
      <c r="BZ121" s="401"/>
      <c r="CA121" s="401"/>
      <c r="CB121" s="401"/>
      <c r="CC121" s="401"/>
      <c r="CD121" s="401"/>
      <c r="CE121" s="401"/>
      <c r="CF121" s="401"/>
      <c r="CG121" s="401"/>
      <c r="CH121" s="401"/>
      <c r="CI121" s="401"/>
      <c r="CJ121" s="401"/>
    </row>
    <row r="122" spans="1:88" s="225" customFormat="1" ht="14.4" x14ac:dyDescent="0.3">
      <c r="A122" s="173"/>
      <c r="BM122" s="401"/>
      <c r="BN122" s="401"/>
      <c r="BO122" s="401"/>
      <c r="BP122" s="401"/>
      <c r="BQ122" s="401"/>
      <c r="BR122" s="401"/>
      <c r="BS122" s="401"/>
      <c r="BT122" s="401"/>
      <c r="BU122" s="401"/>
      <c r="BV122" s="401"/>
      <c r="BW122" s="401"/>
      <c r="BX122" s="401"/>
      <c r="BY122" s="401"/>
      <c r="BZ122" s="401"/>
      <c r="CA122" s="401"/>
      <c r="CB122" s="401"/>
      <c r="CC122" s="401"/>
      <c r="CD122" s="401"/>
      <c r="CE122" s="401"/>
      <c r="CF122" s="401"/>
      <c r="CG122" s="401"/>
      <c r="CH122" s="401"/>
      <c r="CI122" s="401"/>
      <c r="CJ122" s="401"/>
    </row>
    <row r="123" spans="1:88" s="225" customFormat="1" ht="14.4" x14ac:dyDescent="0.3">
      <c r="A123" s="173"/>
      <c r="BM123" s="401"/>
      <c r="BN123" s="401"/>
      <c r="BO123" s="401"/>
      <c r="BP123" s="401"/>
      <c r="BQ123" s="401"/>
      <c r="BR123" s="401"/>
      <c r="BS123" s="401"/>
      <c r="BT123" s="401"/>
      <c r="BU123" s="401"/>
      <c r="BV123" s="401"/>
      <c r="BW123" s="401"/>
      <c r="BX123" s="401"/>
      <c r="BY123" s="401"/>
      <c r="BZ123" s="401"/>
      <c r="CA123" s="401"/>
      <c r="CB123" s="401"/>
      <c r="CC123" s="401"/>
      <c r="CD123" s="401"/>
      <c r="CE123" s="401"/>
      <c r="CF123" s="401"/>
      <c r="CG123" s="401"/>
      <c r="CH123" s="401"/>
      <c r="CI123" s="401"/>
      <c r="CJ123" s="401"/>
    </row>
    <row r="124" spans="1:88" s="225" customFormat="1" ht="14.4" x14ac:dyDescent="0.3">
      <c r="A124" s="173"/>
      <c r="BM124" s="401"/>
      <c r="BN124" s="401"/>
      <c r="BO124" s="401"/>
      <c r="BP124" s="401"/>
      <c r="BQ124" s="401"/>
      <c r="BR124" s="401"/>
      <c r="BS124" s="401"/>
      <c r="BT124" s="401"/>
      <c r="BU124" s="401"/>
      <c r="BV124" s="401"/>
      <c r="BW124" s="401"/>
      <c r="BX124" s="401"/>
      <c r="BY124" s="401"/>
      <c r="BZ124" s="401"/>
      <c r="CA124" s="401"/>
      <c r="CB124" s="401"/>
      <c r="CC124" s="401"/>
      <c r="CD124" s="401"/>
      <c r="CE124" s="401"/>
      <c r="CF124" s="401"/>
      <c r="CG124" s="401"/>
      <c r="CH124" s="401"/>
      <c r="CI124" s="401"/>
      <c r="CJ124" s="401"/>
    </row>
    <row r="125" spans="1:88" s="225" customFormat="1" ht="14.4" x14ac:dyDescent="0.3">
      <c r="A125" s="173"/>
      <c r="BM125" s="401"/>
      <c r="BN125" s="401"/>
      <c r="BO125" s="401"/>
      <c r="BP125" s="401"/>
      <c r="BQ125" s="401"/>
      <c r="BR125" s="401"/>
      <c r="BS125" s="401"/>
      <c r="BT125" s="401"/>
      <c r="BU125" s="401"/>
      <c r="BV125" s="401"/>
      <c r="BW125" s="401"/>
      <c r="BX125" s="401"/>
      <c r="BY125" s="401"/>
      <c r="BZ125" s="401"/>
      <c r="CA125" s="401"/>
      <c r="CB125" s="401"/>
      <c r="CC125" s="401"/>
      <c r="CD125" s="401"/>
      <c r="CE125" s="401"/>
      <c r="CF125" s="401"/>
      <c r="CG125" s="401"/>
      <c r="CH125" s="401"/>
      <c r="CI125" s="401"/>
      <c r="CJ125" s="401"/>
    </row>
    <row r="126" spans="1:88" s="225" customFormat="1" ht="14.4" x14ac:dyDescent="0.3">
      <c r="A126" s="173"/>
      <c r="BM126" s="401"/>
      <c r="BN126" s="401"/>
      <c r="BO126" s="401"/>
      <c r="BP126" s="401"/>
      <c r="BQ126" s="401"/>
      <c r="BR126" s="401"/>
      <c r="BS126" s="401"/>
      <c r="BT126" s="401"/>
      <c r="BU126" s="401"/>
      <c r="BV126" s="401"/>
      <c r="BW126" s="401"/>
      <c r="BX126" s="401"/>
      <c r="BY126" s="401"/>
      <c r="BZ126" s="401"/>
      <c r="CA126" s="401"/>
      <c r="CB126" s="401"/>
      <c r="CC126" s="401"/>
      <c r="CD126" s="401"/>
      <c r="CE126" s="401"/>
      <c r="CF126" s="401"/>
      <c r="CG126" s="401"/>
      <c r="CH126" s="401"/>
      <c r="CI126" s="401"/>
      <c r="CJ126" s="401"/>
    </row>
    <row r="127" spans="1:88" x14ac:dyDescent="0.3">
      <c r="A127" s="173"/>
    </row>
    <row r="128" spans="1:88" x14ac:dyDescent="0.3">
      <c r="A128" s="173"/>
    </row>
    <row r="129" spans="1:88" x14ac:dyDescent="0.3">
      <c r="A129" s="173"/>
    </row>
    <row r="130" spans="1:88" x14ac:dyDescent="0.3">
      <c r="A130" s="173"/>
    </row>
    <row r="131" spans="1:88" x14ac:dyDescent="0.3">
      <c r="A131" s="173"/>
    </row>
    <row r="132" spans="1:88" x14ac:dyDescent="0.3">
      <c r="A132" s="173"/>
    </row>
    <row r="133" spans="1:88" x14ac:dyDescent="0.3">
      <c r="A133" s="173"/>
    </row>
    <row r="134" spans="1:88" s="225" customFormat="1" ht="14.4" x14ac:dyDescent="0.3">
      <c r="A134" s="173"/>
      <c r="BM134" s="401"/>
      <c r="BN134" s="401"/>
      <c r="BO134" s="401"/>
      <c r="BP134" s="401"/>
      <c r="BQ134" s="401"/>
      <c r="BR134" s="401"/>
      <c r="BS134" s="401"/>
      <c r="BT134" s="401"/>
      <c r="BU134" s="401"/>
      <c r="BV134" s="401"/>
      <c r="BW134" s="401"/>
      <c r="BX134" s="401"/>
      <c r="BY134" s="401"/>
      <c r="BZ134" s="401"/>
      <c r="CA134" s="401"/>
      <c r="CB134" s="401"/>
      <c r="CC134" s="401"/>
      <c r="CD134" s="401"/>
      <c r="CE134" s="401"/>
      <c r="CF134" s="401"/>
      <c r="CG134" s="401"/>
      <c r="CH134" s="401"/>
      <c r="CI134" s="401"/>
      <c r="CJ134" s="401"/>
    </row>
    <row r="135" spans="1:88" s="225" customFormat="1" ht="14.4" x14ac:dyDescent="0.3">
      <c r="A135" s="173"/>
      <c r="BM135" s="401"/>
      <c r="BN135" s="401"/>
      <c r="BO135" s="401"/>
      <c r="BP135" s="401"/>
      <c r="BQ135" s="401"/>
      <c r="BR135" s="401"/>
      <c r="BS135" s="401"/>
      <c r="BT135" s="401"/>
      <c r="BU135" s="401"/>
      <c r="BV135" s="401"/>
      <c r="BW135" s="401"/>
      <c r="BX135" s="401"/>
      <c r="BY135" s="401"/>
      <c r="BZ135" s="401"/>
      <c r="CA135" s="401"/>
      <c r="CB135" s="401"/>
      <c r="CC135" s="401"/>
      <c r="CD135" s="401"/>
      <c r="CE135" s="401"/>
      <c r="CF135" s="401"/>
      <c r="CG135" s="401"/>
      <c r="CH135" s="401"/>
      <c r="CI135" s="401"/>
      <c r="CJ135" s="401"/>
    </row>
    <row r="136" spans="1:88" s="225" customFormat="1" ht="14.4" x14ac:dyDescent="0.3">
      <c r="A136" s="173"/>
      <c r="BM136" s="401"/>
      <c r="BN136" s="401"/>
      <c r="BO136" s="401"/>
      <c r="BP136" s="401"/>
      <c r="BQ136" s="401"/>
      <c r="BR136" s="401"/>
      <c r="BS136" s="401"/>
      <c r="BT136" s="401"/>
      <c r="BU136" s="401"/>
      <c r="BV136" s="401"/>
      <c r="BW136" s="401"/>
      <c r="BX136" s="401"/>
      <c r="BY136" s="401"/>
      <c r="BZ136" s="401"/>
      <c r="CA136" s="401"/>
      <c r="CB136" s="401"/>
      <c r="CC136" s="401"/>
      <c r="CD136" s="401"/>
      <c r="CE136" s="401"/>
      <c r="CF136" s="401"/>
      <c r="CG136" s="401"/>
      <c r="CH136" s="401"/>
      <c r="CI136" s="401"/>
      <c r="CJ136" s="401"/>
    </row>
    <row r="137" spans="1:88" s="225" customFormat="1" ht="14.4" x14ac:dyDescent="0.3">
      <c r="A137" s="173"/>
      <c r="BM137" s="401"/>
      <c r="BN137" s="401"/>
      <c r="BO137" s="401"/>
      <c r="BP137" s="401"/>
      <c r="BQ137" s="401"/>
      <c r="BR137" s="401"/>
      <c r="BS137" s="401"/>
      <c r="BT137" s="401"/>
      <c r="BU137" s="401"/>
      <c r="BV137" s="401"/>
      <c r="BW137" s="401"/>
      <c r="BX137" s="401"/>
      <c r="BY137" s="401"/>
      <c r="BZ137" s="401"/>
      <c r="CA137" s="401"/>
      <c r="CB137" s="401"/>
      <c r="CC137" s="401"/>
      <c r="CD137" s="401"/>
      <c r="CE137" s="401"/>
      <c r="CF137" s="401"/>
      <c r="CG137" s="401"/>
      <c r="CH137" s="401"/>
      <c r="CI137" s="401"/>
      <c r="CJ137" s="401"/>
    </row>
    <row r="138" spans="1:88" s="225" customFormat="1" ht="14.4" x14ac:dyDescent="0.3">
      <c r="A138" s="173"/>
      <c r="BM138" s="401"/>
      <c r="BN138" s="401"/>
      <c r="BO138" s="401"/>
      <c r="BP138" s="401"/>
      <c r="BQ138" s="401"/>
      <c r="BR138" s="401"/>
      <c r="BS138" s="401"/>
      <c r="BT138" s="401"/>
      <c r="BU138" s="401"/>
      <c r="BV138" s="401"/>
      <c r="BW138" s="401"/>
      <c r="BX138" s="401"/>
      <c r="BY138" s="401"/>
      <c r="BZ138" s="401"/>
      <c r="CA138" s="401"/>
      <c r="CB138" s="401"/>
      <c r="CC138" s="401"/>
      <c r="CD138" s="401"/>
      <c r="CE138" s="401"/>
      <c r="CF138" s="401"/>
      <c r="CG138" s="401"/>
      <c r="CH138" s="401"/>
      <c r="CI138" s="401"/>
      <c r="CJ138" s="401"/>
    </row>
    <row r="139" spans="1:88" s="225" customFormat="1" ht="14.4" x14ac:dyDescent="0.3">
      <c r="A139" s="173"/>
      <c r="BM139" s="401"/>
      <c r="BN139" s="401"/>
      <c r="BO139" s="401"/>
      <c r="BP139" s="401"/>
      <c r="BQ139" s="401"/>
      <c r="BR139" s="401"/>
      <c r="BS139" s="401"/>
      <c r="BT139" s="401"/>
      <c r="BU139" s="401"/>
      <c r="BV139" s="401"/>
      <c r="BW139" s="401"/>
      <c r="BX139" s="401"/>
      <c r="BY139" s="401"/>
      <c r="BZ139" s="401"/>
      <c r="CA139" s="401"/>
      <c r="CB139" s="401"/>
      <c r="CC139" s="401"/>
      <c r="CD139" s="401"/>
      <c r="CE139" s="401"/>
      <c r="CF139" s="401"/>
      <c r="CG139" s="401"/>
      <c r="CH139" s="401"/>
      <c r="CI139" s="401"/>
      <c r="CJ139" s="401"/>
    </row>
    <row r="140" spans="1:88" s="225" customFormat="1" ht="14.4" x14ac:dyDescent="0.3">
      <c r="A140" s="173"/>
      <c r="BM140" s="401"/>
      <c r="BN140" s="401"/>
      <c r="BO140" s="401"/>
      <c r="BP140" s="401"/>
      <c r="BQ140" s="401"/>
      <c r="BR140" s="401"/>
      <c r="BS140" s="401"/>
      <c r="BT140" s="401"/>
      <c r="BU140" s="401"/>
      <c r="BV140" s="401"/>
      <c r="BW140" s="401"/>
      <c r="BX140" s="401"/>
      <c r="BY140" s="401"/>
      <c r="BZ140" s="401"/>
      <c r="CA140" s="401"/>
      <c r="CB140" s="401"/>
      <c r="CC140" s="401"/>
      <c r="CD140" s="401"/>
      <c r="CE140" s="401"/>
      <c r="CF140" s="401"/>
      <c r="CG140" s="401"/>
      <c r="CH140" s="401"/>
      <c r="CI140" s="401"/>
      <c r="CJ140" s="401"/>
    </row>
    <row r="141" spans="1:88" s="225" customFormat="1" ht="14.4" x14ac:dyDescent="0.3">
      <c r="A141" s="173"/>
      <c r="BM141" s="401"/>
      <c r="BN141" s="401"/>
      <c r="BO141" s="401"/>
      <c r="BP141" s="401"/>
      <c r="BQ141" s="401"/>
      <c r="BR141" s="401"/>
      <c r="BS141" s="401"/>
      <c r="BT141" s="401"/>
      <c r="BU141" s="401"/>
      <c r="BV141" s="401"/>
      <c r="BW141" s="401"/>
      <c r="BX141" s="401"/>
      <c r="BY141" s="401"/>
      <c r="BZ141" s="401"/>
      <c r="CA141" s="401"/>
      <c r="CB141" s="401"/>
      <c r="CC141" s="401"/>
      <c r="CD141" s="401"/>
      <c r="CE141" s="401"/>
      <c r="CF141" s="401"/>
      <c r="CG141" s="401"/>
      <c r="CH141" s="401"/>
      <c r="CI141" s="401"/>
      <c r="CJ141" s="401"/>
    </row>
    <row r="142" spans="1:88" s="225" customFormat="1" ht="14.4" x14ac:dyDescent="0.3">
      <c r="A142" s="173"/>
      <c r="BM142" s="401"/>
      <c r="BN142" s="401"/>
      <c r="BO142" s="401"/>
      <c r="BP142" s="401"/>
      <c r="BQ142" s="401"/>
      <c r="BR142" s="401"/>
      <c r="BS142" s="401"/>
      <c r="BT142" s="401"/>
      <c r="BU142" s="401"/>
      <c r="BV142" s="401"/>
      <c r="BW142" s="401"/>
      <c r="BX142" s="401"/>
      <c r="BY142" s="401"/>
      <c r="BZ142" s="401"/>
      <c r="CA142" s="401"/>
      <c r="CB142" s="401"/>
      <c r="CC142" s="401"/>
      <c r="CD142" s="401"/>
      <c r="CE142" s="401"/>
      <c r="CF142" s="401"/>
      <c r="CG142" s="401"/>
      <c r="CH142" s="401"/>
      <c r="CI142" s="401"/>
      <c r="CJ142" s="401"/>
    </row>
    <row r="143" spans="1:88" s="225" customFormat="1" ht="14.4" x14ac:dyDescent="0.3">
      <c r="A143" s="173"/>
      <c r="BM143" s="401"/>
      <c r="BN143" s="401"/>
      <c r="BO143" s="401"/>
      <c r="BP143" s="401"/>
      <c r="BQ143" s="401"/>
      <c r="BR143" s="401"/>
      <c r="BS143" s="401"/>
      <c r="BT143" s="401"/>
      <c r="BU143" s="401"/>
      <c r="BV143" s="401"/>
      <c r="BW143" s="401"/>
      <c r="BX143" s="401"/>
      <c r="BY143" s="401"/>
      <c r="BZ143" s="401"/>
      <c r="CA143" s="401"/>
      <c r="CB143" s="401"/>
      <c r="CC143" s="401"/>
      <c r="CD143" s="401"/>
      <c r="CE143" s="401"/>
      <c r="CF143" s="401"/>
      <c r="CG143" s="401"/>
      <c r="CH143" s="401"/>
      <c r="CI143" s="401"/>
      <c r="CJ143" s="401"/>
    </row>
    <row r="144" spans="1:88" s="225" customFormat="1" ht="14.4" x14ac:dyDescent="0.3">
      <c r="A144" s="173"/>
      <c r="BM144" s="401"/>
      <c r="BN144" s="401"/>
      <c r="BO144" s="401"/>
      <c r="BP144" s="401"/>
      <c r="BQ144" s="401"/>
      <c r="BR144" s="401"/>
      <c r="BS144" s="401"/>
      <c r="BT144" s="401"/>
      <c r="BU144" s="401"/>
      <c r="BV144" s="401"/>
      <c r="BW144" s="401"/>
      <c r="BX144" s="401"/>
      <c r="BY144" s="401"/>
      <c r="BZ144" s="401"/>
      <c r="CA144" s="401"/>
      <c r="CB144" s="401"/>
      <c r="CC144" s="401"/>
      <c r="CD144" s="401"/>
      <c r="CE144" s="401"/>
      <c r="CF144" s="401"/>
      <c r="CG144" s="401"/>
      <c r="CH144" s="401"/>
      <c r="CI144" s="401"/>
      <c r="CJ144" s="401"/>
    </row>
    <row r="145" spans="1:88" s="225" customFormat="1" ht="14.4" x14ac:dyDescent="0.3">
      <c r="A145" s="173"/>
      <c r="BM145" s="401"/>
      <c r="BN145" s="401"/>
      <c r="BO145" s="401"/>
      <c r="BP145" s="401"/>
      <c r="BQ145" s="401"/>
      <c r="BR145" s="401"/>
      <c r="BS145" s="401"/>
      <c r="BT145" s="401"/>
      <c r="BU145" s="401"/>
      <c r="BV145" s="401"/>
      <c r="BW145" s="401"/>
      <c r="BX145" s="401"/>
      <c r="BY145" s="401"/>
      <c r="BZ145" s="401"/>
      <c r="CA145" s="401"/>
      <c r="CB145" s="401"/>
      <c r="CC145" s="401"/>
      <c r="CD145" s="401"/>
      <c r="CE145" s="401"/>
      <c r="CF145" s="401"/>
      <c r="CG145" s="401"/>
      <c r="CH145" s="401"/>
      <c r="CI145" s="401"/>
      <c r="CJ145" s="401"/>
    </row>
    <row r="146" spans="1:88" s="225" customFormat="1" ht="14.4" x14ac:dyDescent="0.3">
      <c r="A146" s="173"/>
      <c r="BM146" s="401"/>
      <c r="BN146" s="401"/>
      <c r="BO146" s="401"/>
      <c r="BP146" s="401"/>
      <c r="BQ146" s="401"/>
      <c r="BR146" s="401"/>
      <c r="BS146" s="401"/>
      <c r="BT146" s="401"/>
      <c r="BU146" s="401"/>
      <c r="BV146" s="401"/>
      <c r="BW146" s="401"/>
      <c r="BX146" s="401"/>
      <c r="BY146" s="401"/>
      <c r="BZ146" s="401"/>
      <c r="CA146" s="401"/>
      <c r="CB146" s="401"/>
      <c r="CC146" s="401"/>
      <c r="CD146" s="401"/>
      <c r="CE146" s="401"/>
      <c r="CF146" s="401"/>
      <c r="CG146" s="401"/>
      <c r="CH146" s="401"/>
      <c r="CI146" s="401"/>
      <c r="CJ146" s="401"/>
    </row>
    <row r="147" spans="1:88" s="225" customFormat="1" ht="14.4" x14ac:dyDescent="0.3">
      <c r="A147" s="173"/>
      <c r="BM147" s="401"/>
      <c r="BN147" s="401"/>
      <c r="BO147" s="401"/>
      <c r="BP147" s="401"/>
      <c r="BQ147" s="401"/>
      <c r="BR147" s="401"/>
      <c r="BS147" s="401"/>
      <c r="BT147" s="401"/>
      <c r="BU147" s="401"/>
      <c r="BV147" s="401"/>
      <c r="BW147" s="401"/>
      <c r="BX147" s="401"/>
      <c r="BY147" s="401"/>
      <c r="BZ147" s="401"/>
      <c r="CA147" s="401"/>
      <c r="CB147" s="401"/>
      <c r="CC147" s="401"/>
      <c r="CD147" s="401"/>
      <c r="CE147" s="401"/>
      <c r="CF147" s="401"/>
      <c r="CG147" s="401"/>
      <c r="CH147" s="401"/>
      <c r="CI147" s="401"/>
      <c r="CJ147" s="401"/>
    </row>
    <row r="148" spans="1:88" s="225" customFormat="1" ht="14.4" x14ac:dyDescent="0.3">
      <c r="A148" s="173"/>
      <c r="BM148" s="401"/>
      <c r="BN148" s="401"/>
      <c r="BO148" s="401"/>
      <c r="BP148" s="401"/>
      <c r="BQ148" s="401"/>
      <c r="BR148" s="401"/>
      <c r="BS148" s="401"/>
      <c r="BT148" s="401"/>
      <c r="BU148" s="401"/>
      <c r="BV148" s="401"/>
      <c r="BW148" s="401"/>
      <c r="BX148" s="401"/>
      <c r="BY148" s="401"/>
      <c r="BZ148" s="401"/>
      <c r="CA148" s="401"/>
      <c r="CB148" s="401"/>
      <c r="CC148" s="401"/>
      <c r="CD148" s="401"/>
      <c r="CE148" s="401"/>
      <c r="CF148" s="401"/>
      <c r="CG148" s="401"/>
      <c r="CH148" s="401"/>
      <c r="CI148" s="401"/>
      <c r="CJ148" s="401"/>
    </row>
    <row r="149" spans="1:88" s="225" customFormat="1" ht="14.4" x14ac:dyDescent="0.3">
      <c r="A149" s="173"/>
      <c r="BM149" s="401"/>
      <c r="BN149" s="401"/>
      <c r="BO149" s="401"/>
      <c r="BP149" s="401"/>
      <c r="BQ149" s="401"/>
      <c r="BR149" s="401"/>
      <c r="BS149" s="401"/>
      <c r="BT149" s="401"/>
      <c r="BU149" s="401"/>
      <c r="BV149" s="401"/>
      <c r="BW149" s="401"/>
      <c r="BX149" s="401"/>
      <c r="BY149" s="401"/>
      <c r="BZ149" s="401"/>
      <c r="CA149" s="401"/>
      <c r="CB149" s="401"/>
      <c r="CC149" s="401"/>
      <c r="CD149" s="401"/>
      <c r="CE149" s="401"/>
      <c r="CF149" s="401"/>
      <c r="CG149" s="401"/>
      <c r="CH149" s="401"/>
      <c r="CI149" s="401"/>
      <c r="CJ149" s="401"/>
    </row>
    <row r="150" spans="1:88" s="225" customFormat="1" ht="14.4" x14ac:dyDescent="0.3">
      <c r="A150" s="173"/>
      <c r="BM150" s="401"/>
      <c r="BN150" s="401"/>
      <c r="BO150" s="401"/>
      <c r="BP150" s="401"/>
      <c r="BQ150" s="401"/>
      <c r="BR150" s="401"/>
      <c r="BS150" s="401"/>
      <c r="BT150" s="401"/>
      <c r="BU150" s="401"/>
      <c r="BV150" s="401"/>
      <c r="BW150" s="401"/>
      <c r="BX150" s="401"/>
      <c r="BY150" s="401"/>
      <c r="BZ150" s="401"/>
      <c r="CA150" s="401"/>
      <c r="CB150" s="401"/>
      <c r="CC150" s="401"/>
      <c r="CD150" s="401"/>
      <c r="CE150" s="401"/>
      <c r="CF150" s="401"/>
      <c r="CG150" s="401"/>
      <c r="CH150" s="401"/>
      <c r="CI150" s="401"/>
      <c r="CJ150" s="401"/>
    </row>
    <row r="151" spans="1:88" s="225" customFormat="1" ht="14.4" x14ac:dyDescent="0.3">
      <c r="A151" s="173"/>
      <c r="BM151" s="401"/>
      <c r="BN151" s="401"/>
      <c r="BO151" s="401"/>
      <c r="BP151" s="401"/>
      <c r="BQ151" s="401"/>
      <c r="BR151" s="401"/>
      <c r="BS151" s="401"/>
      <c r="BT151" s="401"/>
      <c r="BU151" s="401"/>
      <c r="BV151" s="401"/>
      <c r="BW151" s="401"/>
      <c r="BX151" s="401"/>
      <c r="BY151" s="401"/>
      <c r="BZ151" s="401"/>
      <c r="CA151" s="401"/>
      <c r="CB151" s="401"/>
      <c r="CC151" s="401"/>
      <c r="CD151" s="401"/>
      <c r="CE151" s="401"/>
      <c r="CF151" s="401"/>
      <c r="CG151" s="401"/>
      <c r="CH151" s="401"/>
      <c r="CI151" s="401"/>
      <c r="CJ151" s="401"/>
    </row>
    <row r="152" spans="1:88" s="225" customFormat="1" ht="14.4" x14ac:dyDescent="0.3">
      <c r="A152" s="173"/>
      <c r="BM152" s="401"/>
      <c r="BN152" s="401"/>
      <c r="BO152" s="401"/>
      <c r="BP152" s="401"/>
      <c r="BQ152" s="401"/>
      <c r="BR152" s="401"/>
      <c r="BS152" s="401"/>
      <c r="BT152" s="401"/>
      <c r="BU152" s="401"/>
      <c r="BV152" s="401"/>
      <c r="BW152" s="401"/>
      <c r="BX152" s="401"/>
      <c r="BY152" s="401"/>
      <c r="BZ152" s="401"/>
      <c r="CA152" s="401"/>
      <c r="CB152" s="401"/>
      <c r="CC152" s="401"/>
      <c r="CD152" s="401"/>
      <c r="CE152" s="401"/>
      <c r="CF152" s="401"/>
      <c r="CG152" s="401"/>
      <c r="CH152" s="401"/>
      <c r="CI152" s="401"/>
      <c r="CJ152" s="401"/>
    </row>
    <row r="153" spans="1:88" s="225" customFormat="1" ht="14.4" x14ac:dyDescent="0.3">
      <c r="A153" s="173"/>
      <c r="BM153" s="401"/>
      <c r="BN153" s="401"/>
      <c r="BO153" s="401"/>
      <c r="BP153" s="401"/>
      <c r="BQ153" s="401"/>
      <c r="BR153" s="401"/>
      <c r="BS153" s="401"/>
      <c r="BT153" s="401"/>
      <c r="BU153" s="401"/>
      <c r="BV153" s="401"/>
      <c r="BW153" s="401"/>
      <c r="BX153" s="401"/>
      <c r="BY153" s="401"/>
      <c r="BZ153" s="401"/>
      <c r="CA153" s="401"/>
      <c r="CB153" s="401"/>
      <c r="CC153" s="401"/>
      <c r="CD153" s="401"/>
      <c r="CE153" s="401"/>
      <c r="CF153" s="401"/>
      <c r="CG153" s="401"/>
      <c r="CH153" s="401"/>
      <c r="CI153" s="401"/>
      <c r="CJ153" s="401"/>
    </row>
    <row r="154" spans="1:88" s="225" customFormat="1" ht="14.4" x14ac:dyDescent="0.3">
      <c r="A154" s="173"/>
      <c r="BM154" s="401"/>
      <c r="BN154" s="401"/>
      <c r="BO154" s="401"/>
      <c r="BP154" s="401"/>
      <c r="BQ154" s="401"/>
      <c r="BR154" s="401"/>
      <c r="BS154" s="401"/>
      <c r="BT154" s="401"/>
      <c r="BU154" s="401"/>
      <c r="BV154" s="401"/>
      <c r="BW154" s="401"/>
      <c r="BX154" s="401"/>
      <c r="BY154" s="401"/>
      <c r="BZ154" s="401"/>
      <c r="CA154" s="401"/>
      <c r="CB154" s="401"/>
      <c r="CC154" s="401"/>
      <c r="CD154" s="401"/>
      <c r="CE154" s="401"/>
      <c r="CF154" s="401"/>
      <c r="CG154" s="401"/>
      <c r="CH154" s="401"/>
      <c r="CI154" s="401"/>
      <c r="CJ154" s="401"/>
    </row>
    <row r="155" spans="1:88" s="225" customFormat="1" ht="14.4" x14ac:dyDescent="0.3">
      <c r="A155" s="173"/>
      <c r="BM155" s="401"/>
      <c r="BN155" s="401"/>
      <c r="BO155" s="401"/>
      <c r="BP155" s="401"/>
      <c r="BQ155" s="401"/>
      <c r="BR155" s="401"/>
      <c r="BS155" s="401"/>
      <c r="BT155" s="401"/>
      <c r="BU155" s="401"/>
      <c r="BV155" s="401"/>
      <c r="BW155" s="401"/>
      <c r="BX155" s="401"/>
      <c r="BY155" s="401"/>
      <c r="BZ155" s="401"/>
      <c r="CA155" s="401"/>
      <c r="CB155" s="401"/>
      <c r="CC155" s="401"/>
      <c r="CD155" s="401"/>
      <c r="CE155" s="401"/>
      <c r="CF155" s="401"/>
      <c r="CG155" s="401"/>
      <c r="CH155" s="401"/>
      <c r="CI155" s="401"/>
      <c r="CJ155" s="401"/>
    </row>
    <row r="156" spans="1:88" s="225" customFormat="1" ht="14.4" x14ac:dyDescent="0.3">
      <c r="A156" s="173"/>
      <c r="BM156" s="401"/>
      <c r="BN156" s="401"/>
      <c r="BO156" s="401"/>
      <c r="BP156" s="401"/>
      <c r="BQ156" s="401"/>
      <c r="BR156" s="401"/>
      <c r="BS156" s="401"/>
      <c r="BT156" s="401"/>
      <c r="BU156" s="401"/>
      <c r="BV156" s="401"/>
      <c r="BW156" s="401"/>
      <c r="BX156" s="401"/>
      <c r="BY156" s="401"/>
      <c r="BZ156" s="401"/>
      <c r="CA156" s="401"/>
      <c r="CB156" s="401"/>
      <c r="CC156" s="401"/>
      <c r="CD156" s="401"/>
      <c r="CE156" s="401"/>
      <c r="CF156" s="401"/>
      <c r="CG156" s="401"/>
      <c r="CH156" s="401"/>
      <c r="CI156" s="401"/>
      <c r="CJ156" s="401"/>
    </row>
    <row r="157" spans="1:88" s="225" customFormat="1" ht="14.4" x14ac:dyDescent="0.3">
      <c r="A157" s="173"/>
      <c r="BM157" s="401"/>
      <c r="BN157" s="401"/>
      <c r="BO157" s="401"/>
      <c r="BP157" s="401"/>
      <c r="BQ157" s="401"/>
      <c r="BR157" s="401"/>
      <c r="BS157" s="401"/>
      <c r="BT157" s="401"/>
      <c r="BU157" s="401"/>
      <c r="BV157" s="401"/>
      <c r="BW157" s="401"/>
      <c r="BX157" s="401"/>
      <c r="BY157" s="401"/>
      <c r="BZ157" s="401"/>
      <c r="CA157" s="401"/>
      <c r="CB157" s="401"/>
      <c r="CC157" s="401"/>
      <c r="CD157" s="401"/>
      <c r="CE157" s="401"/>
      <c r="CF157" s="401"/>
      <c r="CG157" s="401"/>
      <c r="CH157" s="401"/>
      <c r="CI157" s="401"/>
      <c r="CJ157" s="401"/>
    </row>
    <row r="158" spans="1:88" s="225" customFormat="1" ht="14.4" x14ac:dyDescent="0.3">
      <c r="A158" s="173"/>
      <c r="BM158" s="401"/>
      <c r="BN158" s="401"/>
      <c r="BO158" s="401"/>
      <c r="BP158" s="401"/>
      <c r="BQ158" s="401"/>
      <c r="BR158" s="401"/>
      <c r="BS158" s="401"/>
      <c r="BT158" s="401"/>
      <c r="BU158" s="401"/>
      <c r="BV158" s="401"/>
      <c r="BW158" s="401"/>
      <c r="BX158" s="401"/>
      <c r="BY158" s="401"/>
      <c r="BZ158" s="401"/>
      <c r="CA158" s="401"/>
      <c r="CB158" s="401"/>
      <c r="CC158" s="401"/>
      <c r="CD158" s="401"/>
      <c r="CE158" s="401"/>
      <c r="CF158" s="401"/>
      <c r="CG158" s="401"/>
      <c r="CH158" s="401"/>
      <c r="CI158" s="401"/>
      <c r="CJ158" s="401"/>
    </row>
    <row r="159" spans="1:88" s="225" customFormat="1" ht="14.4" x14ac:dyDescent="0.3">
      <c r="A159" s="173"/>
      <c r="BM159" s="401"/>
      <c r="BN159" s="401"/>
      <c r="BO159" s="401"/>
      <c r="BP159" s="401"/>
      <c r="BQ159" s="401"/>
      <c r="BR159" s="401"/>
      <c r="BS159" s="401"/>
      <c r="BT159" s="401"/>
      <c r="BU159" s="401"/>
      <c r="BV159" s="401"/>
      <c r="BW159" s="401"/>
      <c r="BX159" s="401"/>
      <c r="BY159" s="401"/>
      <c r="BZ159" s="401"/>
      <c r="CA159" s="401"/>
      <c r="CB159" s="401"/>
      <c r="CC159" s="401"/>
      <c r="CD159" s="401"/>
      <c r="CE159" s="401"/>
      <c r="CF159" s="401"/>
      <c r="CG159" s="401"/>
      <c r="CH159" s="401"/>
      <c r="CI159" s="401"/>
      <c r="CJ159" s="401"/>
    </row>
    <row r="160" spans="1:88" s="225" customFormat="1" ht="14.4" x14ac:dyDescent="0.3">
      <c r="A160" s="173"/>
      <c r="BM160" s="401"/>
      <c r="BN160" s="401"/>
      <c r="BO160" s="401"/>
      <c r="BP160" s="401"/>
      <c r="BQ160" s="401"/>
      <c r="BR160" s="401"/>
      <c r="BS160" s="401"/>
      <c r="BT160" s="401"/>
      <c r="BU160" s="401"/>
      <c r="BV160" s="401"/>
      <c r="BW160" s="401"/>
      <c r="BX160" s="401"/>
      <c r="BY160" s="401"/>
      <c r="BZ160" s="401"/>
      <c r="CA160" s="401"/>
      <c r="CB160" s="401"/>
      <c r="CC160" s="401"/>
      <c r="CD160" s="401"/>
      <c r="CE160" s="401"/>
      <c r="CF160" s="401"/>
      <c r="CG160" s="401"/>
      <c r="CH160" s="401"/>
      <c r="CI160" s="401"/>
      <c r="CJ160" s="401"/>
    </row>
    <row r="161" spans="1:88" s="225" customFormat="1" ht="14.4" x14ac:dyDescent="0.3">
      <c r="A161" s="173"/>
      <c r="BM161" s="401"/>
      <c r="BN161" s="401"/>
      <c r="BO161" s="401"/>
      <c r="BP161" s="401"/>
      <c r="BQ161" s="401"/>
      <c r="BR161" s="401"/>
      <c r="BS161" s="401"/>
      <c r="BT161" s="401"/>
      <c r="BU161" s="401"/>
      <c r="BV161" s="401"/>
      <c r="BW161" s="401"/>
      <c r="BX161" s="401"/>
      <c r="BY161" s="401"/>
      <c r="BZ161" s="401"/>
      <c r="CA161" s="401"/>
      <c r="CB161" s="401"/>
      <c r="CC161" s="401"/>
      <c r="CD161" s="401"/>
      <c r="CE161" s="401"/>
      <c r="CF161" s="401"/>
      <c r="CG161" s="401"/>
      <c r="CH161" s="401"/>
      <c r="CI161" s="401"/>
      <c r="CJ161" s="401"/>
    </row>
    <row r="162" spans="1:88" s="225" customFormat="1" ht="14.4" x14ac:dyDescent="0.3">
      <c r="A162" s="173"/>
      <c r="BM162" s="401"/>
      <c r="BN162" s="401"/>
      <c r="BO162" s="401"/>
      <c r="BP162" s="401"/>
      <c r="BQ162" s="401"/>
      <c r="BR162" s="401"/>
      <c r="BS162" s="401"/>
      <c r="BT162" s="401"/>
      <c r="BU162" s="401"/>
      <c r="BV162" s="401"/>
      <c r="BW162" s="401"/>
      <c r="BX162" s="401"/>
      <c r="BY162" s="401"/>
      <c r="BZ162" s="401"/>
      <c r="CA162" s="401"/>
      <c r="CB162" s="401"/>
      <c r="CC162" s="401"/>
      <c r="CD162" s="401"/>
      <c r="CE162" s="401"/>
      <c r="CF162" s="401"/>
      <c r="CG162" s="401"/>
      <c r="CH162" s="401"/>
      <c r="CI162" s="401"/>
      <c r="CJ162" s="401"/>
    </row>
    <row r="163" spans="1:88" s="225" customFormat="1" ht="14.4" x14ac:dyDescent="0.3">
      <c r="A163" s="173"/>
      <c r="BM163" s="401"/>
      <c r="BN163" s="401"/>
      <c r="BO163" s="401"/>
      <c r="BP163" s="401"/>
      <c r="BQ163" s="401"/>
      <c r="BR163" s="401"/>
      <c r="BS163" s="401"/>
      <c r="BT163" s="401"/>
      <c r="BU163" s="401"/>
      <c r="BV163" s="401"/>
      <c r="BW163" s="401"/>
      <c r="BX163" s="401"/>
      <c r="BY163" s="401"/>
      <c r="BZ163" s="401"/>
      <c r="CA163" s="401"/>
      <c r="CB163" s="401"/>
      <c r="CC163" s="401"/>
      <c r="CD163" s="401"/>
      <c r="CE163" s="401"/>
      <c r="CF163" s="401"/>
      <c r="CG163" s="401"/>
      <c r="CH163" s="401"/>
      <c r="CI163" s="401"/>
      <c r="CJ163" s="401"/>
    </row>
    <row r="164" spans="1:88" s="225" customFormat="1" ht="14.4" x14ac:dyDescent="0.3">
      <c r="A164" s="173"/>
      <c r="BM164" s="401"/>
      <c r="BN164" s="401"/>
      <c r="BO164" s="401"/>
      <c r="BP164" s="401"/>
      <c r="BQ164" s="401"/>
      <c r="BR164" s="401"/>
      <c r="BS164" s="401"/>
      <c r="BT164" s="401"/>
      <c r="BU164" s="401"/>
      <c r="BV164" s="401"/>
      <c r="BW164" s="401"/>
      <c r="BX164" s="401"/>
      <c r="BY164" s="401"/>
      <c r="BZ164" s="401"/>
      <c r="CA164" s="401"/>
      <c r="CB164" s="401"/>
      <c r="CC164" s="401"/>
      <c r="CD164" s="401"/>
      <c r="CE164" s="401"/>
      <c r="CF164" s="401"/>
      <c r="CG164" s="401"/>
      <c r="CH164" s="401"/>
      <c r="CI164" s="401"/>
      <c r="CJ164" s="401"/>
    </row>
    <row r="165" spans="1:88" s="225" customFormat="1" ht="14.4" x14ac:dyDescent="0.3">
      <c r="A165" s="173"/>
      <c r="BM165" s="401"/>
      <c r="BN165" s="401"/>
      <c r="BO165" s="401"/>
      <c r="BP165" s="401"/>
      <c r="BQ165" s="401"/>
      <c r="BR165" s="401"/>
      <c r="BS165" s="401"/>
      <c r="BT165" s="401"/>
      <c r="BU165" s="401"/>
      <c r="BV165" s="401"/>
      <c r="BW165" s="401"/>
      <c r="BX165" s="401"/>
      <c r="BY165" s="401"/>
      <c r="BZ165" s="401"/>
      <c r="CA165" s="401"/>
      <c r="CB165" s="401"/>
      <c r="CC165" s="401"/>
      <c r="CD165" s="401"/>
      <c r="CE165" s="401"/>
      <c r="CF165" s="401"/>
      <c r="CG165" s="401"/>
      <c r="CH165" s="401"/>
      <c r="CI165" s="401"/>
      <c r="CJ165" s="401"/>
    </row>
    <row r="166" spans="1:88" s="225" customFormat="1" ht="14.4" x14ac:dyDescent="0.3">
      <c r="A166" s="173"/>
      <c r="BM166" s="401"/>
      <c r="BN166" s="401"/>
      <c r="BO166" s="401"/>
      <c r="BP166" s="401"/>
      <c r="BQ166" s="401"/>
      <c r="BR166" s="401"/>
      <c r="BS166" s="401"/>
      <c r="BT166" s="401"/>
      <c r="BU166" s="401"/>
      <c r="BV166" s="401"/>
      <c r="BW166" s="401"/>
      <c r="BX166" s="401"/>
      <c r="BY166" s="401"/>
      <c r="BZ166" s="401"/>
      <c r="CA166" s="401"/>
      <c r="CB166" s="401"/>
      <c r="CC166" s="401"/>
      <c r="CD166" s="401"/>
      <c r="CE166" s="401"/>
      <c r="CF166" s="401"/>
      <c r="CG166" s="401"/>
      <c r="CH166" s="401"/>
      <c r="CI166" s="401"/>
      <c r="CJ166" s="401"/>
    </row>
    <row r="167" spans="1:88" s="225" customFormat="1" ht="14.4" x14ac:dyDescent="0.3">
      <c r="A167" s="173"/>
      <c r="BM167" s="401"/>
      <c r="BN167" s="401"/>
      <c r="BO167" s="401"/>
      <c r="BP167" s="401"/>
      <c r="BQ167" s="401"/>
      <c r="BR167" s="401"/>
      <c r="BS167" s="401"/>
      <c r="BT167" s="401"/>
      <c r="BU167" s="401"/>
      <c r="BV167" s="401"/>
      <c r="BW167" s="401"/>
      <c r="BX167" s="401"/>
      <c r="BY167" s="401"/>
      <c r="BZ167" s="401"/>
      <c r="CA167" s="401"/>
      <c r="CB167" s="401"/>
      <c r="CC167" s="401"/>
      <c r="CD167" s="401"/>
      <c r="CE167" s="401"/>
      <c r="CF167" s="401"/>
      <c r="CG167" s="401"/>
      <c r="CH167" s="401"/>
      <c r="CI167" s="401"/>
      <c r="CJ167" s="401"/>
    </row>
    <row r="168" spans="1:88" s="225" customFormat="1" ht="14.4" x14ac:dyDescent="0.3">
      <c r="A168" s="173"/>
      <c r="BM168" s="401"/>
      <c r="BN168" s="401"/>
      <c r="BO168" s="401"/>
      <c r="BP168" s="401"/>
      <c r="BQ168" s="401"/>
      <c r="BR168" s="401"/>
      <c r="BS168" s="401"/>
      <c r="BT168" s="401"/>
      <c r="BU168" s="401"/>
      <c r="BV168" s="401"/>
      <c r="BW168" s="401"/>
      <c r="BX168" s="401"/>
      <c r="BY168" s="401"/>
      <c r="BZ168" s="401"/>
      <c r="CA168" s="401"/>
      <c r="CB168" s="401"/>
      <c r="CC168" s="401"/>
      <c r="CD168" s="401"/>
      <c r="CE168" s="401"/>
      <c r="CF168" s="401"/>
      <c r="CG168" s="401"/>
      <c r="CH168" s="401"/>
      <c r="CI168" s="401"/>
      <c r="CJ168" s="401"/>
    </row>
    <row r="169" spans="1:88" s="225" customFormat="1" ht="14.4" x14ac:dyDescent="0.3">
      <c r="A169" s="173"/>
      <c r="BM169" s="401"/>
      <c r="BN169" s="401"/>
      <c r="BO169" s="401"/>
      <c r="BP169" s="401"/>
      <c r="BQ169" s="401"/>
      <c r="BR169" s="401"/>
      <c r="BS169" s="401"/>
      <c r="BT169" s="401"/>
      <c r="BU169" s="401"/>
      <c r="BV169" s="401"/>
      <c r="BW169" s="401"/>
      <c r="BX169" s="401"/>
      <c r="BY169" s="401"/>
      <c r="BZ169" s="401"/>
      <c r="CA169" s="401"/>
      <c r="CB169" s="401"/>
      <c r="CC169" s="401"/>
      <c r="CD169" s="401"/>
      <c r="CE169" s="401"/>
      <c r="CF169" s="401"/>
      <c r="CG169" s="401"/>
      <c r="CH169" s="401"/>
      <c r="CI169" s="401"/>
      <c r="CJ169" s="401"/>
    </row>
    <row r="170" spans="1:88" s="225" customFormat="1" ht="14.4" x14ac:dyDescent="0.3">
      <c r="A170" s="173"/>
      <c r="BM170" s="401"/>
      <c r="BN170" s="401"/>
      <c r="BO170" s="401"/>
      <c r="BP170" s="401"/>
      <c r="BQ170" s="401"/>
      <c r="BR170" s="401"/>
      <c r="BS170" s="401"/>
      <c r="BT170" s="401"/>
      <c r="BU170" s="401"/>
      <c r="BV170" s="401"/>
      <c r="BW170" s="401"/>
      <c r="BX170" s="401"/>
      <c r="BY170" s="401"/>
      <c r="BZ170" s="401"/>
      <c r="CA170" s="401"/>
      <c r="CB170" s="401"/>
      <c r="CC170" s="401"/>
      <c r="CD170" s="401"/>
      <c r="CE170" s="401"/>
      <c r="CF170" s="401"/>
      <c r="CG170" s="401"/>
      <c r="CH170" s="401"/>
      <c r="CI170" s="401"/>
      <c r="CJ170" s="401"/>
    </row>
    <row r="171" spans="1:88" s="225" customFormat="1" ht="14.4" x14ac:dyDescent="0.3">
      <c r="A171" s="173"/>
      <c r="BM171" s="401"/>
      <c r="BN171" s="401"/>
      <c r="BO171" s="401"/>
      <c r="BP171" s="401"/>
      <c r="BQ171" s="401"/>
      <c r="BR171" s="401"/>
      <c r="BS171" s="401"/>
      <c r="BT171" s="401"/>
      <c r="BU171" s="401"/>
      <c r="BV171" s="401"/>
      <c r="BW171" s="401"/>
      <c r="BX171" s="401"/>
      <c r="BY171" s="401"/>
      <c r="BZ171" s="401"/>
      <c r="CA171" s="401"/>
      <c r="CB171" s="401"/>
      <c r="CC171" s="401"/>
      <c r="CD171" s="401"/>
      <c r="CE171" s="401"/>
      <c r="CF171" s="401"/>
      <c r="CG171" s="401"/>
      <c r="CH171" s="401"/>
      <c r="CI171" s="401"/>
      <c r="CJ171" s="401"/>
    </row>
    <row r="172" spans="1:88" s="225" customFormat="1" ht="14.4" x14ac:dyDescent="0.3">
      <c r="A172" s="173"/>
      <c r="BM172" s="401"/>
      <c r="BN172" s="401"/>
      <c r="BO172" s="401"/>
      <c r="BP172" s="401"/>
      <c r="BQ172" s="401"/>
      <c r="BR172" s="401"/>
      <c r="BS172" s="401"/>
      <c r="BT172" s="401"/>
      <c r="BU172" s="401"/>
      <c r="BV172" s="401"/>
      <c r="BW172" s="401"/>
      <c r="BX172" s="401"/>
      <c r="BY172" s="401"/>
      <c r="BZ172" s="401"/>
      <c r="CA172" s="401"/>
      <c r="CB172" s="401"/>
      <c r="CC172" s="401"/>
      <c r="CD172" s="401"/>
      <c r="CE172" s="401"/>
      <c r="CF172" s="401"/>
      <c r="CG172" s="401"/>
      <c r="CH172" s="401"/>
      <c r="CI172" s="401"/>
      <c r="CJ172" s="401"/>
    </row>
    <row r="173" spans="1:88" s="225" customFormat="1" ht="14.4" x14ac:dyDescent="0.3">
      <c r="A173" s="173"/>
      <c r="BM173" s="401"/>
      <c r="BN173" s="401"/>
      <c r="BO173" s="401"/>
      <c r="BP173" s="401"/>
      <c r="BQ173" s="401"/>
      <c r="BR173" s="401"/>
      <c r="BS173" s="401"/>
      <c r="BT173" s="401"/>
      <c r="BU173" s="401"/>
      <c r="BV173" s="401"/>
      <c r="BW173" s="401"/>
      <c r="BX173" s="401"/>
      <c r="BY173" s="401"/>
      <c r="BZ173" s="401"/>
      <c r="CA173" s="401"/>
      <c r="CB173" s="401"/>
      <c r="CC173" s="401"/>
      <c r="CD173" s="401"/>
      <c r="CE173" s="401"/>
      <c r="CF173" s="401"/>
      <c r="CG173" s="401"/>
      <c r="CH173" s="401"/>
      <c r="CI173" s="401"/>
      <c r="CJ173" s="401"/>
    </row>
    <row r="174" spans="1:88" s="225" customFormat="1" ht="14.4" x14ac:dyDescent="0.3">
      <c r="A174" s="173"/>
      <c r="BM174" s="401"/>
      <c r="BN174" s="401"/>
      <c r="BO174" s="401"/>
      <c r="BP174" s="401"/>
      <c r="BQ174" s="401"/>
      <c r="BR174" s="401"/>
      <c r="BS174" s="401"/>
      <c r="BT174" s="401"/>
      <c r="BU174" s="401"/>
      <c r="BV174" s="401"/>
      <c r="BW174" s="401"/>
      <c r="BX174" s="401"/>
      <c r="BY174" s="401"/>
      <c r="BZ174" s="401"/>
      <c r="CA174" s="401"/>
      <c r="CB174" s="401"/>
      <c r="CC174" s="401"/>
      <c r="CD174" s="401"/>
      <c r="CE174" s="401"/>
      <c r="CF174" s="401"/>
      <c r="CG174" s="401"/>
      <c r="CH174" s="401"/>
      <c r="CI174" s="401"/>
      <c r="CJ174" s="401"/>
    </row>
    <row r="175" spans="1:88" s="225" customFormat="1" ht="14.4" x14ac:dyDescent="0.3">
      <c r="A175" s="173"/>
      <c r="BM175" s="401"/>
      <c r="BN175" s="401"/>
      <c r="BO175" s="401"/>
      <c r="BP175" s="401"/>
      <c r="BQ175" s="401"/>
      <c r="BR175" s="401"/>
      <c r="BS175" s="401"/>
      <c r="BT175" s="401"/>
      <c r="BU175" s="401"/>
      <c r="BV175" s="401"/>
      <c r="BW175" s="401"/>
      <c r="BX175" s="401"/>
      <c r="BY175" s="401"/>
      <c r="BZ175" s="401"/>
      <c r="CA175" s="401"/>
      <c r="CB175" s="401"/>
      <c r="CC175" s="401"/>
      <c r="CD175" s="401"/>
      <c r="CE175" s="401"/>
      <c r="CF175" s="401"/>
      <c r="CG175" s="401"/>
      <c r="CH175" s="401"/>
      <c r="CI175" s="401"/>
      <c r="CJ175" s="401"/>
    </row>
    <row r="176" spans="1:88" s="225" customFormat="1" ht="14.4" x14ac:dyDescent="0.3">
      <c r="A176" s="173"/>
      <c r="BM176" s="401"/>
      <c r="BN176" s="401"/>
      <c r="BO176" s="401"/>
      <c r="BP176" s="401"/>
      <c r="BQ176" s="401"/>
      <c r="BR176" s="401"/>
      <c r="BS176" s="401"/>
      <c r="BT176" s="401"/>
      <c r="BU176" s="401"/>
      <c r="BV176" s="401"/>
      <c r="BW176" s="401"/>
      <c r="BX176" s="401"/>
      <c r="BY176" s="401"/>
      <c r="BZ176" s="401"/>
      <c r="CA176" s="401"/>
      <c r="CB176" s="401"/>
      <c r="CC176" s="401"/>
      <c r="CD176" s="401"/>
      <c r="CE176" s="401"/>
      <c r="CF176" s="401"/>
      <c r="CG176" s="401"/>
      <c r="CH176" s="401"/>
      <c r="CI176" s="401"/>
      <c r="CJ176" s="401"/>
    </row>
    <row r="177" spans="1:88" x14ac:dyDescent="0.3">
      <c r="A177" s="173"/>
    </row>
    <row r="178" spans="1:88" s="225" customFormat="1" ht="14.4" x14ac:dyDescent="0.3">
      <c r="A178" s="173"/>
      <c r="BM178" s="401"/>
      <c r="BN178" s="401"/>
      <c r="BO178" s="401"/>
      <c r="BP178" s="401"/>
      <c r="BQ178" s="401"/>
      <c r="BR178" s="401"/>
      <c r="BS178" s="401"/>
      <c r="BT178" s="401"/>
      <c r="BU178" s="401"/>
      <c r="BV178" s="401"/>
      <c r="BW178" s="401"/>
      <c r="BX178" s="401"/>
      <c r="BY178" s="401"/>
      <c r="BZ178" s="401"/>
      <c r="CA178" s="401"/>
      <c r="CB178" s="401"/>
      <c r="CC178" s="401"/>
      <c r="CD178" s="401"/>
      <c r="CE178" s="401"/>
      <c r="CF178" s="401"/>
      <c r="CG178" s="401"/>
      <c r="CH178" s="401"/>
      <c r="CI178" s="401"/>
      <c r="CJ178" s="401"/>
    </row>
    <row r="179" spans="1:88" s="225" customFormat="1" ht="14.4" x14ac:dyDescent="0.3">
      <c r="A179" s="173"/>
      <c r="BM179" s="401"/>
      <c r="BN179" s="401"/>
      <c r="BO179" s="401"/>
      <c r="BP179" s="401"/>
      <c r="BQ179" s="401"/>
      <c r="BR179" s="401"/>
      <c r="BS179" s="401"/>
      <c r="BT179" s="401"/>
      <c r="BU179" s="401"/>
      <c r="BV179" s="401"/>
      <c r="BW179" s="401"/>
      <c r="BX179" s="401"/>
      <c r="BY179" s="401"/>
      <c r="BZ179" s="401"/>
      <c r="CA179" s="401"/>
      <c r="CB179" s="401"/>
      <c r="CC179" s="401"/>
      <c r="CD179" s="401"/>
      <c r="CE179" s="401"/>
      <c r="CF179" s="401"/>
      <c r="CG179" s="401"/>
      <c r="CH179" s="401"/>
      <c r="CI179" s="401"/>
      <c r="CJ179" s="401"/>
    </row>
    <row r="180" spans="1:88" s="225" customFormat="1" ht="14.4" x14ac:dyDescent="0.3">
      <c r="A180" s="173"/>
      <c r="BM180" s="401"/>
      <c r="BN180" s="401"/>
      <c r="BO180" s="401"/>
      <c r="BP180" s="401"/>
      <c r="BQ180" s="401"/>
      <c r="BR180" s="401"/>
      <c r="BS180" s="401"/>
      <c r="BT180" s="401"/>
      <c r="BU180" s="401"/>
      <c r="BV180" s="401"/>
      <c r="BW180" s="401"/>
      <c r="BX180" s="401"/>
      <c r="BY180" s="401"/>
      <c r="BZ180" s="401"/>
      <c r="CA180" s="401"/>
      <c r="CB180" s="401"/>
      <c r="CC180" s="401"/>
      <c r="CD180" s="401"/>
      <c r="CE180" s="401"/>
      <c r="CF180" s="401"/>
      <c r="CG180" s="401"/>
      <c r="CH180" s="401"/>
      <c r="CI180" s="401"/>
      <c r="CJ180" s="401"/>
    </row>
    <row r="181" spans="1:88" s="225" customFormat="1" ht="14.4" x14ac:dyDescent="0.3">
      <c r="A181" s="173"/>
      <c r="BM181" s="401"/>
      <c r="BN181" s="401"/>
      <c r="BO181" s="401"/>
      <c r="BP181" s="401"/>
      <c r="BQ181" s="401"/>
      <c r="BR181" s="401"/>
      <c r="BS181" s="401"/>
      <c r="BT181" s="401"/>
      <c r="BU181" s="401"/>
      <c r="BV181" s="401"/>
      <c r="BW181" s="401"/>
      <c r="BX181" s="401"/>
      <c r="BY181" s="401"/>
      <c r="BZ181" s="401"/>
      <c r="CA181" s="401"/>
      <c r="CB181" s="401"/>
      <c r="CC181" s="401"/>
      <c r="CD181" s="401"/>
      <c r="CE181" s="401"/>
      <c r="CF181" s="401"/>
      <c r="CG181" s="401"/>
      <c r="CH181" s="401"/>
      <c r="CI181" s="401"/>
      <c r="CJ181" s="401"/>
    </row>
    <row r="182" spans="1:88" s="225" customFormat="1" ht="14.4" x14ac:dyDescent="0.3">
      <c r="A182" s="173"/>
      <c r="BM182" s="401"/>
      <c r="BN182" s="401"/>
      <c r="BO182" s="401"/>
      <c r="BP182" s="401"/>
      <c r="BQ182" s="401"/>
      <c r="BR182" s="401"/>
      <c r="BS182" s="401"/>
      <c r="BT182" s="401"/>
      <c r="BU182" s="401"/>
      <c r="BV182" s="401"/>
      <c r="BW182" s="401"/>
      <c r="BX182" s="401"/>
      <c r="BY182" s="401"/>
      <c r="BZ182" s="401"/>
      <c r="CA182" s="401"/>
      <c r="CB182" s="401"/>
      <c r="CC182" s="401"/>
      <c r="CD182" s="401"/>
      <c r="CE182" s="401"/>
      <c r="CF182" s="401"/>
      <c r="CG182" s="401"/>
      <c r="CH182" s="401"/>
      <c r="CI182" s="401"/>
      <c r="CJ182" s="401"/>
    </row>
    <row r="183" spans="1:88" s="225" customFormat="1" ht="14.4" x14ac:dyDescent="0.3">
      <c r="A183" s="173"/>
      <c r="BM183" s="401"/>
      <c r="BN183" s="401"/>
      <c r="BO183" s="401"/>
      <c r="BP183" s="401"/>
      <c r="BQ183" s="401"/>
      <c r="BR183" s="401"/>
      <c r="BS183" s="401"/>
      <c r="BT183" s="401"/>
      <c r="BU183" s="401"/>
      <c r="BV183" s="401"/>
      <c r="BW183" s="401"/>
      <c r="BX183" s="401"/>
      <c r="BY183" s="401"/>
      <c r="BZ183" s="401"/>
      <c r="CA183" s="401"/>
      <c r="CB183" s="401"/>
      <c r="CC183" s="401"/>
      <c r="CD183" s="401"/>
      <c r="CE183" s="401"/>
      <c r="CF183" s="401"/>
      <c r="CG183" s="401"/>
      <c r="CH183" s="401"/>
      <c r="CI183" s="401"/>
      <c r="CJ183" s="401"/>
    </row>
    <row r="184" spans="1:88" s="225" customFormat="1" ht="14.4" x14ac:dyDescent="0.3">
      <c r="A184" s="173"/>
      <c r="BM184" s="401"/>
      <c r="BN184" s="401"/>
      <c r="BO184" s="401"/>
      <c r="BP184" s="401"/>
      <c r="BQ184" s="401"/>
      <c r="BR184" s="401"/>
      <c r="BS184" s="401"/>
      <c r="BT184" s="401"/>
      <c r="BU184" s="401"/>
      <c r="BV184" s="401"/>
      <c r="BW184" s="401"/>
      <c r="BX184" s="401"/>
      <c r="BY184" s="401"/>
      <c r="BZ184" s="401"/>
      <c r="CA184" s="401"/>
      <c r="CB184" s="401"/>
      <c r="CC184" s="401"/>
      <c r="CD184" s="401"/>
      <c r="CE184" s="401"/>
      <c r="CF184" s="401"/>
      <c r="CG184" s="401"/>
      <c r="CH184" s="401"/>
      <c r="CI184" s="401"/>
      <c r="CJ184" s="401"/>
    </row>
    <row r="185" spans="1:88" x14ac:dyDescent="0.3">
      <c r="A185" s="173"/>
    </row>
    <row r="186" spans="1:88" x14ac:dyDescent="0.3">
      <c r="A186" s="173"/>
    </row>
    <row r="187" spans="1:88" x14ac:dyDescent="0.3">
      <c r="A187" s="173"/>
    </row>
    <row r="188" spans="1:88" x14ac:dyDescent="0.3">
      <c r="A188" s="173"/>
    </row>
    <row r="189" spans="1:88" x14ac:dyDescent="0.3">
      <c r="A189" s="173"/>
    </row>
    <row r="190" spans="1:88" x14ac:dyDescent="0.3">
      <c r="A190" s="173"/>
    </row>
    <row r="191" spans="1:88" x14ac:dyDescent="0.3">
      <c r="A191" s="173"/>
    </row>
    <row r="192" spans="1:88" s="225" customFormat="1" ht="14.4" x14ac:dyDescent="0.3">
      <c r="A192" s="173"/>
      <c r="BM192" s="401"/>
      <c r="BN192" s="401"/>
      <c r="BO192" s="401"/>
      <c r="BP192" s="401"/>
      <c r="BQ192" s="401"/>
      <c r="BR192" s="401"/>
      <c r="BS192" s="401"/>
      <c r="BT192" s="401"/>
      <c r="BU192" s="401"/>
      <c r="BV192" s="401"/>
      <c r="BW192" s="401"/>
      <c r="BX192" s="401"/>
      <c r="BY192" s="401"/>
      <c r="BZ192" s="401"/>
      <c r="CA192" s="401"/>
      <c r="CB192" s="401"/>
      <c r="CC192" s="401"/>
      <c r="CD192" s="401"/>
      <c r="CE192" s="401"/>
      <c r="CF192" s="401"/>
      <c r="CG192" s="401"/>
      <c r="CH192" s="401"/>
      <c r="CI192" s="401"/>
      <c r="CJ192" s="401"/>
    </row>
    <row r="193" spans="1:88" s="225" customFormat="1" ht="14.4" x14ac:dyDescent="0.3">
      <c r="A193" s="173"/>
      <c r="BM193" s="401"/>
      <c r="BN193" s="401"/>
      <c r="BO193" s="401"/>
      <c r="BP193" s="401"/>
      <c r="BQ193" s="401"/>
      <c r="BR193" s="401"/>
      <c r="BS193" s="401"/>
      <c r="BT193" s="401"/>
      <c r="BU193" s="401"/>
      <c r="BV193" s="401"/>
      <c r="BW193" s="401"/>
      <c r="BX193" s="401"/>
      <c r="BY193" s="401"/>
      <c r="BZ193" s="401"/>
      <c r="CA193" s="401"/>
      <c r="CB193" s="401"/>
      <c r="CC193" s="401"/>
      <c r="CD193" s="401"/>
      <c r="CE193" s="401"/>
      <c r="CF193" s="401"/>
      <c r="CG193" s="401"/>
      <c r="CH193" s="401"/>
      <c r="CI193" s="401"/>
      <c r="CJ193" s="401"/>
    </row>
    <row r="194" spans="1:88" s="225" customFormat="1" ht="14.4" x14ac:dyDescent="0.3">
      <c r="A194" s="173"/>
      <c r="BM194" s="401"/>
      <c r="BN194" s="401"/>
      <c r="BO194" s="401"/>
      <c r="BP194" s="401"/>
      <c r="BQ194" s="401"/>
      <c r="BR194" s="401"/>
      <c r="BS194" s="401"/>
      <c r="BT194" s="401"/>
      <c r="BU194" s="401"/>
      <c r="BV194" s="401"/>
      <c r="BW194" s="401"/>
      <c r="BX194" s="401"/>
      <c r="BY194" s="401"/>
      <c r="BZ194" s="401"/>
      <c r="CA194" s="401"/>
      <c r="CB194" s="401"/>
      <c r="CC194" s="401"/>
      <c r="CD194" s="401"/>
      <c r="CE194" s="401"/>
      <c r="CF194" s="401"/>
      <c r="CG194" s="401"/>
      <c r="CH194" s="401"/>
      <c r="CI194" s="401"/>
      <c r="CJ194" s="401"/>
    </row>
    <row r="195" spans="1:88" x14ac:dyDescent="0.3">
      <c r="A195" s="173"/>
    </row>
    <row r="196" spans="1:88" x14ac:dyDescent="0.3">
      <c r="A196" s="173"/>
    </row>
    <row r="197" spans="1:88" x14ac:dyDescent="0.3">
      <c r="A197" s="173"/>
    </row>
    <row r="198" spans="1:88" x14ac:dyDescent="0.3">
      <c r="A198" s="173"/>
    </row>
    <row r="199" spans="1:88" x14ac:dyDescent="0.3">
      <c r="A199" s="173"/>
    </row>
    <row r="200" spans="1:88" x14ac:dyDescent="0.3">
      <c r="A200" s="173"/>
    </row>
    <row r="201" spans="1:88" x14ac:dyDescent="0.3">
      <c r="A201" s="173"/>
    </row>
    <row r="202" spans="1:88" x14ac:dyDescent="0.3">
      <c r="A202" s="173"/>
    </row>
    <row r="203" spans="1:88" s="225" customFormat="1" ht="14.4" x14ac:dyDescent="0.3">
      <c r="A203" s="173"/>
      <c r="BM203" s="401"/>
      <c r="BN203" s="401"/>
      <c r="BO203" s="401"/>
      <c r="BP203" s="401"/>
      <c r="BQ203" s="401"/>
      <c r="BR203" s="401"/>
      <c r="BS203" s="401"/>
      <c r="BT203" s="401"/>
      <c r="BU203" s="401"/>
      <c r="BV203" s="401"/>
      <c r="BW203" s="401"/>
      <c r="BX203" s="401"/>
      <c r="BY203" s="401"/>
      <c r="BZ203" s="401"/>
      <c r="CA203" s="401"/>
      <c r="CB203" s="401"/>
      <c r="CC203" s="401"/>
      <c r="CD203" s="401"/>
      <c r="CE203" s="401"/>
      <c r="CF203" s="401"/>
      <c r="CG203" s="401"/>
      <c r="CH203" s="401"/>
      <c r="CI203" s="401"/>
      <c r="CJ203" s="401"/>
    </row>
    <row r="204" spans="1:88" s="225" customFormat="1" ht="14.4" x14ac:dyDescent="0.3">
      <c r="A204" s="173"/>
      <c r="BM204" s="401"/>
      <c r="BN204" s="401"/>
      <c r="BO204" s="401"/>
      <c r="BP204" s="401"/>
      <c r="BQ204" s="401"/>
      <c r="BR204" s="401"/>
      <c r="BS204" s="401"/>
      <c r="BT204" s="401"/>
      <c r="BU204" s="401"/>
      <c r="BV204" s="401"/>
      <c r="BW204" s="401"/>
      <c r="BX204" s="401"/>
      <c r="BY204" s="401"/>
      <c r="BZ204" s="401"/>
      <c r="CA204" s="401"/>
      <c r="CB204" s="401"/>
      <c r="CC204" s="401"/>
      <c r="CD204" s="401"/>
      <c r="CE204" s="401"/>
      <c r="CF204" s="401"/>
      <c r="CG204" s="401"/>
      <c r="CH204" s="401"/>
      <c r="CI204" s="401"/>
      <c r="CJ204" s="401"/>
    </row>
    <row r="205" spans="1:88" s="225" customFormat="1" ht="14.4" x14ac:dyDescent="0.3">
      <c r="A205" s="173"/>
      <c r="BM205" s="401"/>
      <c r="BN205" s="401"/>
      <c r="BO205" s="401"/>
      <c r="BP205" s="401"/>
      <c r="BQ205" s="401"/>
      <c r="BR205" s="401"/>
      <c r="BS205" s="401"/>
      <c r="BT205" s="401"/>
      <c r="BU205" s="401"/>
      <c r="BV205" s="401"/>
      <c r="BW205" s="401"/>
      <c r="BX205" s="401"/>
      <c r="BY205" s="401"/>
      <c r="BZ205" s="401"/>
      <c r="CA205" s="401"/>
      <c r="CB205" s="401"/>
      <c r="CC205" s="401"/>
      <c r="CD205" s="401"/>
      <c r="CE205" s="401"/>
      <c r="CF205" s="401"/>
      <c r="CG205" s="401"/>
      <c r="CH205" s="401"/>
      <c r="CI205" s="401"/>
      <c r="CJ205" s="401"/>
    </row>
    <row r="206" spans="1:88" x14ac:dyDescent="0.3">
      <c r="A206" s="173"/>
    </row>
    <row r="207" spans="1:88" x14ac:dyDescent="0.3">
      <c r="A207" s="173"/>
    </row>
    <row r="208" spans="1:88" x14ac:dyDescent="0.3">
      <c r="A208" s="173"/>
    </row>
    <row r="209" spans="1:88" x14ac:dyDescent="0.3">
      <c r="A209" s="173"/>
    </row>
    <row r="210" spans="1:88" x14ac:dyDescent="0.3">
      <c r="A210" s="173"/>
    </row>
    <row r="211" spans="1:88" x14ac:dyDescent="0.3">
      <c r="A211" s="173"/>
    </row>
    <row r="212" spans="1:88" s="225" customFormat="1" ht="14.4" x14ac:dyDescent="0.3">
      <c r="A212" s="173"/>
      <c r="BM212" s="401"/>
      <c r="BN212" s="401"/>
      <c r="BO212" s="401"/>
      <c r="BP212" s="401"/>
      <c r="BQ212" s="401"/>
      <c r="BR212" s="401"/>
      <c r="BS212" s="401"/>
      <c r="BT212" s="401"/>
      <c r="BU212" s="401"/>
      <c r="BV212" s="401"/>
      <c r="BW212" s="401"/>
      <c r="BX212" s="401"/>
      <c r="BY212" s="401"/>
      <c r="BZ212" s="401"/>
      <c r="CA212" s="401"/>
      <c r="CB212" s="401"/>
      <c r="CC212" s="401"/>
      <c r="CD212" s="401"/>
      <c r="CE212" s="401"/>
      <c r="CF212" s="401"/>
      <c r="CG212" s="401"/>
      <c r="CH212" s="401"/>
      <c r="CI212" s="401"/>
      <c r="CJ212" s="401"/>
    </row>
    <row r="213" spans="1:88" x14ac:dyDescent="0.3">
      <c r="A213" s="173"/>
    </row>
    <row r="214" spans="1:88" x14ac:dyDescent="0.3">
      <c r="A214" s="173"/>
    </row>
    <row r="215" spans="1:88" x14ac:dyDescent="0.3">
      <c r="A215" s="173"/>
    </row>
    <row r="216" spans="1:88" x14ac:dyDescent="0.3">
      <c r="A216" s="173"/>
    </row>
    <row r="217" spans="1:88" s="225" customFormat="1" ht="14.4" x14ac:dyDescent="0.3">
      <c r="A217" s="173"/>
      <c r="BM217" s="401"/>
      <c r="BN217" s="401"/>
      <c r="BO217" s="401"/>
      <c r="BP217" s="401"/>
      <c r="BQ217" s="401"/>
      <c r="BR217" s="401"/>
      <c r="BS217" s="401"/>
      <c r="BT217" s="401"/>
      <c r="BU217" s="401"/>
      <c r="BV217" s="401"/>
      <c r="BW217" s="401"/>
      <c r="BX217" s="401"/>
      <c r="BY217" s="401"/>
      <c r="BZ217" s="401"/>
      <c r="CA217" s="401"/>
      <c r="CB217" s="401"/>
      <c r="CC217" s="401"/>
      <c r="CD217" s="401"/>
      <c r="CE217" s="401"/>
      <c r="CF217" s="401"/>
      <c r="CG217" s="401"/>
      <c r="CH217" s="401"/>
      <c r="CI217" s="401"/>
      <c r="CJ217" s="401"/>
    </row>
    <row r="218" spans="1:88" s="225" customFormat="1" ht="14.4" x14ac:dyDescent="0.3">
      <c r="A218" s="173"/>
      <c r="BM218" s="401"/>
      <c r="BN218" s="401"/>
      <c r="BO218" s="401"/>
      <c r="BP218" s="401"/>
      <c r="BQ218" s="401"/>
      <c r="BR218" s="401"/>
      <c r="BS218" s="401"/>
      <c r="BT218" s="401"/>
      <c r="BU218" s="401"/>
      <c r="BV218" s="401"/>
      <c r="BW218" s="401"/>
      <c r="BX218" s="401"/>
      <c r="BY218" s="401"/>
      <c r="BZ218" s="401"/>
      <c r="CA218" s="401"/>
      <c r="CB218" s="401"/>
      <c r="CC218" s="401"/>
      <c r="CD218" s="401"/>
      <c r="CE218" s="401"/>
      <c r="CF218" s="401"/>
      <c r="CG218" s="401"/>
      <c r="CH218" s="401"/>
      <c r="CI218" s="401"/>
      <c r="CJ218" s="401"/>
    </row>
    <row r="219" spans="1:88" s="225" customFormat="1" ht="14.4" x14ac:dyDescent="0.3">
      <c r="A219" s="173"/>
      <c r="BM219" s="401"/>
      <c r="BN219" s="401"/>
      <c r="BO219" s="401"/>
      <c r="BP219" s="401"/>
      <c r="BQ219" s="401"/>
      <c r="BR219" s="401"/>
      <c r="BS219" s="401"/>
      <c r="BT219" s="401"/>
      <c r="BU219" s="401"/>
      <c r="BV219" s="401"/>
      <c r="BW219" s="401"/>
      <c r="BX219" s="401"/>
      <c r="BY219" s="401"/>
      <c r="BZ219" s="401"/>
      <c r="CA219" s="401"/>
      <c r="CB219" s="401"/>
      <c r="CC219" s="401"/>
      <c r="CD219" s="401"/>
      <c r="CE219" s="401"/>
      <c r="CF219" s="401"/>
      <c r="CG219" s="401"/>
      <c r="CH219" s="401"/>
      <c r="CI219" s="401"/>
      <c r="CJ219" s="401"/>
    </row>
    <row r="220" spans="1:88" s="225" customFormat="1" ht="14.4" x14ac:dyDescent="0.3">
      <c r="A220" s="173"/>
      <c r="BM220" s="401"/>
      <c r="BN220" s="401"/>
      <c r="BO220" s="401"/>
      <c r="BP220" s="401"/>
      <c r="BQ220" s="401"/>
      <c r="BR220" s="401"/>
      <c r="BS220" s="401"/>
      <c r="BT220" s="401"/>
      <c r="BU220" s="401"/>
      <c r="BV220" s="401"/>
      <c r="BW220" s="401"/>
      <c r="BX220" s="401"/>
      <c r="BY220" s="401"/>
      <c r="BZ220" s="401"/>
      <c r="CA220" s="401"/>
      <c r="CB220" s="401"/>
      <c r="CC220" s="401"/>
      <c r="CD220" s="401"/>
      <c r="CE220" s="401"/>
      <c r="CF220" s="401"/>
      <c r="CG220" s="401"/>
      <c r="CH220" s="401"/>
      <c r="CI220" s="401"/>
      <c r="CJ220" s="401"/>
    </row>
    <row r="221" spans="1:88" x14ac:dyDescent="0.3">
      <c r="A221" s="173"/>
    </row>
    <row r="222" spans="1:88" x14ac:dyDescent="0.3">
      <c r="A222" s="173"/>
    </row>
    <row r="223" spans="1:88" s="225" customFormat="1" ht="14.4" x14ac:dyDescent="0.3">
      <c r="A223" s="173"/>
      <c r="BM223" s="401"/>
      <c r="BN223" s="401"/>
      <c r="BO223" s="401"/>
      <c r="BP223" s="401"/>
      <c r="BQ223" s="401"/>
      <c r="BR223" s="401"/>
      <c r="BS223" s="401"/>
      <c r="BT223" s="401"/>
      <c r="BU223" s="401"/>
      <c r="BV223" s="401"/>
      <c r="BW223" s="401"/>
      <c r="BX223" s="401"/>
      <c r="BY223" s="401"/>
      <c r="BZ223" s="401"/>
      <c r="CA223" s="401"/>
      <c r="CB223" s="401"/>
      <c r="CC223" s="401"/>
      <c r="CD223" s="401"/>
      <c r="CE223" s="401"/>
      <c r="CF223" s="401"/>
      <c r="CG223" s="401"/>
      <c r="CH223" s="401"/>
      <c r="CI223" s="401"/>
      <c r="CJ223" s="401"/>
    </row>
    <row r="224" spans="1:88" s="225" customFormat="1" ht="14.4" x14ac:dyDescent="0.3">
      <c r="A224" s="173"/>
      <c r="BM224" s="401"/>
      <c r="BN224" s="401"/>
      <c r="BO224" s="401"/>
      <c r="BP224" s="401"/>
      <c r="BQ224" s="401"/>
      <c r="BR224" s="401"/>
      <c r="BS224" s="401"/>
      <c r="BT224" s="401"/>
      <c r="BU224" s="401"/>
      <c r="BV224" s="401"/>
      <c r="BW224" s="401"/>
      <c r="BX224" s="401"/>
      <c r="BY224" s="401"/>
      <c r="BZ224" s="401"/>
      <c r="CA224" s="401"/>
      <c r="CB224" s="401"/>
      <c r="CC224" s="401"/>
      <c r="CD224" s="401"/>
      <c r="CE224" s="401"/>
      <c r="CF224" s="401"/>
      <c r="CG224" s="401"/>
      <c r="CH224" s="401"/>
      <c r="CI224" s="401"/>
      <c r="CJ224" s="401"/>
    </row>
    <row r="225" spans="1:88" s="225" customFormat="1" ht="14.4" x14ac:dyDescent="0.3">
      <c r="A225" s="173"/>
      <c r="BM225" s="401"/>
      <c r="BN225" s="401"/>
      <c r="BO225" s="401"/>
      <c r="BP225" s="401"/>
      <c r="BQ225" s="401"/>
      <c r="BR225" s="401"/>
      <c r="BS225" s="401"/>
      <c r="BT225" s="401"/>
      <c r="BU225" s="401"/>
      <c r="BV225" s="401"/>
      <c r="BW225" s="401"/>
      <c r="BX225" s="401"/>
      <c r="BY225" s="401"/>
      <c r="BZ225" s="401"/>
      <c r="CA225" s="401"/>
      <c r="CB225" s="401"/>
      <c r="CC225" s="401"/>
      <c r="CD225" s="401"/>
      <c r="CE225" s="401"/>
      <c r="CF225" s="401"/>
      <c r="CG225" s="401"/>
      <c r="CH225" s="401"/>
      <c r="CI225" s="401"/>
      <c r="CJ225" s="401"/>
    </row>
    <row r="226" spans="1:88" x14ac:dyDescent="0.3">
      <c r="A226" s="173"/>
    </row>
    <row r="227" spans="1:88" x14ac:dyDescent="0.3">
      <c r="A227" s="173"/>
    </row>
    <row r="228" spans="1:88" x14ac:dyDescent="0.3">
      <c r="A228" s="173"/>
    </row>
    <row r="229" spans="1:88" x14ac:dyDescent="0.3">
      <c r="A229" s="173"/>
    </row>
    <row r="230" spans="1:88" x14ac:dyDescent="0.3">
      <c r="A230" s="173"/>
    </row>
    <row r="231" spans="1:88" x14ac:dyDescent="0.3">
      <c r="A231" s="173"/>
    </row>
    <row r="232" spans="1:88" x14ac:dyDescent="0.3">
      <c r="A232" s="173"/>
    </row>
    <row r="233" spans="1:88" x14ac:dyDescent="0.3">
      <c r="A233" s="173"/>
    </row>
    <row r="234" spans="1:88" x14ac:dyDescent="0.3">
      <c r="A234" s="173"/>
    </row>
    <row r="235" spans="1:88" x14ac:dyDescent="0.3">
      <c r="A235" s="173"/>
    </row>
    <row r="236" spans="1:88" x14ac:dyDescent="0.3">
      <c r="A236" s="173"/>
    </row>
    <row r="237" spans="1:88" x14ac:dyDescent="0.3">
      <c r="A237" s="173"/>
    </row>
    <row r="238" spans="1:88" x14ac:dyDescent="0.3">
      <c r="A238" s="173"/>
    </row>
    <row r="239" spans="1:88" x14ac:dyDescent="0.3">
      <c r="A239" s="173"/>
    </row>
    <row r="240" spans="1:88" x14ac:dyDescent="0.3">
      <c r="A240" s="173"/>
    </row>
    <row r="241" spans="1:1" x14ac:dyDescent="0.3">
      <c r="A241" s="173"/>
    </row>
    <row r="242" spans="1:1" x14ac:dyDescent="0.3">
      <c r="A242" s="173"/>
    </row>
    <row r="243" spans="1:1" x14ac:dyDescent="0.3">
      <c r="A243" s="173"/>
    </row>
    <row r="244" spans="1:1" x14ac:dyDescent="0.3">
      <c r="A244" s="173"/>
    </row>
    <row r="245" spans="1:1" x14ac:dyDescent="0.3">
      <c r="A245" s="173"/>
    </row>
    <row r="246" spans="1:1" x14ac:dyDescent="0.3">
      <c r="A246" s="173"/>
    </row>
    <row r="247" spans="1:1" x14ac:dyDescent="0.3">
      <c r="A247" s="173"/>
    </row>
    <row r="248" spans="1:1" x14ac:dyDescent="0.3">
      <c r="A248" s="173"/>
    </row>
    <row r="249" spans="1:1" x14ac:dyDescent="0.3">
      <c r="A249" s="173"/>
    </row>
    <row r="250" spans="1:1" x14ac:dyDescent="0.3">
      <c r="A250" s="173"/>
    </row>
    <row r="251" spans="1:1" x14ac:dyDescent="0.3">
      <c r="A251" s="173"/>
    </row>
    <row r="252" spans="1:1" x14ac:dyDescent="0.3">
      <c r="A252" s="173"/>
    </row>
    <row r="253" spans="1:1" x14ac:dyDescent="0.3">
      <c r="A253" s="173"/>
    </row>
    <row r="254" spans="1:1" x14ac:dyDescent="0.3">
      <c r="A254" s="173"/>
    </row>
    <row r="255" spans="1:1" x14ac:dyDescent="0.3">
      <c r="A255" s="173"/>
    </row>
    <row r="256" spans="1:1" x14ac:dyDescent="0.3">
      <c r="A256" s="173"/>
    </row>
    <row r="257" spans="1:1" x14ac:dyDescent="0.3">
      <c r="A257" s="173"/>
    </row>
    <row r="258" spans="1:1" x14ac:dyDescent="0.3">
      <c r="A258" s="173"/>
    </row>
    <row r="259" spans="1:1" x14ac:dyDescent="0.3">
      <c r="A259" s="173"/>
    </row>
  </sheetData>
  <mergeCells count="3">
    <mergeCell ref="B6:M6"/>
    <mergeCell ref="B7:M7"/>
    <mergeCell ref="B8:M8"/>
  </mergeCells>
  <hyperlinks>
    <hyperlink ref="A1" location="Indice!A1" display="A.1"/>
  </hyperlink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Indice</vt:lpstr>
      <vt:lpstr>A.1</vt:lpstr>
      <vt:lpstr>A.2</vt:lpstr>
      <vt:lpstr>A.3</vt:lpstr>
      <vt:lpstr>A.4</vt:lpstr>
      <vt:lpstr>A.5</vt:lpstr>
      <vt:lpstr>A.3!Área_de_impresión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CRDP</dc:creator>
  <cp:lastModifiedBy>Alfredo Ortiz</cp:lastModifiedBy>
  <cp:lastPrinted>2019-11-13T15:08:40Z</cp:lastPrinted>
  <dcterms:created xsi:type="dcterms:W3CDTF">2019-04-03T17:51:32Z</dcterms:created>
  <dcterms:modified xsi:type="dcterms:W3CDTF">2026-03-26T14:33:42Z</dcterms:modified>
</cp:coreProperties>
</file>