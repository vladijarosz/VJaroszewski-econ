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C:\Users\Admin\Documents\GitHub\VJaroszewski-econ\Codigos_resNet\"/>
    </mc:Choice>
  </mc:AlternateContent>
  <xr:revisionPtr revIDLastSave="0" documentId="13_ncr:1_{B96CBEE8-4198-4D22-AE6D-782055B0D63C}" xr6:coauthVersionLast="45" xr6:coauthVersionMax="45" xr10:uidLastSave="{00000000-0000-0000-0000-000000000000}"/>
  <bookViews>
    <workbookView xWindow="6000" yWindow="3045" windowWidth="14490" windowHeight="7875" xr2:uid="{00000000-000D-0000-FFFF-FFFF00000000}"/>
  </bookViews>
  <sheets>
    <sheet name="Reservas Netas" sheetId="1" r:id="rId1"/>
  </sheets>
  <calcPr calcId="191029"/>
</workbook>
</file>

<file path=xl/calcChain.xml><?xml version="1.0" encoding="utf-8"?>
<calcChain xmlns="http://schemas.openxmlformats.org/spreadsheetml/2006/main">
  <c r="I37" i="1" l="1"/>
  <c r="C37" i="1"/>
  <c r="B26" i="1"/>
  <c r="B37" i="1" s="1"/>
  <c r="D37" i="1"/>
  <c r="E37" i="1"/>
  <c r="F37" i="1"/>
  <c r="G37" i="1"/>
  <c r="H37" i="1"/>
  <c r="I26" i="1"/>
  <c r="C26" i="1"/>
  <c r="D26" i="1"/>
  <c r="E26" i="1"/>
  <c r="F26" i="1"/>
  <c r="G26" i="1"/>
  <c r="H26" i="1"/>
  <c r="I36" i="1"/>
  <c r="B36" i="1"/>
  <c r="C36" i="1"/>
  <c r="D36" i="1"/>
  <c r="E36" i="1"/>
  <c r="F36" i="1"/>
  <c r="G36" i="1"/>
  <c r="H36" i="1"/>
  <c r="C35" i="1" l="1"/>
  <c r="D35" i="1"/>
  <c r="E35" i="1"/>
  <c r="F35" i="1"/>
  <c r="G35" i="1"/>
  <c r="H35" i="1"/>
  <c r="I35" i="1"/>
  <c r="B35" i="1"/>
  <c r="B20" i="1"/>
  <c r="I20" i="1"/>
  <c r="C20" i="1"/>
  <c r="D20" i="1"/>
  <c r="E20" i="1"/>
  <c r="F20" i="1"/>
  <c r="G20" i="1"/>
  <c r="H20" i="1"/>
</calcChain>
</file>

<file path=xl/sharedStrings.xml><?xml version="1.0" encoding="utf-8"?>
<sst xmlns="http://schemas.openxmlformats.org/spreadsheetml/2006/main" count="51" uniqueCount="28">
  <si>
    <t>Concepto</t>
  </si>
  <si>
    <t>9-dic-15</t>
  </si>
  <si>
    <t>9-dic-19</t>
  </si>
  <si>
    <t>7-dic-23</t>
  </si>
  <si>
    <t>30-dic-24</t>
  </si>
  <si>
    <t>14-abr-25</t>
  </si>
  <si>
    <t>16-abr-25</t>
  </si>
  <si>
    <t>30-dic-25</t>
  </si>
  <si>
    <t>20-feb-26</t>
  </si>
  <si>
    <t>Reservas brutas</t>
  </si>
  <si>
    <t>Inconvertible</t>
  </si>
  <si>
    <t>Reservas convertibles</t>
  </si>
  <si>
    <t>Divisas</t>
  </si>
  <si>
    <t>DEGs</t>
  </si>
  <si>
    <t>Oro</t>
  </si>
  <si>
    <t>Otros</t>
  </si>
  <si>
    <t>Pasivos brutos</t>
  </si>
  <si>
    <t>Encajes</t>
  </si>
  <si>
    <t>Swap China</t>
  </si>
  <si>
    <t>BOPREAL</t>
  </si>
  <si>
    <t>Depósitos del Gobierno</t>
  </si>
  <si>
    <t>Reservas líquidas</t>
  </si>
  <si>
    <t>Reservas netas</t>
  </si>
  <si>
    <t>swap basilea</t>
  </si>
  <si>
    <t>repo</t>
  </si>
  <si>
    <t>swap usa</t>
  </si>
  <si>
    <t>otra obligaciones</t>
  </si>
  <si>
    <t>RIN sin dep sin bop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</si>
</sst>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" fontId="0" fillId="0" borderId="0" xfId="0" applyNumberFormat="1"/>
    <xf numFmtId="4" fontId="0" fillId="4" borderId="0" xfId="0" applyNumberFormat="1" applyFill="1"/>
    <xf numFmtId="4" fontId="0" fillId="5" borderId="0" xfId="0" applyNumberFormat="1" applyFill="1"/>
    <xf numFmtId="4" fontId="0" fillId="6" borderId="0" xfId="0" applyNumberFormat="1" applyFill="1"/>
    <xf numFmtId="4" fontId="0" fillId="3" borderId="0" xfId="0" applyNumberFormat="1" applyFill="1"/>
    <xf numFmtId="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topLeftCell="B19" workbookViewId="0">
      <selection activeCell="I38" sqref="I38"/>
    </sheetView>
  </sheetViews>
  <sheetFormatPr baseColWidth="10" defaultColWidth="9.140625" defaultRowHeight="15" x14ac:dyDescent="0.25"/>
  <cols>
    <col min="1" max="1" width="22.140625" style="1" bestFit="1" customWidth="1"/>
    <col min="2" max="2" width="11.85546875" style="1" bestFit="1" customWidth="1"/>
    <col min="3" max="3" width="9.28515625" style="1" bestFit="1" customWidth="1"/>
    <col min="4" max="7" width="9.85546875" style="1" bestFit="1" customWidth="1"/>
    <col min="8" max="9" width="9.28515625" style="1" bestFit="1" customWidth="1"/>
    <col min="10" max="16384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>
        <v>25563</v>
      </c>
      <c r="C2" s="2">
        <v>43787</v>
      </c>
      <c r="D2" s="2">
        <v>21209</v>
      </c>
      <c r="E2" s="2">
        <v>29640</v>
      </c>
      <c r="F2" s="2">
        <v>24221</v>
      </c>
      <c r="G2" s="2">
        <v>38616</v>
      </c>
      <c r="H2" s="2">
        <v>41167</v>
      </c>
      <c r="I2" s="2">
        <v>46261</v>
      </c>
    </row>
    <row r="3" spans="1:9" x14ac:dyDescent="0.25">
      <c r="A3" s="1" t="s">
        <v>10</v>
      </c>
      <c r="B3" s="1">
        <v>7756</v>
      </c>
      <c r="C3" s="1">
        <v>23</v>
      </c>
      <c r="D3" s="1">
        <v>1</v>
      </c>
      <c r="F3" s="1">
        <v>2</v>
      </c>
      <c r="G3" s="1">
        <v>2</v>
      </c>
      <c r="H3" s="1">
        <v>44</v>
      </c>
      <c r="I3" s="1">
        <v>2</v>
      </c>
    </row>
    <row r="4" spans="1:9" x14ac:dyDescent="0.25">
      <c r="A4" s="3" t="s">
        <v>11</v>
      </c>
      <c r="B4" s="3">
        <v>17807</v>
      </c>
      <c r="C4" s="3">
        <v>43764</v>
      </c>
      <c r="D4" s="3">
        <v>21208</v>
      </c>
      <c r="E4" s="3">
        <v>29639</v>
      </c>
      <c r="F4" s="3">
        <v>24219</v>
      </c>
      <c r="G4" s="3">
        <v>38614</v>
      </c>
      <c r="H4" s="3">
        <v>41123</v>
      </c>
      <c r="I4" s="3">
        <v>46259</v>
      </c>
    </row>
    <row r="5" spans="1:9" x14ac:dyDescent="0.25">
      <c r="A5" s="1" t="s">
        <v>12</v>
      </c>
      <c r="B5" s="1">
        <v>20421</v>
      </c>
      <c r="C5" s="1">
        <v>37685</v>
      </c>
      <c r="D5" s="1">
        <v>16365</v>
      </c>
      <c r="E5" s="1">
        <v>21030</v>
      </c>
      <c r="F5" s="1">
        <v>16651</v>
      </c>
      <c r="G5" s="1">
        <v>29858</v>
      </c>
      <c r="H5" s="1">
        <v>28489</v>
      </c>
      <c r="I5" s="1">
        <v>32149</v>
      </c>
    </row>
    <row r="6" spans="1:9" x14ac:dyDescent="0.25">
      <c r="A6" s="1" t="s">
        <v>13</v>
      </c>
      <c r="B6" s="1">
        <v>2801</v>
      </c>
      <c r="C6" s="1">
        <v>2605</v>
      </c>
      <c r="D6" s="1">
        <v>0</v>
      </c>
      <c r="E6" s="1">
        <v>43</v>
      </c>
      <c r="F6" s="1">
        <v>65</v>
      </c>
      <c r="G6" s="1">
        <v>740</v>
      </c>
      <c r="H6" s="1">
        <v>68</v>
      </c>
      <c r="I6" s="1">
        <v>68</v>
      </c>
    </row>
    <row r="7" spans="1:9" x14ac:dyDescent="0.25">
      <c r="A7" s="1" t="s">
        <v>14</v>
      </c>
      <c r="B7" s="1">
        <v>2150</v>
      </c>
      <c r="C7" s="1">
        <v>2899</v>
      </c>
      <c r="D7" s="1">
        <v>4024</v>
      </c>
      <c r="E7" s="1">
        <v>5183</v>
      </c>
      <c r="F7" s="1">
        <v>5894</v>
      </c>
      <c r="G7" s="1">
        <v>6408</v>
      </c>
      <c r="H7" s="1">
        <v>8881</v>
      </c>
      <c r="I7" s="1">
        <v>9971</v>
      </c>
    </row>
    <row r="8" spans="1:9" x14ac:dyDescent="0.25">
      <c r="A8" s="1" t="s">
        <v>15</v>
      </c>
      <c r="B8" s="1">
        <v>190</v>
      </c>
      <c r="C8" s="1">
        <v>1503</v>
      </c>
      <c r="D8" s="1">
        <v>641</v>
      </c>
      <c r="E8" s="1">
        <v>88</v>
      </c>
      <c r="F8" s="1">
        <v>114</v>
      </c>
      <c r="G8" s="1">
        <v>114</v>
      </c>
      <c r="H8" s="1">
        <v>305</v>
      </c>
      <c r="I8" s="1">
        <v>305</v>
      </c>
    </row>
    <row r="9" spans="1:9" x14ac:dyDescent="0.25">
      <c r="A9" s="4" t="s">
        <v>16</v>
      </c>
      <c r="B9" s="4">
        <v>29484</v>
      </c>
      <c r="C9" s="4">
        <v>31262</v>
      </c>
      <c r="D9" s="4">
        <v>32595</v>
      </c>
      <c r="E9" s="4">
        <v>40177</v>
      </c>
      <c r="F9" s="4">
        <v>37025</v>
      </c>
      <c r="G9" s="4">
        <v>51117</v>
      </c>
      <c r="H9" s="4">
        <v>43719</v>
      </c>
      <c r="I9" s="4">
        <v>49757</v>
      </c>
    </row>
    <row r="10" spans="1:9" x14ac:dyDescent="0.25">
      <c r="A10" s="1" t="s">
        <v>17</v>
      </c>
      <c r="B10" s="1">
        <v>10727</v>
      </c>
      <c r="C10" s="1">
        <v>8453</v>
      </c>
      <c r="D10" s="1">
        <v>9438</v>
      </c>
      <c r="E10" s="1">
        <v>12237</v>
      </c>
      <c r="F10" s="1">
        <v>12547</v>
      </c>
      <c r="G10" s="1">
        <v>12991</v>
      </c>
      <c r="H10" s="1">
        <v>15049</v>
      </c>
      <c r="I10" s="1">
        <v>18476</v>
      </c>
    </row>
    <row r="11" spans="1:9" x14ac:dyDescent="0.25">
      <c r="A11" s="1" t="s">
        <v>18</v>
      </c>
      <c r="B11" s="1">
        <v>10780</v>
      </c>
      <c r="C11" s="1">
        <v>18469</v>
      </c>
      <c r="D11" s="1">
        <v>18196</v>
      </c>
      <c r="E11" s="1">
        <v>17814</v>
      </c>
      <c r="F11" s="1">
        <v>17780</v>
      </c>
      <c r="G11" s="1">
        <v>17797</v>
      </c>
      <c r="H11" s="1">
        <v>18557</v>
      </c>
      <c r="I11" s="1">
        <v>18820</v>
      </c>
    </row>
    <row r="12" spans="1:9" x14ac:dyDescent="0.25">
      <c r="A12" s="1" t="s">
        <v>19</v>
      </c>
      <c r="B12" s="1">
        <v>0</v>
      </c>
      <c r="C12" s="1">
        <v>0</v>
      </c>
      <c r="D12" s="1">
        <v>0</v>
      </c>
      <c r="E12" s="1">
        <v>2167</v>
      </c>
      <c r="F12" s="1">
        <v>2833</v>
      </c>
      <c r="G12" s="1">
        <v>2833</v>
      </c>
      <c r="H12" s="1">
        <v>2298</v>
      </c>
      <c r="I12" s="1">
        <v>2298</v>
      </c>
    </row>
    <row r="13" spans="1:9" x14ac:dyDescent="0.25">
      <c r="A13" s="1" t="s">
        <v>20</v>
      </c>
      <c r="B13" s="1">
        <v>2</v>
      </c>
      <c r="C13" s="1">
        <v>252</v>
      </c>
      <c r="D13" s="1">
        <v>135</v>
      </c>
      <c r="E13" s="1">
        <v>5995</v>
      </c>
      <c r="F13" s="1">
        <v>1874</v>
      </c>
      <c r="G13" s="1">
        <v>15506</v>
      </c>
      <c r="H13" s="1">
        <v>1970</v>
      </c>
      <c r="I13" s="1">
        <v>318</v>
      </c>
    </row>
    <row r="14" spans="1:9" x14ac:dyDescent="0.25">
      <c r="A14" s="5" t="s">
        <v>21</v>
      </c>
      <c r="B14" s="5">
        <v>11768</v>
      </c>
      <c r="C14" s="5">
        <v>27419</v>
      </c>
      <c r="D14" s="5">
        <v>3990</v>
      </c>
      <c r="E14" s="5">
        <v>11601</v>
      </c>
      <c r="F14" s="5">
        <v>5481</v>
      </c>
      <c r="G14" s="5">
        <v>18672</v>
      </c>
      <c r="H14" s="5">
        <v>18662</v>
      </c>
      <c r="I14" s="5">
        <v>19891</v>
      </c>
    </row>
    <row r="15" spans="1:9" x14ac:dyDescent="0.25">
      <c r="A15" s="6" t="s">
        <v>22</v>
      </c>
      <c r="B15" s="6">
        <v>-3357</v>
      </c>
      <c r="C15" s="6">
        <v>12356</v>
      </c>
      <c r="D15" s="6">
        <v>-11599</v>
      </c>
      <c r="E15" s="6">
        <v>-10538</v>
      </c>
      <c r="F15" s="6">
        <v>-12806</v>
      </c>
      <c r="G15" s="6">
        <v>-12503</v>
      </c>
      <c r="H15" s="6">
        <v>-2552</v>
      </c>
      <c r="I15" s="6">
        <v>-3497</v>
      </c>
    </row>
    <row r="17" spans="1:9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 x14ac:dyDescent="0.25">
      <c r="A18" s="2" t="s">
        <v>9</v>
      </c>
      <c r="B18" s="2">
        <v>25563</v>
      </c>
      <c r="C18" s="2">
        <v>43787</v>
      </c>
      <c r="D18" s="2">
        <v>21209</v>
      </c>
      <c r="E18" s="2">
        <v>29640</v>
      </c>
      <c r="F18" s="2">
        <v>24221</v>
      </c>
      <c r="G18" s="2">
        <v>38616</v>
      </c>
      <c r="H18" s="2">
        <v>41167</v>
      </c>
      <c r="I18" s="2">
        <v>46261</v>
      </c>
    </row>
    <row r="19" spans="1:9" x14ac:dyDescent="0.25">
      <c r="A19" s="1" t="s">
        <v>10</v>
      </c>
      <c r="B19" s="1">
        <v>7756</v>
      </c>
      <c r="C19" s="1">
        <v>23</v>
      </c>
      <c r="D19" s="1">
        <v>1</v>
      </c>
      <c r="F19" s="1">
        <v>2</v>
      </c>
      <c r="G19" s="1">
        <v>2</v>
      </c>
      <c r="H19" s="1">
        <v>44</v>
      </c>
      <c r="I19" s="1">
        <v>2</v>
      </c>
    </row>
    <row r="20" spans="1:9" x14ac:dyDescent="0.25">
      <c r="A20" s="3" t="s">
        <v>11</v>
      </c>
      <c r="B20" s="3">
        <f>+B18-B19</f>
        <v>17807</v>
      </c>
      <c r="C20" s="3">
        <f t="shared" ref="C20:H20" si="0">+C18-C19</f>
        <v>43764</v>
      </c>
      <c r="D20" s="3">
        <f t="shared" si="0"/>
        <v>21208</v>
      </c>
      <c r="E20" s="3">
        <f t="shared" si="0"/>
        <v>29640</v>
      </c>
      <c r="F20" s="3">
        <f t="shared" si="0"/>
        <v>24219</v>
      </c>
      <c r="G20" s="3">
        <f t="shared" si="0"/>
        <v>38614</v>
      </c>
      <c r="H20" s="3">
        <f t="shared" si="0"/>
        <v>41123</v>
      </c>
      <c r="I20" s="3">
        <f>+I18-I19</f>
        <v>46259</v>
      </c>
    </row>
    <row r="21" spans="1:9" x14ac:dyDescent="0.25">
      <c r="A21" s="1" t="s">
        <v>12</v>
      </c>
      <c r="B21" s="1">
        <v>20421</v>
      </c>
      <c r="C21" s="1">
        <v>37685</v>
      </c>
      <c r="D21" s="1">
        <v>16365</v>
      </c>
      <c r="E21" s="1">
        <v>21030</v>
      </c>
      <c r="F21" s="1">
        <v>16651</v>
      </c>
      <c r="G21" s="1">
        <v>29858</v>
      </c>
      <c r="H21" s="1">
        <v>28489</v>
      </c>
      <c r="I21" s="1">
        <v>32149</v>
      </c>
    </row>
    <row r="22" spans="1:9" x14ac:dyDescent="0.25">
      <c r="A22" s="1" t="s">
        <v>13</v>
      </c>
      <c r="B22" s="1">
        <v>2801</v>
      </c>
      <c r="C22" s="1">
        <v>2605</v>
      </c>
      <c r="D22" s="1">
        <v>0</v>
      </c>
      <c r="E22" s="1">
        <v>43</v>
      </c>
      <c r="F22" s="1">
        <v>65</v>
      </c>
      <c r="G22" s="1">
        <v>740</v>
      </c>
      <c r="H22" s="1">
        <v>68</v>
      </c>
      <c r="I22" s="1">
        <v>68</v>
      </c>
    </row>
    <row r="23" spans="1:9" x14ac:dyDescent="0.25">
      <c r="A23" s="1" t="s">
        <v>14</v>
      </c>
      <c r="B23" s="1">
        <v>2150</v>
      </c>
      <c r="C23" s="1">
        <v>2899</v>
      </c>
      <c r="D23" s="1">
        <v>4024</v>
      </c>
      <c r="E23" s="1">
        <v>5183</v>
      </c>
      <c r="F23" s="1">
        <v>5894</v>
      </c>
      <c r="G23" s="1">
        <v>6408</v>
      </c>
      <c r="H23" s="1">
        <v>8881</v>
      </c>
      <c r="I23" s="1">
        <v>9971</v>
      </c>
    </row>
    <row r="24" spans="1:9" x14ac:dyDescent="0.25">
      <c r="A24" s="1" t="s">
        <v>15</v>
      </c>
      <c r="B24" s="1">
        <v>190</v>
      </c>
      <c r="C24" s="1">
        <v>1503</v>
      </c>
      <c r="D24" s="1">
        <v>641</v>
      </c>
      <c r="E24" s="1">
        <v>88</v>
      </c>
      <c r="F24" s="1">
        <v>114</v>
      </c>
      <c r="G24" s="1">
        <v>114</v>
      </c>
      <c r="H24" s="1">
        <v>305</v>
      </c>
      <c r="I24" s="1">
        <v>305</v>
      </c>
    </row>
    <row r="25" spans="1:9" x14ac:dyDescent="0.25">
      <c r="A25" s="4" t="s">
        <v>16</v>
      </c>
      <c r="B25" s="4">
        <v>29484</v>
      </c>
      <c r="C25" s="4">
        <v>31262</v>
      </c>
      <c r="D25" s="4">
        <v>32595</v>
      </c>
      <c r="E25" s="4">
        <v>40177</v>
      </c>
      <c r="F25" s="4">
        <v>37025</v>
      </c>
      <c r="G25" s="4">
        <v>51117</v>
      </c>
      <c r="H25" s="4">
        <v>43719</v>
      </c>
      <c r="I25" s="4">
        <v>49757</v>
      </c>
    </row>
    <row r="26" spans="1:9" x14ac:dyDescent="0.25">
      <c r="A26" s="4"/>
      <c r="B26" s="4">
        <f>+SUM(B27:B34)</f>
        <v>24585</v>
      </c>
      <c r="C26" s="4">
        <f t="shared" ref="C26:I26" si="1">+SUM(C27:C34)</f>
        <v>27174</v>
      </c>
      <c r="D26" s="4">
        <f t="shared" si="1"/>
        <v>27769</v>
      </c>
      <c r="E26" s="4">
        <f t="shared" si="1"/>
        <v>38213</v>
      </c>
      <c r="F26" s="4">
        <f t="shared" si="1"/>
        <v>35034</v>
      </c>
      <c r="G26" s="4">
        <f t="shared" si="1"/>
        <v>49127</v>
      </c>
      <c r="H26" s="4">
        <f t="shared" si="1"/>
        <v>37874</v>
      </c>
      <c r="I26" s="4">
        <f>+SUM(I27:I34)</f>
        <v>49756</v>
      </c>
    </row>
    <row r="27" spans="1:9" x14ac:dyDescent="0.25">
      <c r="A27" s="1" t="s">
        <v>17</v>
      </c>
      <c r="B27" s="1">
        <v>10727</v>
      </c>
      <c r="C27" s="1">
        <v>8453</v>
      </c>
      <c r="D27" s="1">
        <v>9438</v>
      </c>
      <c r="E27" s="1">
        <v>12237</v>
      </c>
      <c r="F27" s="1">
        <v>12547</v>
      </c>
      <c r="G27" s="1">
        <v>12991</v>
      </c>
      <c r="H27" s="1">
        <v>15049</v>
      </c>
      <c r="I27" s="1">
        <v>18476</v>
      </c>
    </row>
    <row r="28" spans="1:9" x14ac:dyDescent="0.25">
      <c r="A28" s="1" t="s">
        <v>18</v>
      </c>
      <c r="B28" s="1">
        <v>10780</v>
      </c>
      <c r="C28" s="1">
        <v>18469</v>
      </c>
      <c r="D28" s="1">
        <v>18196</v>
      </c>
      <c r="E28" s="1">
        <v>17814</v>
      </c>
      <c r="F28" s="1">
        <v>17780</v>
      </c>
      <c r="G28" s="1">
        <v>17797</v>
      </c>
      <c r="H28" s="1">
        <v>18557</v>
      </c>
      <c r="I28" s="1">
        <v>18820</v>
      </c>
    </row>
    <row r="29" spans="1:9" x14ac:dyDescent="0.25">
      <c r="A29" s="1" t="s">
        <v>23</v>
      </c>
      <c r="B29" s="1">
        <v>1000</v>
      </c>
      <c r="I29" s="1">
        <v>2511</v>
      </c>
    </row>
    <row r="30" spans="1:9" x14ac:dyDescent="0.25">
      <c r="A30" s="1" t="s">
        <v>24</v>
      </c>
      <c r="B30" s="1">
        <v>1076</v>
      </c>
      <c r="I30" s="1">
        <v>7294</v>
      </c>
    </row>
    <row r="31" spans="1:9" x14ac:dyDescent="0.25">
      <c r="A31" s="1" t="s">
        <v>25</v>
      </c>
      <c r="B31" s="1">
        <v>0</v>
      </c>
    </row>
    <row r="32" spans="1:9" x14ac:dyDescent="0.25">
      <c r="A32" s="1" t="s">
        <v>19</v>
      </c>
      <c r="B32" s="1">
        <v>0</v>
      </c>
      <c r="C32" s="1">
        <v>0</v>
      </c>
      <c r="D32" s="1">
        <v>0</v>
      </c>
      <c r="E32" s="1">
        <v>2167</v>
      </c>
      <c r="F32" s="1">
        <v>2833</v>
      </c>
      <c r="G32" s="1">
        <v>2833</v>
      </c>
      <c r="H32" s="1">
        <v>2298</v>
      </c>
      <c r="I32" s="1">
        <v>2298</v>
      </c>
    </row>
    <row r="33" spans="1:10" x14ac:dyDescent="0.25">
      <c r="A33" s="1" t="s">
        <v>26</v>
      </c>
      <c r="B33" s="1">
        <v>1000</v>
      </c>
      <c r="I33" s="1">
        <v>39</v>
      </c>
    </row>
    <row r="34" spans="1:10" x14ac:dyDescent="0.25">
      <c r="A34" s="1" t="s">
        <v>20</v>
      </c>
      <c r="B34" s="1">
        <v>2</v>
      </c>
      <c r="C34" s="1">
        <v>252</v>
      </c>
      <c r="D34" s="1">
        <v>135</v>
      </c>
      <c r="E34" s="1">
        <v>5995</v>
      </c>
      <c r="F34" s="1">
        <v>1874</v>
      </c>
      <c r="G34" s="1">
        <v>15506</v>
      </c>
      <c r="H34" s="1">
        <v>1970</v>
      </c>
      <c r="I34" s="1">
        <v>318</v>
      </c>
    </row>
    <row r="35" spans="1:10" x14ac:dyDescent="0.25">
      <c r="A35" s="5" t="s">
        <v>21</v>
      </c>
      <c r="B35" s="5">
        <f>+B18-B27-B23-B24-B22</f>
        <v>9695</v>
      </c>
      <c r="C35" s="5">
        <f t="shared" ref="C35:I35" si="2">+C18-C27-C23-C24-C22</f>
        <v>28327</v>
      </c>
      <c r="D35" s="5">
        <f t="shared" si="2"/>
        <v>7106</v>
      </c>
      <c r="E35" s="5">
        <f t="shared" si="2"/>
        <v>12089</v>
      </c>
      <c r="F35" s="5">
        <f t="shared" si="2"/>
        <v>5601</v>
      </c>
      <c r="G35" s="5">
        <f t="shared" si="2"/>
        <v>18363</v>
      </c>
      <c r="H35" s="5">
        <f t="shared" si="2"/>
        <v>16864</v>
      </c>
      <c r="I35" s="5">
        <f t="shared" si="2"/>
        <v>17441</v>
      </c>
      <c r="J35" s="5"/>
    </row>
    <row r="36" spans="1:10" x14ac:dyDescent="0.25">
      <c r="A36" s="6" t="s">
        <v>22</v>
      </c>
      <c r="B36" s="6">
        <f>+B18-B25</f>
        <v>-3921</v>
      </c>
      <c r="C36" s="6">
        <f>+C18-C25</f>
        <v>12525</v>
      </c>
      <c r="D36" s="6">
        <f t="shared" ref="D36:I36" si="3">+D18-D25</f>
        <v>-11386</v>
      </c>
      <c r="E36" s="6">
        <f t="shared" si="3"/>
        <v>-10537</v>
      </c>
      <c r="F36" s="6">
        <f t="shared" si="3"/>
        <v>-12804</v>
      </c>
      <c r="G36" s="6">
        <f t="shared" si="3"/>
        <v>-12501</v>
      </c>
      <c r="H36" s="6">
        <f t="shared" si="3"/>
        <v>-2552</v>
      </c>
      <c r="I36" s="6">
        <f t="shared" si="3"/>
        <v>-3496</v>
      </c>
    </row>
    <row r="37" spans="1:10" x14ac:dyDescent="0.25">
      <c r="A37" s="1" t="s">
        <v>27</v>
      </c>
      <c r="B37" s="1">
        <f t="shared" ref="B37:H37" si="4">+B18-B26</f>
        <v>978</v>
      </c>
      <c r="C37" s="1">
        <f>+C18-C26</f>
        <v>16613</v>
      </c>
      <c r="D37" s="1">
        <f t="shared" si="4"/>
        <v>-6560</v>
      </c>
      <c r="E37" s="1">
        <f t="shared" si="4"/>
        <v>-8573</v>
      </c>
      <c r="F37" s="1">
        <f t="shared" si="4"/>
        <v>-10813</v>
      </c>
      <c r="G37" s="1">
        <f t="shared" si="4"/>
        <v>-10511</v>
      </c>
      <c r="H37" s="1">
        <f t="shared" si="4"/>
        <v>3293</v>
      </c>
      <c r="I37" s="1">
        <f>+I18-I26+I34+I32</f>
        <v>-879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Reservas Netas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2026-02-25T19:14:14Z</dcterms:created>
  <dcterms:modified xsi:type="dcterms:W3CDTF">2026-03-03T03:27:26Z</dcterms:modified>
</cp:coreProperties>
</file>